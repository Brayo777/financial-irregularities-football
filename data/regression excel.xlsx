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gichuhi/Desktop/Excel diss/"/>
    </mc:Choice>
  </mc:AlternateContent>
  <xr:revisionPtr revIDLastSave="0" documentId="13_ncr:1_{B3B2193A-F324-7045-9C8D-40369E9E9C74}" xr6:coauthVersionLast="47" xr6:coauthVersionMax="47" xr10:uidLastSave="{00000000-0000-0000-0000-000000000000}"/>
  <bookViews>
    <workbookView xWindow="0" yWindow="500" windowWidth="28800" windowHeight="16080" activeTab="1" xr2:uid="{F972AAEF-BAA1-2143-8CE6-D82B08F8A032}"/>
  </bookViews>
  <sheets>
    <sheet name="Team spreadsheet" sheetId="1" r:id="rId1"/>
    <sheet name="descriptive statistics" sheetId="2" r:id="rId2"/>
    <sheet name="correlation matrix" sheetId="3" r:id="rId3"/>
    <sheet name="total sample" sheetId="4" r:id="rId4"/>
    <sheet name="Charged teams" sheetId="5" r:id="rId5"/>
  </sheets>
  <definedNames>
    <definedName name="_xlnm._FilterDatabase" localSheetId="4" hidden="1">'Charged teams'!$AJ$5:$AL$25</definedName>
    <definedName name="_xlnm._FilterDatabase" localSheetId="0" hidden="1">'Team spreadsheet'!$A$1:$W$1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0" i="1" l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371" i="1"/>
  <c r="K372" i="1"/>
  <c r="K373" i="1"/>
  <c r="K374" i="1"/>
  <c r="K375" i="1"/>
  <c r="K376" i="1"/>
  <c r="K377" i="1"/>
  <c r="K378" i="1"/>
  <c r="K379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" i="1"/>
  <c r="J3" i="1"/>
  <c r="J4" i="1"/>
  <c r="J9" i="1"/>
  <c r="J13" i="1"/>
  <c r="J14" i="1"/>
  <c r="J16" i="1"/>
  <c r="J18" i="1"/>
  <c r="J19" i="1"/>
  <c r="J20" i="1"/>
  <c r="J23" i="1"/>
  <c r="J25" i="1"/>
  <c r="J27" i="1"/>
  <c r="J28" i="1"/>
  <c r="J29" i="1"/>
  <c r="J30" i="1"/>
  <c r="J32" i="1"/>
  <c r="J33" i="1"/>
  <c r="J34" i="1"/>
  <c r="J36" i="1"/>
  <c r="J40" i="1"/>
  <c r="J42" i="1"/>
  <c r="J43" i="1"/>
  <c r="J44" i="1"/>
  <c r="J45" i="1"/>
  <c r="J47" i="1"/>
  <c r="J49" i="1"/>
  <c r="J53" i="1"/>
  <c r="J54" i="1"/>
  <c r="J55" i="1"/>
  <c r="J56" i="1"/>
  <c r="J57" i="1"/>
  <c r="J62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3" i="1"/>
  <c r="J274" i="1"/>
  <c r="J276" i="1"/>
  <c r="J277" i="1"/>
  <c r="J279" i="1"/>
  <c r="J280" i="1"/>
  <c r="J281" i="1"/>
  <c r="J282" i="1"/>
  <c r="J283" i="1"/>
  <c r="J284" i="1"/>
  <c r="J285" i="1"/>
  <c r="J286" i="1"/>
  <c r="J287" i="1"/>
  <c r="J288" i="1"/>
  <c r="J290" i="1"/>
  <c r="J292" i="1"/>
  <c r="J293" i="1"/>
  <c r="J294" i="1"/>
  <c r="J295" i="1"/>
  <c r="J296" i="1"/>
  <c r="J297" i="1"/>
  <c r="J298" i="1"/>
  <c r="J299" i="1"/>
  <c r="J300" i="1"/>
  <c r="J301" i="1"/>
  <c r="J302" i="1"/>
  <c r="J304" i="1"/>
  <c r="J305" i="1"/>
  <c r="J306" i="1"/>
  <c r="J307" i="1"/>
  <c r="J308" i="1"/>
  <c r="J309" i="1"/>
  <c r="J311" i="1"/>
  <c r="J312" i="1"/>
  <c r="J313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5" i="1"/>
  <c r="J347" i="1"/>
  <c r="J348" i="1"/>
  <c r="J355" i="1"/>
  <c r="J360" i="1"/>
  <c r="J363" i="1"/>
  <c r="J364" i="1"/>
  <c r="J370" i="1"/>
  <c r="J374" i="1"/>
  <c r="J376" i="1"/>
  <c r="J377" i="1"/>
  <c r="J379" i="1"/>
  <c r="J385" i="1"/>
  <c r="J387" i="1"/>
  <c r="J388" i="1"/>
  <c r="J393" i="1"/>
  <c r="J397" i="1"/>
  <c r="J399" i="1"/>
  <c r="J400" i="1"/>
  <c r="J407" i="1"/>
  <c r="J2" i="1"/>
  <c r="W326" i="1"/>
  <c r="H326" i="1" s="1"/>
  <c r="W311" i="1"/>
  <c r="H311" i="1" s="1"/>
  <c r="W295" i="1"/>
  <c r="H295" i="1" s="1"/>
  <c r="W279" i="1"/>
  <c r="H279" i="1" s="1"/>
  <c r="W261" i="1"/>
  <c r="H261" i="1" s="1"/>
  <c r="W341" i="1"/>
  <c r="T341" i="1" s="1"/>
  <c r="J341" i="1" s="1"/>
  <c r="T394" i="1"/>
  <c r="J394" i="1" s="1"/>
  <c r="W380" i="1"/>
  <c r="T380" i="1" s="1"/>
  <c r="J380" i="1" s="1"/>
  <c r="T395" i="1"/>
  <c r="J395" i="1" s="1"/>
  <c r="T381" i="1"/>
  <c r="J381" i="1" s="1"/>
  <c r="T371" i="1"/>
  <c r="J371" i="1" s="1"/>
  <c r="T356" i="1"/>
  <c r="J356" i="1" s="1"/>
  <c r="T342" i="1"/>
  <c r="J342" i="1" s="1"/>
  <c r="W343" i="1"/>
  <c r="T343" i="1" s="1"/>
  <c r="J343" i="1" s="1"/>
  <c r="T382" i="1"/>
  <c r="J382" i="1" s="1"/>
  <c r="T372" i="1"/>
  <c r="J372" i="1" s="1"/>
  <c r="T357" i="1"/>
  <c r="J357" i="1" s="1"/>
  <c r="T396" i="1"/>
  <c r="J396" i="1" s="1"/>
  <c r="T383" i="1"/>
  <c r="J383" i="1" s="1"/>
  <c r="T373" i="1"/>
  <c r="J373" i="1" s="1"/>
  <c r="T358" i="1"/>
  <c r="J358" i="1" s="1"/>
  <c r="T344" i="1"/>
  <c r="J344" i="1" s="1"/>
  <c r="W245" i="1"/>
  <c r="H245" i="1" s="1"/>
  <c r="W227" i="1"/>
  <c r="H227" i="1" s="1"/>
  <c r="W208" i="1"/>
  <c r="H208" i="1" s="1"/>
  <c r="W170" i="1"/>
  <c r="H170" i="1" s="1"/>
  <c r="W209" i="1"/>
  <c r="H209" i="1" s="1"/>
  <c r="W191" i="1"/>
  <c r="H191" i="1" s="1"/>
  <c r="W171" i="1"/>
  <c r="H171" i="1" s="1"/>
  <c r="W327" i="1"/>
  <c r="H327" i="1" s="1"/>
  <c r="W312" i="1"/>
  <c r="H312" i="1" s="1"/>
  <c r="W296" i="1"/>
  <c r="H296" i="1" s="1"/>
  <c r="W280" i="1"/>
  <c r="H280" i="1" s="1"/>
  <c r="W262" i="1"/>
  <c r="H262" i="1" s="1"/>
  <c r="W58" i="1"/>
  <c r="T58" i="1" s="1"/>
  <c r="J58" i="1" s="1"/>
  <c r="W45" i="1"/>
  <c r="H45" i="1" s="1"/>
  <c r="W32" i="1"/>
  <c r="H32" i="1" s="1"/>
  <c r="W18" i="1"/>
  <c r="H18" i="1" s="1"/>
  <c r="S2" i="1"/>
  <c r="F2" i="1" s="1"/>
  <c r="W2" i="1"/>
  <c r="H2" i="1" s="1"/>
  <c r="W59" i="1"/>
  <c r="T59" i="1" s="1"/>
  <c r="J59" i="1" s="1"/>
  <c r="W46" i="1"/>
  <c r="T46" i="1" s="1"/>
  <c r="J46" i="1" s="1"/>
  <c r="W33" i="1"/>
  <c r="H33" i="1" s="1"/>
  <c r="W19" i="1"/>
  <c r="H19" i="1" s="1"/>
  <c r="W3" i="1"/>
  <c r="H3" i="1" s="1"/>
  <c r="W60" i="1"/>
  <c r="T60" i="1" s="1"/>
  <c r="J60" i="1" s="1"/>
  <c r="W47" i="1"/>
  <c r="H47" i="1" s="1"/>
  <c r="W34" i="1"/>
  <c r="H34" i="1" s="1"/>
  <c r="W20" i="1"/>
  <c r="H20" i="1" s="1"/>
  <c r="W4" i="1"/>
  <c r="H4" i="1" s="1"/>
  <c r="T384" i="1"/>
  <c r="J384" i="1" s="1"/>
  <c r="T359" i="1"/>
  <c r="J359" i="1" s="1"/>
  <c r="W397" i="1"/>
  <c r="H397" i="1" s="1"/>
  <c r="W385" i="1"/>
  <c r="H385" i="1" s="1"/>
  <c r="W374" i="1"/>
  <c r="H374" i="1" s="1"/>
  <c r="W360" i="1"/>
  <c r="H360" i="1" s="1"/>
  <c r="W345" i="1"/>
  <c r="H345" i="1" s="1"/>
  <c r="W328" i="1"/>
  <c r="H328" i="1" s="1"/>
  <c r="W313" i="1"/>
  <c r="H313" i="1" s="1"/>
  <c r="W297" i="1"/>
  <c r="H297" i="1" s="1"/>
  <c r="W281" i="1"/>
  <c r="H281" i="1" s="1"/>
  <c r="W263" i="1"/>
  <c r="H263" i="1" s="1"/>
  <c r="W246" i="1"/>
  <c r="H246" i="1" s="1"/>
  <c r="W228" i="1"/>
  <c r="H228" i="1" s="1"/>
  <c r="W210" i="1"/>
  <c r="H210" i="1" s="1"/>
  <c r="W172" i="1"/>
  <c r="H172" i="1" s="1"/>
  <c r="W247" i="1"/>
  <c r="H247" i="1" s="1"/>
  <c r="W229" i="1"/>
  <c r="H229" i="1" s="1"/>
  <c r="W211" i="1"/>
  <c r="H211" i="1" s="1"/>
  <c r="W192" i="1"/>
  <c r="H192" i="1" s="1"/>
  <c r="W173" i="1"/>
  <c r="H173" i="1" s="1"/>
  <c r="W248" i="1"/>
  <c r="H248" i="1" s="1"/>
  <c r="W230" i="1"/>
  <c r="H230" i="1" s="1"/>
  <c r="W212" i="1"/>
  <c r="H212" i="1" s="1"/>
  <c r="W193" i="1"/>
  <c r="H193" i="1" s="1"/>
  <c r="W174" i="1"/>
  <c r="H174" i="1" s="1"/>
  <c r="T398" i="1"/>
  <c r="J398" i="1" s="1"/>
  <c r="T386" i="1"/>
  <c r="J386" i="1" s="1"/>
  <c r="W21" i="1"/>
  <c r="T21" i="1" s="1"/>
  <c r="J21" i="1" s="1"/>
  <c r="W5" i="1"/>
  <c r="T5" i="1" s="1"/>
  <c r="J5" i="1" s="1"/>
  <c r="W61" i="1"/>
  <c r="T61" i="1" s="1"/>
  <c r="J61" i="1" s="1"/>
  <c r="W48" i="1"/>
  <c r="T48" i="1" s="1"/>
  <c r="J48" i="1" s="1"/>
  <c r="W35" i="1"/>
  <c r="T35" i="1" s="1"/>
  <c r="J35" i="1" s="1"/>
  <c r="W22" i="1"/>
  <c r="T22" i="1" s="1"/>
  <c r="J22" i="1" s="1"/>
  <c r="W6" i="1"/>
  <c r="H6" i="1" s="1"/>
  <c r="W249" i="1"/>
  <c r="H249" i="1" s="1"/>
  <c r="W231" i="1"/>
  <c r="H231" i="1" s="1"/>
  <c r="W213" i="1"/>
  <c r="H213" i="1" s="1"/>
  <c r="W194" i="1"/>
  <c r="H194" i="1" s="1"/>
  <c r="W175" i="1"/>
  <c r="H175" i="1" s="1"/>
  <c r="W250" i="1"/>
  <c r="H250" i="1" s="1"/>
  <c r="W232" i="1"/>
  <c r="H232" i="1" s="1"/>
  <c r="W214" i="1"/>
  <c r="H214" i="1" s="1"/>
  <c r="W195" i="1"/>
  <c r="H195" i="1" s="1"/>
  <c r="W176" i="1"/>
  <c r="H176" i="1" s="1"/>
  <c r="T375" i="1"/>
  <c r="J375" i="1" s="1"/>
  <c r="T361" i="1"/>
  <c r="J361" i="1" s="1"/>
  <c r="W23" i="1"/>
  <c r="H23" i="1" s="1"/>
  <c r="W24" i="1"/>
  <c r="T24" i="1" s="1"/>
  <c r="J24" i="1" s="1"/>
  <c r="W7" i="1"/>
  <c r="T7" i="1" s="1"/>
  <c r="J7" i="1" s="1"/>
  <c r="W314" i="1"/>
  <c r="H314" i="1" s="1"/>
  <c r="W264" i="1"/>
  <c r="H264" i="1" s="1"/>
  <c r="W62" i="1"/>
  <c r="H62" i="1" s="1"/>
  <c r="W49" i="1"/>
  <c r="H49" i="1" s="1"/>
  <c r="W36" i="1"/>
  <c r="H36" i="1" s="1"/>
  <c r="W8" i="1"/>
  <c r="T8" i="1" s="1"/>
  <c r="J8" i="1" s="1"/>
  <c r="W251" i="1"/>
  <c r="H251" i="1" s="1"/>
  <c r="W233" i="1"/>
  <c r="H233" i="1" s="1"/>
  <c r="W215" i="1"/>
  <c r="H215" i="1" s="1"/>
  <c r="W196" i="1"/>
  <c r="H196" i="1" s="1"/>
  <c r="W177" i="1"/>
  <c r="H177" i="1" s="1"/>
  <c r="T362" i="1"/>
  <c r="J362" i="1" s="1"/>
  <c r="T346" i="1"/>
  <c r="J346" i="1" s="1"/>
  <c r="W399" i="1"/>
  <c r="H399" i="1" s="1"/>
  <c r="W387" i="1"/>
  <c r="H387" i="1" s="1"/>
  <c r="W376" i="1"/>
  <c r="H376" i="1" s="1"/>
  <c r="W363" i="1"/>
  <c r="H363" i="1" s="1"/>
  <c r="W347" i="1"/>
  <c r="H347" i="1" s="1"/>
  <c r="W329" i="1"/>
  <c r="H329" i="1" s="1"/>
  <c r="W315" i="1"/>
  <c r="H315" i="1" s="1"/>
  <c r="W298" i="1"/>
  <c r="H298" i="1" s="1"/>
  <c r="W282" i="1"/>
  <c r="H282" i="1" s="1"/>
  <c r="W265" i="1"/>
  <c r="H265" i="1" s="1"/>
  <c r="W234" i="1"/>
  <c r="H234" i="1" s="1"/>
  <c r="W197" i="1"/>
  <c r="H197" i="1" s="1"/>
  <c r="W400" i="1"/>
  <c r="H400" i="1" s="1"/>
  <c r="W388" i="1"/>
  <c r="H388" i="1" s="1"/>
  <c r="W377" i="1"/>
  <c r="H377" i="1" s="1"/>
  <c r="W364" i="1"/>
  <c r="H364" i="1" s="1"/>
  <c r="W348" i="1"/>
  <c r="H348" i="1" s="1"/>
  <c r="W330" i="1"/>
  <c r="H330" i="1" s="1"/>
  <c r="W316" i="1"/>
  <c r="H316" i="1" s="1"/>
  <c r="W299" i="1"/>
  <c r="H299" i="1" s="1"/>
  <c r="W283" i="1"/>
  <c r="H283" i="1" s="1"/>
  <c r="W266" i="1"/>
  <c r="H266" i="1" s="1"/>
  <c r="W63" i="1"/>
  <c r="T63" i="1" s="1"/>
  <c r="J63" i="1" s="1"/>
  <c r="W50" i="1"/>
  <c r="H50" i="1" s="1"/>
  <c r="W37" i="1"/>
  <c r="T37" i="1" s="1"/>
  <c r="J37" i="1" s="1"/>
  <c r="W25" i="1"/>
  <c r="H25" i="1" s="1"/>
  <c r="W9" i="1"/>
  <c r="H9" i="1" s="1"/>
  <c r="W349" i="1"/>
  <c r="T349" i="1" s="1"/>
  <c r="J349" i="1" s="1"/>
  <c r="W64" i="1"/>
  <c r="H64" i="1" s="1"/>
  <c r="W51" i="1"/>
  <c r="T51" i="1" s="1"/>
  <c r="J51" i="1" s="1"/>
  <c r="T365" i="1"/>
  <c r="J365" i="1" s="1"/>
  <c r="T350" i="1"/>
  <c r="J350" i="1" s="1"/>
  <c r="W331" i="1"/>
  <c r="H331" i="1" s="1"/>
  <c r="W317" i="1"/>
  <c r="H317" i="1" s="1"/>
  <c r="W300" i="1"/>
  <c r="H300" i="1" s="1"/>
  <c r="W284" i="1"/>
  <c r="H284" i="1" s="1"/>
  <c r="W267" i="1"/>
  <c r="H267" i="1" s="1"/>
  <c r="T401" i="1"/>
  <c r="J401" i="1" s="1"/>
  <c r="T389" i="1"/>
  <c r="J389" i="1" s="1"/>
  <c r="T378" i="1"/>
  <c r="J378" i="1" s="1"/>
  <c r="T366" i="1"/>
  <c r="J366" i="1" s="1"/>
  <c r="T351" i="1"/>
  <c r="J351" i="1" s="1"/>
  <c r="W332" i="1"/>
  <c r="H332" i="1" s="1"/>
  <c r="W318" i="1"/>
  <c r="H318" i="1" s="1"/>
  <c r="W301" i="1"/>
  <c r="H301" i="1" s="1"/>
  <c r="W285" i="1"/>
  <c r="H285" i="1" s="1"/>
  <c r="W268" i="1"/>
  <c r="H268" i="1" s="1"/>
  <c r="T402" i="1"/>
  <c r="J402" i="1" s="1"/>
  <c r="T403" i="1"/>
  <c r="J403" i="1" s="1"/>
  <c r="T390" i="1"/>
  <c r="J390" i="1" s="1"/>
  <c r="T367" i="1"/>
  <c r="J367" i="1" s="1"/>
  <c r="T352" i="1"/>
  <c r="J352" i="1" s="1"/>
  <c r="T404" i="1"/>
  <c r="J404" i="1" s="1"/>
  <c r="T391" i="1"/>
  <c r="J391" i="1" s="1"/>
  <c r="T368" i="1"/>
  <c r="J368" i="1" s="1"/>
  <c r="T353" i="1"/>
  <c r="J353" i="1" s="1"/>
  <c r="T405" i="1"/>
  <c r="J405" i="1" s="1"/>
  <c r="T392" i="1"/>
  <c r="J392" i="1" s="1"/>
  <c r="T369" i="1"/>
  <c r="J369" i="1" s="1"/>
  <c r="T354" i="1"/>
  <c r="J354" i="1" s="1"/>
  <c r="W333" i="1"/>
  <c r="H333" i="1" s="1"/>
  <c r="W319" i="1"/>
  <c r="H319" i="1" s="1"/>
  <c r="W302" i="1"/>
  <c r="H302" i="1" s="1"/>
  <c r="W286" i="1"/>
  <c r="H286" i="1" s="1"/>
  <c r="W269" i="1"/>
  <c r="H269" i="1" s="1"/>
  <c r="W303" i="1"/>
  <c r="T303" i="1" s="1"/>
  <c r="J303" i="1" s="1"/>
  <c r="W198" i="1"/>
  <c r="H198" i="1" s="1"/>
  <c r="W178" i="1"/>
  <c r="H178" i="1" s="1"/>
  <c r="R252" i="1"/>
  <c r="G252" i="1" s="1"/>
  <c r="W252" i="1"/>
  <c r="W235" i="1"/>
  <c r="H235" i="1" s="1"/>
  <c r="W216" i="1"/>
  <c r="H216" i="1" s="1"/>
  <c r="W199" i="1"/>
  <c r="H199" i="1" s="1"/>
  <c r="W179" i="1"/>
  <c r="H179" i="1" s="1"/>
  <c r="W253" i="1"/>
  <c r="H253" i="1" s="1"/>
  <c r="W236" i="1"/>
  <c r="H236" i="1" s="1"/>
  <c r="W217" i="1"/>
  <c r="H217" i="1" s="1"/>
  <c r="W200" i="1"/>
  <c r="H200" i="1" s="1"/>
  <c r="W180" i="1"/>
  <c r="H180" i="1" s="1"/>
  <c r="W38" i="1"/>
  <c r="T38" i="1" s="1"/>
  <c r="J38" i="1" s="1"/>
  <c r="W10" i="1"/>
  <c r="T10" i="1" s="1"/>
  <c r="J10" i="1" s="1"/>
  <c r="W254" i="1"/>
  <c r="H254" i="1" s="1"/>
  <c r="W237" i="1"/>
  <c r="H237" i="1" s="1"/>
  <c r="W218" i="1"/>
  <c r="H218" i="1" s="1"/>
  <c r="W201" i="1"/>
  <c r="H201" i="1" s="1"/>
  <c r="W181" i="1"/>
  <c r="H181" i="1" s="1"/>
  <c r="W255" i="1"/>
  <c r="H255" i="1" s="1"/>
  <c r="W238" i="1"/>
  <c r="H238" i="1" s="1"/>
  <c r="W219" i="1"/>
  <c r="H219" i="1" s="1"/>
  <c r="W202" i="1"/>
  <c r="H202" i="1" s="1"/>
  <c r="W182" i="1"/>
  <c r="H182" i="1" s="1"/>
  <c r="W334" i="1"/>
  <c r="H334" i="1" s="1"/>
  <c r="W320" i="1"/>
  <c r="H320" i="1" s="1"/>
  <c r="W304" i="1"/>
  <c r="H304" i="1" s="1"/>
  <c r="W287" i="1"/>
  <c r="H287" i="1" s="1"/>
  <c r="W270" i="1"/>
  <c r="H270" i="1" s="1"/>
  <c r="W256" i="1"/>
  <c r="H256" i="1" s="1"/>
  <c r="W239" i="1"/>
  <c r="H239" i="1" s="1"/>
  <c r="W220" i="1"/>
  <c r="H220" i="1" s="1"/>
  <c r="W203" i="1"/>
  <c r="H203" i="1" s="1"/>
  <c r="W183" i="1"/>
  <c r="H183" i="1" s="1"/>
  <c r="W221" i="1"/>
  <c r="H221" i="1" s="1"/>
  <c r="W184" i="1"/>
  <c r="H184" i="1" s="1"/>
  <c r="W39" i="1"/>
  <c r="T39" i="1" s="1"/>
  <c r="J39" i="1" s="1"/>
  <c r="W26" i="1"/>
  <c r="T26" i="1" s="1"/>
  <c r="J26" i="1" s="1"/>
  <c r="W11" i="1"/>
  <c r="T11" i="1" s="1"/>
  <c r="J11" i="1" s="1"/>
  <c r="T406" i="1"/>
  <c r="J406" i="1" s="1"/>
  <c r="W52" i="1"/>
  <c r="T52" i="1" s="1"/>
  <c r="J52" i="1" s="1"/>
  <c r="W12" i="1"/>
  <c r="T12" i="1" s="1"/>
  <c r="J12" i="1" s="1"/>
  <c r="W65" i="1"/>
  <c r="H65" i="1" s="1"/>
  <c r="W53" i="1"/>
  <c r="H53" i="1" s="1"/>
  <c r="W40" i="1"/>
  <c r="H40" i="1" s="1"/>
  <c r="W27" i="1"/>
  <c r="H27" i="1" s="1"/>
  <c r="W13" i="1"/>
  <c r="H13" i="1" s="1"/>
  <c r="W66" i="1"/>
  <c r="H66" i="1" s="1"/>
  <c r="W54" i="1"/>
  <c r="H54" i="1" s="1"/>
  <c r="W41" i="1"/>
  <c r="T41" i="1" s="1"/>
  <c r="J41" i="1" s="1"/>
  <c r="W28" i="1"/>
  <c r="H28" i="1" s="1"/>
  <c r="W14" i="1"/>
  <c r="H14" i="1" s="1"/>
  <c r="W335" i="1"/>
  <c r="H335" i="1" s="1"/>
  <c r="W321" i="1"/>
  <c r="H321" i="1" s="1"/>
  <c r="W305" i="1"/>
  <c r="H305" i="1" s="1"/>
  <c r="W288" i="1"/>
  <c r="H288" i="1" s="1"/>
  <c r="W271" i="1"/>
  <c r="H271" i="1" s="1"/>
  <c r="W272" i="1"/>
  <c r="T272" i="1" s="1"/>
  <c r="J272" i="1" s="1"/>
  <c r="W336" i="1"/>
  <c r="H336" i="1" s="1"/>
  <c r="W322" i="1"/>
  <c r="H322" i="1" s="1"/>
  <c r="W306" i="1"/>
  <c r="H306" i="1" s="1"/>
  <c r="W289" i="1"/>
  <c r="H289" i="1" s="1"/>
  <c r="W273" i="1"/>
  <c r="H273" i="1" s="1"/>
  <c r="W337" i="1"/>
  <c r="H337" i="1" s="1"/>
  <c r="W323" i="1"/>
  <c r="H323" i="1" s="1"/>
  <c r="W307" i="1"/>
  <c r="H307" i="1" s="1"/>
  <c r="W290" i="1"/>
  <c r="H290" i="1" s="1"/>
  <c r="W274" i="1"/>
  <c r="H274" i="1" s="1"/>
  <c r="W67" i="1"/>
  <c r="H67" i="1" s="1"/>
  <c r="W55" i="1"/>
  <c r="H55" i="1" s="1"/>
  <c r="W42" i="1"/>
  <c r="H42" i="1" s="1"/>
  <c r="W29" i="1"/>
  <c r="H29" i="1" s="1"/>
  <c r="W15" i="1"/>
  <c r="H15" i="1" s="1"/>
  <c r="W257" i="1"/>
  <c r="H257" i="1" s="1"/>
  <c r="W240" i="1"/>
  <c r="H240" i="1" s="1"/>
  <c r="W222" i="1"/>
  <c r="H222" i="1" s="1"/>
  <c r="W204" i="1"/>
  <c r="H204" i="1" s="1"/>
  <c r="W185" i="1"/>
  <c r="H185" i="1" s="1"/>
  <c r="W291" i="1"/>
  <c r="H291" i="1" s="1"/>
  <c r="W275" i="1"/>
  <c r="H275" i="1" s="1"/>
  <c r="W338" i="1"/>
  <c r="H338" i="1" s="1"/>
  <c r="W324" i="1"/>
  <c r="H324" i="1" s="1"/>
  <c r="W308" i="1"/>
  <c r="H308" i="1" s="1"/>
  <c r="W292" i="1"/>
  <c r="H292" i="1" s="1"/>
  <c r="W276" i="1"/>
  <c r="H276" i="1" s="1"/>
  <c r="W258" i="1"/>
  <c r="H258" i="1" s="1"/>
  <c r="W241" i="1"/>
  <c r="H241" i="1" s="1"/>
  <c r="W223" i="1"/>
  <c r="H223" i="1" s="1"/>
  <c r="W205" i="1"/>
  <c r="H205" i="1" s="1"/>
  <c r="W186" i="1"/>
  <c r="H186" i="1" s="1"/>
  <c r="W407" i="1"/>
  <c r="H407" i="1" s="1"/>
  <c r="W393" i="1"/>
  <c r="H393" i="1" s="1"/>
  <c r="W379" i="1"/>
  <c r="H379" i="1" s="1"/>
  <c r="W370" i="1"/>
  <c r="H370" i="1" s="1"/>
  <c r="W355" i="1"/>
  <c r="H355" i="1" s="1"/>
  <c r="W339" i="1"/>
  <c r="H339" i="1" s="1"/>
  <c r="W325" i="1"/>
  <c r="H325" i="1" s="1"/>
  <c r="W309" i="1"/>
  <c r="H309" i="1" s="1"/>
  <c r="W293" i="1"/>
  <c r="H293" i="1" s="1"/>
  <c r="W277" i="1"/>
  <c r="H277" i="1" s="1"/>
  <c r="W68" i="1"/>
  <c r="H68" i="1" s="1"/>
  <c r="W56" i="1"/>
  <c r="H56" i="1" s="1"/>
  <c r="W43" i="1"/>
  <c r="H43" i="1" s="1"/>
  <c r="W30" i="1"/>
  <c r="H30" i="1" s="1"/>
  <c r="W16" i="1"/>
  <c r="H16" i="1" s="1"/>
  <c r="W340" i="1"/>
  <c r="T340" i="1" s="1"/>
  <c r="J340" i="1" s="1"/>
  <c r="W310" i="1"/>
  <c r="H310" i="1" s="1"/>
  <c r="W294" i="1"/>
  <c r="H294" i="1" s="1"/>
  <c r="W278" i="1"/>
  <c r="T278" i="1" s="1"/>
  <c r="J278" i="1" s="1"/>
  <c r="W69" i="1"/>
  <c r="H69" i="1" s="1"/>
  <c r="W57" i="1"/>
  <c r="H57" i="1" s="1"/>
  <c r="W44" i="1"/>
  <c r="H44" i="1" s="1"/>
  <c r="W31" i="1"/>
  <c r="T31" i="1" s="1"/>
  <c r="J31" i="1" s="1"/>
  <c r="W17" i="1"/>
  <c r="T17" i="1" s="1"/>
  <c r="J17" i="1" s="1"/>
  <c r="W259" i="1"/>
  <c r="H259" i="1" s="1"/>
  <c r="W242" i="1"/>
  <c r="H242" i="1" s="1"/>
  <c r="W224" i="1"/>
  <c r="H224" i="1" s="1"/>
  <c r="W187" i="1"/>
  <c r="H187" i="1" s="1"/>
  <c r="W260" i="1"/>
  <c r="H260" i="1" s="1"/>
  <c r="W243" i="1"/>
  <c r="H243" i="1" s="1"/>
  <c r="W225" i="1"/>
  <c r="H225" i="1" s="1"/>
  <c r="W206" i="1"/>
  <c r="H206" i="1" s="1"/>
  <c r="W188" i="1"/>
  <c r="H188" i="1" s="1"/>
  <c r="W244" i="1"/>
  <c r="H244" i="1" s="1"/>
  <c r="W226" i="1"/>
  <c r="H226" i="1" s="1"/>
  <c r="W207" i="1"/>
  <c r="H207" i="1" s="1"/>
  <c r="W189" i="1"/>
  <c r="H189" i="1" s="1"/>
  <c r="D5" i="4"/>
  <c r="D4" i="4"/>
  <c r="G189" i="1"/>
  <c r="F189" i="1"/>
  <c r="G207" i="1"/>
  <c r="F207" i="1"/>
  <c r="G226" i="1"/>
  <c r="F226" i="1"/>
  <c r="G244" i="1"/>
  <c r="F244" i="1"/>
  <c r="G188" i="1"/>
  <c r="F188" i="1"/>
  <c r="G206" i="1"/>
  <c r="F206" i="1"/>
  <c r="G225" i="1"/>
  <c r="F225" i="1"/>
  <c r="G243" i="1"/>
  <c r="F243" i="1"/>
  <c r="G260" i="1"/>
  <c r="F260" i="1"/>
  <c r="G187" i="1"/>
  <c r="F187" i="1"/>
  <c r="G224" i="1"/>
  <c r="F224" i="1"/>
  <c r="G242" i="1"/>
  <c r="F242" i="1"/>
  <c r="G259" i="1"/>
  <c r="F259" i="1"/>
  <c r="G17" i="1"/>
  <c r="F17" i="1"/>
  <c r="G31" i="1"/>
  <c r="F31" i="1"/>
  <c r="G44" i="1"/>
  <c r="F44" i="1"/>
  <c r="G57" i="1"/>
  <c r="F57" i="1"/>
  <c r="G69" i="1"/>
  <c r="F69" i="1"/>
  <c r="G278" i="1"/>
  <c r="F278" i="1"/>
  <c r="G294" i="1"/>
  <c r="F294" i="1"/>
  <c r="G310" i="1"/>
  <c r="F310" i="1"/>
  <c r="G340" i="1"/>
  <c r="F340" i="1"/>
  <c r="G16" i="1"/>
  <c r="F16" i="1"/>
  <c r="G30" i="1"/>
  <c r="F30" i="1"/>
  <c r="G43" i="1"/>
  <c r="F43" i="1"/>
  <c r="G56" i="1"/>
  <c r="F56" i="1"/>
  <c r="G68" i="1"/>
  <c r="F68" i="1"/>
  <c r="G277" i="1"/>
  <c r="F277" i="1"/>
  <c r="G293" i="1"/>
  <c r="F293" i="1"/>
  <c r="G309" i="1"/>
  <c r="F309" i="1"/>
  <c r="G325" i="1"/>
  <c r="F325" i="1"/>
  <c r="G339" i="1"/>
  <c r="F339" i="1"/>
  <c r="H89" i="1"/>
  <c r="G89" i="1"/>
  <c r="F89" i="1"/>
  <c r="H169" i="1"/>
  <c r="G169" i="1"/>
  <c r="F169" i="1"/>
  <c r="G355" i="1"/>
  <c r="F355" i="1"/>
  <c r="G370" i="1"/>
  <c r="F370" i="1"/>
  <c r="G379" i="1"/>
  <c r="F379" i="1"/>
  <c r="G393" i="1"/>
  <c r="F393" i="1"/>
  <c r="G407" i="1"/>
  <c r="F407" i="1"/>
  <c r="H129" i="1"/>
  <c r="G129" i="1"/>
  <c r="F129" i="1"/>
  <c r="H147" i="1"/>
  <c r="G147" i="1"/>
  <c r="F147" i="1"/>
  <c r="H168" i="1"/>
  <c r="G168" i="1"/>
  <c r="F168" i="1"/>
  <c r="G186" i="1"/>
  <c r="F186" i="1"/>
  <c r="G205" i="1"/>
  <c r="F205" i="1"/>
  <c r="G223" i="1"/>
  <c r="F223" i="1"/>
  <c r="G241" i="1"/>
  <c r="F241" i="1"/>
  <c r="G258" i="1"/>
  <c r="F258" i="1"/>
  <c r="G276" i="1"/>
  <c r="F276" i="1"/>
  <c r="G292" i="1"/>
  <c r="F292" i="1"/>
  <c r="G308" i="1"/>
  <c r="F308" i="1"/>
  <c r="G324" i="1"/>
  <c r="F324" i="1"/>
  <c r="G338" i="1"/>
  <c r="F338" i="1"/>
  <c r="H88" i="1"/>
  <c r="G88" i="1"/>
  <c r="F88" i="1"/>
  <c r="H109" i="1"/>
  <c r="G109" i="1"/>
  <c r="F109" i="1"/>
  <c r="H128" i="1"/>
  <c r="G128" i="1"/>
  <c r="F128" i="1"/>
  <c r="H146" i="1"/>
  <c r="G146" i="1"/>
  <c r="F146" i="1"/>
  <c r="H167" i="1"/>
  <c r="G167" i="1"/>
  <c r="F167" i="1"/>
  <c r="H87" i="1"/>
  <c r="G87" i="1"/>
  <c r="F87" i="1"/>
  <c r="H108" i="1"/>
  <c r="G108" i="1"/>
  <c r="F108" i="1"/>
  <c r="H127" i="1"/>
  <c r="G127" i="1"/>
  <c r="F127" i="1"/>
  <c r="H145" i="1"/>
  <c r="G145" i="1"/>
  <c r="F145" i="1"/>
  <c r="H86" i="1"/>
  <c r="G86" i="1"/>
  <c r="F86" i="1"/>
  <c r="H107" i="1"/>
  <c r="G107" i="1"/>
  <c r="F107" i="1"/>
  <c r="H126" i="1"/>
  <c r="G126" i="1"/>
  <c r="F126" i="1"/>
  <c r="G275" i="1"/>
  <c r="F275" i="1"/>
  <c r="G291" i="1"/>
  <c r="F291" i="1"/>
  <c r="G185" i="1"/>
  <c r="F185" i="1"/>
  <c r="G204" i="1"/>
  <c r="F204" i="1"/>
  <c r="G222" i="1"/>
  <c r="F222" i="1"/>
  <c r="G240" i="1"/>
  <c r="F240" i="1"/>
  <c r="G257" i="1"/>
  <c r="F257" i="1"/>
  <c r="G15" i="1"/>
  <c r="F15" i="1"/>
  <c r="G29" i="1"/>
  <c r="F29" i="1"/>
  <c r="G42" i="1"/>
  <c r="F42" i="1"/>
  <c r="G55" i="1"/>
  <c r="F55" i="1"/>
  <c r="G67" i="1"/>
  <c r="F67" i="1"/>
  <c r="G274" i="1"/>
  <c r="F274" i="1"/>
  <c r="G290" i="1"/>
  <c r="F290" i="1"/>
  <c r="G307" i="1"/>
  <c r="F307" i="1"/>
  <c r="G323" i="1"/>
  <c r="F323" i="1"/>
  <c r="G337" i="1"/>
  <c r="F337" i="1"/>
  <c r="G273" i="1"/>
  <c r="F273" i="1"/>
  <c r="G289" i="1"/>
  <c r="F289" i="1"/>
  <c r="G306" i="1"/>
  <c r="F306" i="1"/>
  <c r="G322" i="1"/>
  <c r="F322" i="1"/>
  <c r="G336" i="1"/>
  <c r="F336" i="1"/>
  <c r="G272" i="1"/>
  <c r="F272" i="1"/>
  <c r="G271" i="1"/>
  <c r="F271" i="1"/>
  <c r="G288" i="1"/>
  <c r="F288" i="1"/>
  <c r="G305" i="1"/>
  <c r="F305" i="1"/>
  <c r="G321" i="1"/>
  <c r="F321" i="1"/>
  <c r="G335" i="1"/>
  <c r="F335" i="1"/>
  <c r="G14" i="1"/>
  <c r="F14" i="1"/>
  <c r="G28" i="1"/>
  <c r="F28" i="1"/>
  <c r="G41" i="1"/>
  <c r="F41" i="1"/>
  <c r="G54" i="1"/>
  <c r="F54" i="1"/>
  <c r="G66" i="1"/>
  <c r="F66" i="1"/>
  <c r="G13" i="1"/>
  <c r="F13" i="1"/>
  <c r="G27" i="1"/>
  <c r="F27" i="1"/>
  <c r="G40" i="1"/>
  <c r="F40" i="1"/>
  <c r="G53" i="1"/>
  <c r="F53" i="1"/>
  <c r="G65" i="1"/>
  <c r="F65" i="1"/>
  <c r="H85" i="1"/>
  <c r="G85" i="1"/>
  <c r="F85" i="1"/>
  <c r="H106" i="1"/>
  <c r="G106" i="1"/>
  <c r="F106" i="1"/>
  <c r="H125" i="1"/>
  <c r="G125" i="1"/>
  <c r="F125" i="1"/>
  <c r="H144" i="1"/>
  <c r="G144" i="1"/>
  <c r="F144" i="1"/>
  <c r="H166" i="1"/>
  <c r="G166" i="1"/>
  <c r="F166" i="1"/>
  <c r="H84" i="1"/>
  <c r="G84" i="1"/>
  <c r="F84" i="1"/>
  <c r="H105" i="1"/>
  <c r="G105" i="1"/>
  <c r="F105" i="1"/>
  <c r="G12" i="1"/>
  <c r="F12" i="1"/>
  <c r="G52" i="1"/>
  <c r="F52" i="1"/>
  <c r="H83" i="1"/>
  <c r="G83" i="1"/>
  <c r="F83" i="1"/>
  <c r="H104" i="1"/>
  <c r="G104" i="1"/>
  <c r="F104" i="1"/>
  <c r="H124" i="1"/>
  <c r="G124" i="1"/>
  <c r="F124" i="1"/>
  <c r="H143" i="1"/>
  <c r="G143" i="1"/>
  <c r="F143" i="1"/>
  <c r="H165" i="1"/>
  <c r="G165" i="1"/>
  <c r="F165" i="1"/>
  <c r="H406" i="1"/>
  <c r="G406" i="1"/>
  <c r="F406" i="1"/>
  <c r="G11" i="1"/>
  <c r="F11" i="1"/>
  <c r="G26" i="1"/>
  <c r="F26" i="1"/>
  <c r="G39" i="1"/>
  <c r="F39" i="1"/>
  <c r="H82" i="1"/>
  <c r="G82" i="1"/>
  <c r="F82" i="1"/>
  <c r="H103" i="1"/>
  <c r="G103" i="1"/>
  <c r="F103" i="1"/>
  <c r="H123" i="1"/>
  <c r="G123" i="1"/>
  <c r="F123" i="1"/>
  <c r="H142" i="1"/>
  <c r="G142" i="1"/>
  <c r="F142" i="1"/>
  <c r="H164" i="1"/>
  <c r="G164" i="1"/>
  <c r="F164" i="1"/>
  <c r="H81" i="1"/>
  <c r="G81" i="1"/>
  <c r="F81" i="1"/>
  <c r="H102" i="1"/>
  <c r="G102" i="1"/>
  <c r="F102" i="1"/>
  <c r="H122" i="1"/>
  <c r="G122" i="1"/>
  <c r="F122" i="1"/>
  <c r="H141" i="1"/>
  <c r="G141" i="1"/>
  <c r="F141" i="1"/>
  <c r="H163" i="1"/>
  <c r="G163" i="1"/>
  <c r="F163" i="1"/>
  <c r="H80" i="1"/>
  <c r="G80" i="1"/>
  <c r="F80" i="1"/>
  <c r="H101" i="1"/>
  <c r="G101" i="1"/>
  <c r="F101" i="1"/>
  <c r="H121" i="1"/>
  <c r="G121" i="1"/>
  <c r="F121" i="1"/>
  <c r="H140" i="1"/>
  <c r="G140" i="1"/>
  <c r="F140" i="1"/>
  <c r="H162" i="1"/>
  <c r="G162" i="1"/>
  <c r="F162" i="1"/>
  <c r="G184" i="1"/>
  <c r="F184" i="1"/>
  <c r="G221" i="1"/>
  <c r="F221" i="1"/>
  <c r="H100" i="1"/>
  <c r="G100" i="1"/>
  <c r="F100" i="1"/>
  <c r="H120" i="1"/>
  <c r="G120" i="1"/>
  <c r="F120" i="1"/>
  <c r="H139" i="1"/>
  <c r="G139" i="1"/>
  <c r="F139" i="1"/>
  <c r="G183" i="1"/>
  <c r="F183" i="1"/>
  <c r="G203" i="1"/>
  <c r="F203" i="1"/>
  <c r="G220" i="1"/>
  <c r="F220" i="1"/>
  <c r="G239" i="1"/>
  <c r="F239" i="1"/>
  <c r="G256" i="1"/>
  <c r="F256" i="1"/>
  <c r="G270" i="1"/>
  <c r="F270" i="1"/>
  <c r="G287" i="1"/>
  <c r="F287" i="1"/>
  <c r="G304" i="1"/>
  <c r="F304" i="1"/>
  <c r="G320" i="1"/>
  <c r="F320" i="1"/>
  <c r="G334" i="1"/>
  <c r="F334" i="1"/>
  <c r="H79" i="1"/>
  <c r="G79" i="1"/>
  <c r="F79" i="1"/>
  <c r="H99" i="1"/>
  <c r="G99" i="1"/>
  <c r="F99" i="1"/>
  <c r="H119" i="1"/>
  <c r="G119" i="1"/>
  <c r="F119" i="1"/>
  <c r="H149" i="1"/>
  <c r="G149" i="1"/>
  <c r="F149" i="1"/>
  <c r="H161" i="1"/>
  <c r="G161" i="1"/>
  <c r="F161" i="1"/>
  <c r="H78" i="1"/>
  <c r="G78" i="1"/>
  <c r="F78" i="1"/>
  <c r="H98" i="1"/>
  <c r="G98" i="1"/>
  <c r="F98" i="1"/>
  <c r="H118" i="1"/>
  <c r="G118" i="1"/>
  <c r="F118" i="1"/>
  <c r="H138" i="1"/>
  <c r="G138" i="1"/>
  <c r="F138" i="1"/>
  <c r="H160" i="1"/>
  <c r="G160" i="1"/>
  <c r="F160" i="1"/>
  <c r="H77" i="1"/>
  <c r="G77" i="1"/>
  <c r="F77" i="1"/>
  <c r="H97" i="1"/>
  <c r="G97" i="1"/>
  <c r="F97" i="1"/>
  <c r="H117" i="1"/>
  <c r="G117" i="1"/>
  <c r="F117" i="1"/>
  <c r="H159" i="1"/>
  <c r="G159" i="1"/>
  <c r="F159" i="1"/>
  <c r="G182" i="1"/>
  <c r="F182" i="1"/>
  <c r="G202" i="1"/>
  <c r="F202" i="1"/>
  <c r="G219" i="1"/>
  <c r="F219" i="1"/>
  <c r="G238" i="1"/>
  <c r="F238" i="1"/>
  <c r="G255" i="1"/>
  <c r="F255" i="1"/>
  <c r="G181" i="1"/>
  <c r="F181" i="1"/>
  <c r="G201" i="1"/>
  <c r="F201" i="1"/>
  <c r="G218" i="1"/>
  <c r="F218" i="1"/>
  <c r="G237" i="1"/>
  <c r="F237" i="1"/>
  <c r="G254" i="1"/>
  <c r="F254" i="1"/>
  <c r="G10" i="1"/>
  <c r="F10" i="1"/>
  <c r="G38" i="1"/>
  <c r="F38" i="1"/>
  <c r="H76" i="1"/>
  <c r="G76" i="1"/>
  <c r="F76" i="1"/>
  <c r="H96" i="1"/>
  <c r="G96" i="1"/>
  <c r="F96" i="1"/>
  <c r="G180" i="1"/>
  <c r="F180" i="1"/>
  <c r="G200" i="1"/>
  <c r="F200" i="1"/>
  <c r="G217" i="1"/>
  <c r="F217" i="1"/>
  <c r="G236" i="1"/>
  <c r="F236" i="1"/>
  <c r="G253" i="1"/>
  <c r="F253" i="1"/>
  <c r="H75" i="1"/>
  <c r="G75" i="1"/>
  <c r="F75" i="1"/>
  <c r="H95" i="1"/>
  <c r="G95" i="1"/>
  <c r="F95" i="1"/>
  <c r="H116" i="1"/>
  <c r="G116" i="1"/>
  <c r="F116" i="1"/>
  <c r="H137" i="1"/>
  <c r="G137" i="1"/>
  <c r="F137" i="1"/>
  <c r="H158" i="1"/>
  <c r="G158" i="1"/>
  <c r="F158" i="1"/>
  <c r="G179" i="1"/>
  <c r="F179" i="1"/>
  <c r="G199" i="1"/>
  <c r="F199" i="1"/>
  <c r="G216" i="1"/>
  <c r="F216" i="1"/>
  <c r="G235" i="1"/>
  <c r="F235" i="1"/>
  <c r="F252" i="1"/>
  <c r="G178" i="1"/>
  <c r="F178" i="1"/>
  <c r="G198" i="1"/>
  <c r="F198" i="1"/>
  <c r="G303" i="1"/>
  <c r="F303" i="1"/>
  <c r="G269" i="1"/>
  <c r="F269" i="1"/>
  <c r="G286" i="1"/>
  <c r="F286" i="1"/>
  <c r="G302" i="1"/>
  <c r="F302" i="1"/>
  <c r="G319" i="1"/>
  <c r="F319" i="1"/>
  <c r="G333" i="1"/>
  <c r="F333" i="1"/>
  <c r="H354" i="1"/>
  <c r="G354" i="1"/>
  <c r="F354" i="1"/>
  <c r="H369" i="1"/>
  <c r="G369" i="1"/>
  <c r="F369" i="1"/>
  <c r="H392" i="1"/>
  <c r="G392" i="1"/>
  <c r="F392" i="1"/>
  <c r="H405" i="1"/>
  <c r="G405" i="1"/>
  <c r="F405" i="1"/>
  <c r="H353" i="1"/>
  <c r="G353" i="1"/>
  <c r="F353" i="1"/>
  <c r="H368" i="1"/>
  <c r="G368" i="1"/>
  <c r="F368" i="1"/>
  <c r="H391" i="1"/>
  <c r="G391" i="1"/>
  <c r="F391" i="1"/>
  <c r="H404" i="1"/>
  <c r="G404" i="1"/>
  <c r="F404" i="1"/>
  <c r="H352" i="1"/>
  <c r="G352" i="1"/>
  <c r="F352" i="1"/>
  <c r="H367" i="1"/>
  <c r="G367" i="1"/>
  <c r="F367" i="1"/>
  <c r="H390" i="1"/>
  <c r="G390" i="1"/>
  <c r="F390" i="1"/>
  <c r="H403" i="1"/>
  <c r="G403" i="1"/>
  <c r="F403" i="1"/>
  <c r="H402" i="1"/>
  <c r="G402" i="1"/>
  <c r="F402" i="1"/>
  <c r="G268" i="1"/>
  <c r="F268" i="1"/>
  <c r="G285" i="1"/>
  <c r="F285" i="1"/>
  <c r="G301" i="1"/>
  <c r="F301" i="1"/>
  <c r="G318" i="1"/>
  <c r="F318" i="1"/>
  <c r="G332" i="1"/>
  <c r="F332" i="1"/>
  <c r="H351" i="1"/>
  <c r="G351" i="1"/>
  <c r="F351" i="1"/>
  <c r="H366" i="1"/>
  <c r="G366" i="1"/>
  <c r="F366" i="1"/>
  <c r="H378" i="1"/>
  <c r="G378" i="1"/>
  <c r="F378" i="1"/>
  <c r="H389" i="1"/>
  <c r="G389" i="1"/>
  <c r="F389" i="1"/>
  <c r="H401" i="1"/>
  <c r="G401" i="1"/>
  <c r="F401" i="1"/>
  <c r="G267" i="1"/>
  <c r="F267" i="1"/>
  <c r="G284" i="1"/>
  <c r="F284" i="1"/>
  <c r="G300" i="1"/>
  <c r="F300" i="1"/>
  <c r="G317" i="1"/>
  <c r="F317" i="1"/>
  <c r="G331" i="1"/>
  <c r="F331" i="1"/>
  <c r="H350" i="1"/>
  <c r="G350" i="1"/>
  <c r="F350" i="1"/>
  <c r="H365" i="1"/>
  <c r="G365" i="1"/>
  <c r="F365" i="1"/>
  <c r="H74" i="1"/>
  <c r="G74" i="1"/>
  <c r="F74" i="1"/>
  <c r="H94" i="1"/>
  <c r="G94" i="1"/>
  <c r="F94" i="1"/>
  <c r="H115" i="1"/>
  <c r="G115" i="1"/>
  <c r="F115" i="1"/>
  <c r="H136" i="1"/>
  <c r="G136" i="1"/>
  <c r="F136" i="1"/>
  <c r="H157" i="1"/>
  <c r="G157" i="1"/>
  <c r="F157" i="1"/>
  <c r="G51" i="1"/>
  <c r="F51" i="1"/>
  <c r="G64" i="1"/>
  <c r="F64" i="1"/>
  <c r="G349" i="1"/>
  <c r="F349" i="1"/>
  <c r="G9" i="1"/>
  <c r="F9" i="1"/>
  <c r="G25" i="1"/>
  <c r="F25" i="1"/>
  <c r="G37" i="1"/>
  <c r="F37" i="1"/>
  <c r="G50" i="1"/>
  <c r="F50" i="1"/>
  <c r="G63" i="1"/>
  <c r="F63" i="1"/>
  <c r="G266" i="1"/>
  <c r="F266" i="1"/>
  <c r="G283" i="1"/>
  <c r="F283" i="1"/>
  <c r="G299" i="1"/>
  <c r="F299" i="1"/>
  <c r="G316" i="1"/>
  <c r="F316" i="1"/>
  <c r="G330" i="1"/>
  <c r="F330" i="1"/>
  <c r="G348" i="1"/>
  <c r="F348" i="1"/>
  <c r="G364" i="1"/>
  <c r="F364" i="1"/>
  <c r="G377" i="1"/>
  <c r="F377" i="1"/>
  <c r="G388" i="1"/>
  <c r="F388" i="1"/>
  <c r="G400" i="1"/>
  <c r="F400" i="1"/>
  <c r="G197" i="1"/>
  <c r="F197" i="1"/>
  <c r="G234" i="1"/>
  <c r="F234" i="1"/>
  <c r="G265" i="1"/>
  <c r="F265" i="1"/>
  <c r="G282" i="1"/>
  <c r="F282" i="1"/>
  <c r="G298" i="1"/>
  <c r="F298" i="1"/>
  <c r="G315" i="1"/>
  <c r="F315" i="1"/>
  <c r="G329" i="1"/>
  <c r="F329" i="1"/>
  <c r="G347" i="1"/>
  <c r="F347" i="1"/>
  <c r="G363" i="1"/>
  <c r="F363" i="1"/>
  <c r="G376" i="1"/>
  <c r="F376" i="1"/>
  <c r="G387" i="1"/>
  <c r="F387" i="1"/>
  <c r="G399" i="1"/>
  <c r="F399" i="1"/>
  <c r="H346" i="1"/>
  <c r="G346" i="1"/>
  <c r="F346" i="1"/>
  <c r="H362" i="1"/>
  <c r="G362" i="1"/>
  <c r="F362" i="1"/>
  <c r="G177" i="1"/>
  <c r="F177" i="1"/>
  <c r="G196" i="1"/>
  <c r="F196" i="1"/>
  <c r="G215" i="1"/>
  <c r="F215" i="1"/>
  <c r="G233" i="1"/>
  <c r="F233" i="1"/>
  <c r="G251" i="1"/>
  <c r="F251" i="1"/>
  <c r="G8" i="1"/>
  <c r="F8" i="1"/>
  <c r="G36" i="1"/>
  <c r="F36" i="1"/>
  <c r="G49" i="1"/>
  <c r="F49" i="1"/>
  <c r="G62" i="1"/>
  <c r="F62" i="1"/>
  <c r="G264" i="1"/>
  <c r="F264" i="1"/>
  <c r="G314" i="1"/>
  <c r="F314" i="1"/>
  <c r="G7" i="1"/>
  <c r="F7" i="1"/>
  <c r="G24" i="1"/>
  <c r="F24" i="1"/>
  <c r="G23" i="1"/>
  <c r="F23" i="1"/>
  <c r="H148" i="1"/>
  <c r="G148" i="1"/>
  <c r="F148" i="1"/>
  <c r="H156" i="1"/>
  <c r="G156" i="1"/>
  <c r="F156" i="1"/>
  <c r="H93" i="1"/>
  <c r="G93" i="1"/>
  <c r="F93" i="1"/>
  <c r="H114" i="1"/>
  <c r="G114" i="1"/>
  <c r="F114" i="1"/>
  <c r="H135" i="1"/>
  <c r="G135" i="1"/>
  <c r="F135" i="1"/>
  <c r="H155" i="1"/>
  <c r="G155" i="1"/>
  <c r="F155" i="1"/>
  <c r="H361" i="1"/>
  <c r="G361" i="1"/>
  <c r="F361" i="1"/>
  <c r="H375" i="1"/>
  <c r="G375" i="1"/>
  <c r="F375" i="1"/>
  <c r="G176" i="1"/>
  <c r="F176" i="1"/>
  <c r="G195" i="1"/>
  <c r="F195" i="1"/>
  <c r="G214" i="1"/>
  <c r="F214" i="1"/>
  <c r="G232" i="1"/>
  <c r="F232" i="1"/>
  <c r="G250" i="1"/>
  <c r="F250" i="1"/>
  <c r="H73" i="1"/>
  <c r="G73" i="1"/>
  <c r="F73" i="1"/>
  <c r="G175" i="1"/>
  <c r="F175" i="1"/>
  <c r="G194" i="1"/>
  <c r="F194" i="1"/>
  <c r="G213" i="1"/>
  <c r="F213" i="1"/>
  <c r="G231" i="1"/>
  <c r="F231" i="1"/>
  <c r="G249" i="1"/>
  <c r="F249" i="1"/>
  <c r="G6" i="1"/>
  <c r="F6" i="1"/>
  <c r="G22" i="1"/>
  <c r="F22" i="1"/>
  <c r="G35" i="1"/>
  <c r="F35" i="1"/>
  <c r="G48" i="1"/>
  <c r="F48" i="1"/>
  <c r="G61" i="1"/>
  <c r="F61" i="1"/>
  <c r="H134" i="1"/>
  <c r="G134" i="1"/>
  <c r="F134" i="1"/>
  <c r="H154" i="1"/>
  <c r="G154" i="1"/>
  <c r="F154" i="1"/>
  <c r="G5" i="1"/>
  <c r="F5" i="1"/>
  <c r="G21" i="1"/>
  <c r="F21" i="1"/>
  <c r="H386" i="1"/>
  <c r="G386" i="1"/>
  <c r="F386" i="1"/>
  <c r="H398" i="1"/>
  <c r="G398" i="1"/>
  <c r="F398" i="1"/>
  <c r="G174" i="1"/>
  <c r="F174" i="1"/>
  <c r="G193" i="1"/>
  <c r="F193" i="1"/>
  <c r="G212" i="1"/>
  <c r="F212" i="1"/>
  <c r="G230" i="1"/>
  <c r="F230" i="1"/>
  <c r="G248" i="1"/>
  <c r="F248" i="1"/>
  <c r="G173" i="1"/>
  <c r="F173" i="1"/>
  <c r="G192" i="1"/>
  <c r="F192" i="1"/>
  <c r="G211" i="1"/>
  <c r="F211" i="1"/>
  <c r="G229" i="1"/>
  <c r="F229" i="1"/>
  <c r="G247" i="1"/>
  <c r="F247" i="1"/>
  <c r="G172" i="1"/>
  <c r="F172" i="1"/>
  <c r="G210" i="1"/>
  <c r="F210" i="1"/>
  <c r="G228" i="1"/>
  <c r="F228" i="1"/>
  <c r="G246" i="1"/>
  <c r="F246" i="1"/>
  <c r="G263" i="1"/>
  <c r="F263" i="1"/>
  <c r="G281" i="1"/>
  <c r="F281" i="1"/>
  <c r="G297" i="1"/>
  <c r="F297" i="1"/>
  <c r="G313" i="1"/>
  <c r="F313" i="1"/>
  <c r="G328" i="1"/>
  <c r="F328" i="1"/>
  <c r="G345" i="1"/>
  <c r="F345" i="1"/>
  <c r="G360" i="1"/>
  <c r="F360" i="1"/>
  <c r="G374" i="1"/>
  <c r="F374" i="1"/>
  <c r="G385" i="1"/>
  <c r="F385" i="1"/>
  <c r="G397" i="1"/>
  <c r="F397" i="1"/>
  <c r="H359" i="1"/>
  <c r="G359" i="1"/>
  <c r="F359" i="1"/>
  <c r="H384" i="1"/>
  <c r="G384" i="1"/>
  <c r="F384" i="1"/>
  <c r="G4" i="1"/>
  <c r="F4" i="1"/>
  <c r="G20" i="1"/>
  <c r="F20" i="1"/>
  <c r="G34" i="1"/>
  <c r="F34" i="1"/>
  <c r="G47" i="1"/>
  <c r="F47" i="1"/>
  <c r="G60" i="1"/>
  <c r="F60" i="1"/>
  <c r="G3" i="1"/>
  <c r="F3" i="1"/>
  <c r="G19" i="1"/>
  <c r="F19" i="1"/>
  <c r="G33" i="1"/>
  <c r="F33" i="1"/>
  <c r="G46" i="1"/>
  <c r="F46" i="1"/>
  <c r="G59" i="1"/>
  <c r="F59" i="1"/>
  <c r="G2" i="1"/>
  <c r="G18" i="1"/>
  <c r="F18" i="1"/>
  <c r="G32" i="1"/>
  <c r="F32" i="1"/>
  <c r="G45" i="1"/>
  <c r="F45" i="1"/>
  <c r="G58" i="1"/>
  <c r="F58" i="1"/>
  <c r="G262" i="1"/>
  <c r="F262" i="1"/>
  <c r="G280" i="1"/>
  <c r="F280" i="1"/>
  <c r="G296" i="1"/>
  <c r="F296" i="1"/>
  <c r="G312" i="1"/>
  <c r="F312" i="1"/>
  <c r="G327" i="1"/>
  <c r="F327" i="1"/>
  <c r="G171" i="1"/>
  <c r="F171" i="1"/>
  <c r="G191" i="1"/>
  <c r="F191" i="1"/>
  <c r="G209" i="1"/>
  <c r="F209" i="1"/>
  <c r="H72" i="1"/>
  <c r="G72" i="1"/>
  <c r="F72" i="1"/>
  <c r="H92" i="1"/>
  <c r="G92" i="1"/>
  <c r="F92" i="1"/>
  <c r="H113" i="1"/>
  <c r="G113" i="1"/>
  <c r="F113" i="1"/>
  <c r="H133" i="1"/>
  <c r="G133" i="1"/>
  <c r="F133" i="1"/>
  <c r="H153" i="1"/>
  <c r="G153" i="1"/>
  <c r="F153" i="1"/>
  <c r="H71" i="1"/>
  <c r="G71" i="1"/>
  <c r="F71" i="1"/>
  <c r="H91" i="1"/>
  <c r="G91" i="1"/>
  <c r="F91" i="1"/>
  <c r="H112" i="1"/>
  <c r="G112" i="1"/>
  <c r="F112" i="1"/>
  <c r="H132" i="1"/>
  <c r="G132" i="1"/>
  <c r="F132" i="1"/>
  <c r="H152" i="1"/>
  <c r="G152" i="1"/>
  <c r="F152" i="1"/>
  <c r="G170" i="1"/>
  <c r="F170" i="1"/>
  <c r="H190" i="1"/>
  <c r="G190" i="1"/>
  <c r="F190" i="1"/>
  <c r="G208" i="1"/>
  <c r="F208" i="1"/>
  <c r="G227" i="1"/>
  <c r="F227" i="1"/>
  <c r="G245" i="1"/>
  <c r="F245" i="1"/>
  <c r="H344" i="1"/>
  <c r="G344" i="1"/>
  <c r="F344" i="1"/>
  <c r="H358" i="1"/>
  <c r="G358" i="1"/>
  <c r="F358" i="1"/>
  <c r="H373" i="1"/>
  <c r="G373" i="1"/>
  <c r="F373" i="1"/>
  <c r="H383" i="1"/>
  <c r="G383" i="1"/>
  <c r="F383" i="1"/>
  <c r="H396" i="1"/>
  <c r="G396" i="1"/>
  <c r="F396" i="1"/>
  <c r="H357" i="1"/>
  <c r="G357" i="1"/>
  <c r="F357" i="1"/>
  <c r="H372" i="1"/>
  <c r="G372" i="1"/>
  <c r="F372" i="1"/>
  <c r="H382" i="1"/>
  <c r="G382" i="1"/>
  <c r="F382" i="1"/>
  <c r="H70" i="1"/>
  <c r="G70" i="1"/>
  <c r="F70" i="1"/>
  <c r="H90" i="1"/>
  <c r="G90" i="1"/>
  <c r="F90" i="1"/>
  <c r="H111" i="1"/>
  <c r="G111" i="1"/>
  <c r="F111" i="1"/>
  <c r="H131" i="1"/>
  <c r="G131" i="1"/>
  <c r="F131" i="1"/>
  <c r="H151" i="1"/>
  <c r="G151" i="1"/>
  <c r="F151" i="1"/>
  <c r="H110" i="1"/>
  <c r="G110" i="1"/>
  <c r="F110" i="1"/>
  <c r="H130" i="1"/>
  <c r="G130" i="1"/>
  <c r="F130" i="1"/>
  <c r="H150" i="1"/>
  <c r="G150" i="1"/>
  <c r="F150" i="1"/>
  <c r="G343" i="1"/>
  <c r="F343" i="1"/>
  <c r="H342" i="1"/>
  <c r="G342" i="1"/>
  <c r="F342" i="1"/>
  <c r="H356" i="1"/>
  <c r="G356" i="1"/>
  <c r="F356" i="1"/>
  <c r="H371" i="1"/>
  <c r="G371" i="1"/>
  <c r="F371" i="1"/>
  <c r="H381" i="1"/>
  <c r="G381" i="1"/>
  <c r="F381" i="1"/>
  <c r="H395" i="1"/>
  <c r="G395" i="1"/>
  <c r="F395" i="1"/>
  <c r="G380" i="1"/>
  <c r="F380" i="1"/>
  <c r="H394" i="1"/>
  <c r="G394" i="1"/>
  <c r="F394" i="1"/>
  <c r="G341" i="1"/>
  <c r="F341" i="1"/>
  <c r="G261" i="1"/>
  <c r="F261" i="1"/>
  <c r="G279" i="1"/>
  <c r="F279" i="1"/>
  <c r="G295" i="1"/>
  <c r="F295" i="1"/>
  <c r="G311" i="1"/>
  <c r="F311" i="1"/>
  <c r="G326" i="1"/>
  <c r="F326" i="1"/>
  <c r="H59" i="1" l="1"/>
  <c r="H38" i="1"/>
  <c r="H61" i="1"/>
  <c r="H35" i="1"/>
  <c r="H11" i="1"/>
  <c r="H46" i="1"/>
  <c r="H48" i="1"/>
  <c r="H37" i="1"/>
  <c r="H252" i="1"/>
  <c r="H63" i="1"/>
  <c r="T275" i="1"/>
  <c r="J275" i="1" s="1"/>
  <c r="T15" i="1"/>
  <c r="J15" i="1" s="1"/>
  <c r="H51" i="1"/>
  <c r="H31" i="1"/>
  <c r="H26" i="1"/>
  <c r="H60" i="1"/>
  <c r="H21" i="1"/>
  <c r="T291" i="1"/>
  <c r="J291" i="1" s="1"/>
  <c r="H341" i="1"/>
  <c r="H58" i="1"/>
  <c r="H8" i="1"/>
  <c r="T6" i="1"/>
  <c r="J6" i="1" s="1"/>
  <c r="T310" i="1"/>
  <c r="J310" i="1" s="1"/>
  <c r="H278" i="1"/>
  <c r="T314" i="1"/>
  <c r="J314" i="1" s="1"/>
  <c r="T289" i="1"/>
  <c r="J289" i="1" s="1"/>
  <c r="T64" i="1"/>
  <c r="J64" i="1" s="1"/>
  <c r="T50" i="1"/>
  <c r="J50" i="1" s="1"/>
  <c r="H343" i="1"/>
  <c r="H7" i="1"/>
  <c r="H12" i="1"/>
  <c r="H272" i="1"/>
  <c r="H22" i="1"/>
  <c r="H41" i="1"/>
  <c r="H340" i="1"/>
  <c r="H24" i="1"/>
  <c r="H39" i="1"/>
  <c r="H52" i="1"/>
  <c r="H380" i="1"/>
  <c r="H5" i="1"/>
  <c r="H349" i="1"/>
  <c r="H10" i="1"/>
  <c r="H303" i="1"/>
  <c r="H17" i="1"/>
</calcChain>
</file>

<file path=xl/sharedStrings.xml><?xml version="1.0" encoding="utf-8"?>
<sst xmlns="http://schemas.openxmlformats.org/spreadsheetml/2006/main" count="1623" uniqueCount="205">
  <si>
    <t>Team Name</t>
  </si>
  <si>
    <t>League</t>
  </si>
  <si>
    <t>Season</t>
  </si>
  <si>
    <t>Financial Irregularities(1=yes,0=no)</t>
  </si>
  <si>
    <t>League Standing</t>
  </si>
  <si>
    <t>Net Profit Margin(Net profit/operating revenue)</t>
  </si>
  <si>
    <t>Firm Size(Natural log of total assets)</t>
  </si>
  <si>
    <t>Leverage(Total Liabilities/Total assets)</t>
  </si>
  <si>
    <t>Growth</t>
  </si>
  <si>
    <t>Net profit(000,000s)</t>
  </si>
  <si>
    <t>Number of employees</t>
  </si>
  <si>
    <t>Debt(Loans and short term debt)(000,000s)</t>
  </si>
  <si>
    <t>Total Assets(000,000s)</t>
  </si>
  <si>
    <t>Operating Revenue(000,000s)</t>
  </si>
  <si>
    <t>Total Equity(Shareholders funds)(000,000s)</t>
  </si>
  <si>
    <t>Non Current Liabilities(000,000s)</t>
  </si>
  <si>
    <t>Current liabilities(000,000s)</t>
  </si>
  <si>
    <t>Total Liabilities(000,000s)</t>
  </si>
  <si>
    <t>AC Milan</t>
  </si>
  <si>
    <t>Serie A(Italy)</t>
  </si>
  <si>
    <t>17/18</t>
  </si>
  <si>
    <t xml:space="preserve">18/19 </t>
  </si>
  <si>
    <t>19/20</t>
  </si>
  <si>
    <t>20/21</t>
  </si>
  <si>
    <t>21/22</t>
  </si>
  <si>
    <t>Adana Demirspor</t>
  </si>
  <si>
    <t>Süper Lig(Turkey)</t>
  </si>
  <si>
    <t>Akhisar Belediyespor</t>
  </si>
  <si>
    <t>Akhisarspor</t>
  </si>
  <si>
    <t>Alanyaspor</t>
  </si>
  <si>
    <t>Altay</t>
  </si>
  <si>
    <t>Amiens SC</t>
  </si>
  <si>
    <t>Ligue 1(France)</t>
  </si>
  <si>
    <t>Angers SCO</t>
  </si>
  <si>
    <t>Ankaragücü</t>
  </si>
  <si>
    <t>Antalyaspor</t>
  </si>
  <si>
    <t>Arsenal</t>
  </si>
  <si>
    <t>Premier League(England)</t>
  </si>
  <si>
    <t>AS Monaco</t>
  </si>
  <si>
    <t>AS Saint-Étienne</t>
  </si>
  <si>
    <t>Aston Villa</t>
  </si>
  <si>
    <t>Atalanta</t>
  </si>
  <si>
    <t>Athletic Bilbao</t>
  </si>
  <si>
    <t>La Liga(Spain)</t>
  </si>
  <si>
    <t>Atlético Madrid</t>
  </si>
  <si>
    <t>Barcelona</t>
  </si>
  <si>
    <t>BB Erzurumspor</t>
  </si>
  <si>
    <t>Beşiktaş</t>
  </si>
  <si>
    <t>Bologna</t>
  </si>
  <si>
    <t>Bournemouth</t>
  </si>
  <si>
    <t>Brentford FC</t>
  </si>
  <si>
    <t>Brighton &amp; Hove Albion</t>
  </si>
  <si>
    <t>Burnley</t>
  </si>
  <si>
    <t>Bursaspor</t>
  </si>
  <si>
    <t>Cádiz</t>
  </si>
  <si>
    <t>Caen</t>
  </si>
  <si>
    <t>Celta Vigo</t>
  </si>
  <si>
    <t>Chelsea</t>
  </si>
  <si>
    <t>Clermont Foot</t>
  </si>
  <si>
    <t>Crystal Palace</t>
  </si>
  <si>
    <t>Denizlispor</t>
  </si>
  <si>
    <t>Dijon FCO</t>
  </si>
  <si>
    <t>EA Guingamp</t>
  </si>
  <si>
    <t>18/19</t>
  </si>
  <si>
    <t>Eibar</t>
  </si>
  <si>
    <t>Elche</t>
  </si>
  <si>
    <t>Empoli</t>
  </si>
  <si>
    <t>Espanyol</t>
  </si>
  <si>
    <t>Everton</t>
  </si>
  <si>
    <t>Fatih Karagumruk</t>
  </si>
  <si>
    <t>Fenerbahçe</t>
  </si>
  <si>
    <t>Fiorentina</t>
  </si>
  <si>
    <t>Fulham</t>
  </si>
  <si>
    <t>Galatasaray</t>
  </si>
  <si>
    <t>Genoa</t>
  </si>
  <si>
    <t>Getafe</t>
  </si>
  <si>
    <t>Giresunspor</t>
  </si>
  <si>
    <t>Girona</t>
  </si>
  <si>
    <t>Girondins de Bordeaux</t>
  </si>
  <si>
    <t>n.a.</t>
  </si>
  <si>
    <t>Hatayspor</t>
  </si>
  <si>
    <t>Inter Milan</t>
  </si>
  <si>
    <t>Istanbul Başakşehir</t>
  </si>
  <si>
    <t>Juventus</t>
  </si>
  <si>
    <t>Karabükspor</t>
  </si>
  <si>
    <t>Kasımpaşa</t>
  </si>
  <si>
    <t>Kayserispor</t>
  </si>
  <si>
    <t>Konyaspor</t>
  </si>
  <si>
    <t>Lazio</t>
  </si>
  <si>
    <t>Lecce</t>
  </si>
  <si>
    <t>Leeds United</t>
  </si>
  <si>
    <t>Leicester City</t>
  </si>
  <si>
    <t>Lille OSC</t>
  </si>
  <si>
    <t>Liverpool</t>
  </si>
  <si>
    <t>Lorient</t>
  </si>
  <si>
    <t>Mallorca</t>
  </si>
  <si>
    <t>Manchester City</t>
  </si>
  <si>
    <t>Manchester United</t>
  </si>
  <si>
    <t>Metz</t>
  </si>
  <si>
    <t>Montpellier HSC</t>
  </si>
  <si>
    <t>Nantes</t>
  </si>
  <si>
    <t>Napoli</t>
  </si>
  <si>
    <t>Newcastle United</t>
  </si>
  <si>
    <t>Nîmes Olympique</t>
  </si>
  <si>
    <t>Norwich City</t>
  </si>
  <si>
    <t>OGC Nice</t>
  </si>
  <si>
    <t>Olympique de Marseille</t>
  </si>
  <si>
    <t>Olympique Lyonnais (Lyon)</t>
  </si>
  <si>
    <t>Osasuna</t>
  </si>
  <si>
    <t>Osmanlispor</t>
  </si>
  <si>
    <t>Paris Saint-Germain (PSG)</t>
  </si>
  <si>
    <t>Rayo Vallecano</t>
  </si>
  <si>
    <t>RC Lens</t>
  </si>
  <si>
    <t>RC Strasbourg Alsace</t>
  </si>
  <si>
    <t>Real Betis</t>
  </si>
  <si>
    <t>Real Madrid</t>
  </si>
  <si>
    <t>Roma</t>
  </si>
  <si>
    <t>Salernitana</t>
  </si>
  <si>
    <t>Sampdoria</t>
  </si>
  <si>
    <t>Sassuolo</t>
  </si>
  <si>
    <t>Sevilla</t>
  </si>
  <si>
    <t>Southampton</t>
  </si>
  <si>
    <t>Spezia</t>
  </si>
  <si>
    <t>Stade Brestois</t>
  </si>
  <si>
    <t>Stade de Reims</t>
  </si>
  <si>
    <t>Stade Rennais</t>
  </si>
  <si>
    <t>Torino</t>
  </si>
  <si>
    <t>Tottenham Hotspur</t>
  </si>
  <si>
    <t>Toulouse</t>
  </si>
  <si>
    <t>Trabzonspor</t>
  </si>
  <si>
    <t>Troyes AC</t>
  </si>
  <si>
    <t>Udinese</t>
  </si>
  <si>
    <t>Valencia</t>
  </si>
  <si>
    <t>Verona</t>
  </si>
  <si>
    <t>Villarreal</t>
  </si>
  <si>
    <t>Watford</t>
  </si>
  <si>
    <t>West Ham United</t>
  </si>
  <si>
    <t>Wolverhampton Wanderers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</si>
  <si>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</si>
  <si>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</si>
  <si>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</si>
  <si>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</si>
  <si>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</si>
  <si>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</si>
  <si>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</si>
  <si>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</si>
  <si>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</si>
  <si>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</si>
  <si>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</si>
  <si>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Confidence Level(95.0%)</t>
  </si>
  <si>
    <t>(All)</t>
  </si>
  <si>
    <t>Row Labels</t>
  </si>
  <si>
    <t>Count of Net profit(000,000s)</t>
  </si>
  <si>
    <t>UEFA national association members</t>
  </si>
  <si>
    <t>Total number of professional football clubs in europe</t>
  </si>
  <si>
    <t>Total number of teams registered under UEFA</t>
  </si>
  <si>
    <t>No. of leagues chosen in the sample</t>
  </si>
  <si>
    <t>No. of clubs chosen in the sample</t>
  </si>
  <si>
    <t>Less clubs with insufficient financial data</t>
  </si>
  <si>
    <t>Alavés</t>
  </si>
  <si>
    <t>Final sample of clubs</t>
  </si>
  <si>
    <t>Benevento</t>
  </si>
  <si>
    <t>Brescia</t>
  </si>
  <si>
    <t>Cagliari</t>
  </si>
  <si>
    <t>Cardiff City</t>
  </si>
  <si>
    <t>Chievo</t>
  </si>
  <si>
    <t>Crotone</t>
  </si>
  <si>
    <t>Deportivo Alavés</t>
  </si>
  <si>
    <t>Deportivo La Coruña</t>
  </si>
  <si>
    <t>Frosinone</t>
  </si>
  <si>
    <t>Gaziantep FK</t>
  </si>
  <si>
    <t>Gençlerbirliği</t>
  </si>
  <si>
    <t>Göztepe</t>
  </si>
  <si>
    <t>Granada</t>
  </si>
  <si>
    <t>Huddersfield Town</t>
  </si>
  <si>
    <t>Huesca</t>
  </si>
  <si>
    <t>Las Palmas</t>
  </si>
  <si>
    <t>Leganés</t>
  </si>
  <si>
    <t>Levante</t>
  </si>
  <si>
    <t>Málaga</t>
  </si>
  <si>
    <t>Parma</t>
  </si>
  <si>
    <t>Real Sociedad</t>
  </si>
  <si>
    <t>Rizespor</t>
  </si>
  <si>
    <t>Sheffield United</t>
  </si>
  <si>
    <t>Sivasspor</t>
  </si>
  <si>
    <t>SPAL</t>
  </si>
  <si>
    <t>Stoke City</t>
  </si>
  <si>
    <t>Swansea City</t>
  </si>
  <si>
    <t>Valeria</t>
  </si>
  <si>
    <t>Valladolid</t>
  </si>
  <si>
    <t>West Bromwich Albion</t>
  </si>
  <si>
    <t>Yeni Malatyaspor</t>
  </si>
  <si>
    <t>Grand Total</t>
  </si>
  <si>
    <t>Team name</t>
  </si>
  <si>
    <t>Count of Financial Irregularities</t>
  </si>
  <si>
    <t>Return on Equity(Net profit/Total Equity)</t>
  </si>
  <si>
    <t>Goals scored</t>
  </si>
  <si>
    <t>Goals conceded</t>
  </si>
  <si>
    <t>Goal Ratio(Goals scored/Goals conceded)</t>
  </si>
  <si>
    <t>Financial Irregularities</t>
  </si>
  <si>
    <t>Net Profit Margin</t>
  </si>
  <si>
    <t>Firm Size</t>
  </si>
  <si>
    <t>Leverage</t>
  </si>
  <si>
    <t>Return on Equity</t>
  </si>
  <si>
    <t>Goal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</si>
</sst>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&quot;M&quot;"/>
    <numFmt numFmtId="165" formatCode="0.00,\ &quot;M&quot;"/>
    <numFmt numFmtId="166" formatCode="0.000"/>
  </numFmts>
  <fonts count="2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rgb="FF37415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3"/>
      <color rgb="FF555555"/>
      <name val="Arial"/>
      <family val="2"/>
    </font>
    <font>
      <u/>
      <sz val="12"/>
      <color theme="10"/>
      <name val="Aptos Narrow"/>
      <family val="2"/>
      <scheme val="minor"/>
    </font>
    <font>
      <sz val="13"/>
      <color rgb="FF555555"/>
      <name val="Inherit"/>
    </font>
    <font>
      <sz val="14"/>
      <color theme="1"/>
      <name val="Inherit"/>
    </font>
    <font>
      <sz val="12"/>
      <color theme="1"/>
      <name val="Aptos Narrow"/>
      <scheme val="minor"/>
    </font>
    <font>
      <sz val="12"/>
      <color rgb="FF0D0D0D"/>
      <name val="Segoe UI"/>
      <family val="2"/>
    </font>
    <font>
      <sz val="11"/>
      <color rgb="FF000000"/>
      <name val="Arial"/>
      <family val="2"/>
    </font>
    <font>
      <sz val="14"/>
      <color rgb="FF000000"/>
      <name val="Inherit"/>
    </font>
    <font>
      <sz val="11"/>
      <color rgb="FF000000"/>
      <name val="Barlow-Medium"/>
      <charset val="1"/>
    </font>
    <font>
      <sz val="13"/>
      <color theme="1" tint="4.9989318521683403E-2"/>
      <name val="Arial"/>
      <family val="2"/>
    </font>
    <font>
      <sz val="12"/>
      <color theme="1" tint="4.9989318521683403E-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6"/>
      <color rgb="FF000000"/>
      <name val="Arial"/>
      <family val="2"/>
    </font>
    <font>
      <sz val="16"/>
      <color rgb="FF666666"/>
      <name val="Arial"/>
      <family val="2"/>
    </font>
    <font>
      <b/>
      <sz val="12"/>
      <color rgb="FF666666"/>
      <name val="Arial"/>
      <family val="2"/>
    </font>
    <font>
      <sz val="12"/>
      <color rgb="FF666666"/>
      <name val="Arial"/>
      <family val="2"/>
    </font>
    <font>
      <sz val="12"/>
      <color rgb="FF4A4A4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987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3" borderId="0" xfId="0" applyFont="1" applyFill="1"/>
    <xf numFmtId="0" fontId="3" fillId="4" borderId="0" xfId="0" applyFont="1" applyFill="1"/>
    <xf numFmtId="164" fontId="5" fillId="3" borderId="0" xfId="0" applyNumberFormat="1" applyFont="1" applyFill="1"/>
    <xf numFmtId="0" fontId="5" fillId="3" borderId="0" xfId="0" applyFont="1" applyFill="1"/>
    <xf numFmtId="165" fontId="5" fillId="3" borderId="0" xfId="0" applyNumberFormat="1" applyFont="1" applyFill="1"/>
    <xf numFmtId="165" fontId="0" fillId="3" borderId="0" xfId="0" applyNumberFormat="1" applyFill="1"/>
    <xf numFmtId="0" fontId="3" fillId="5" borderId="0" xfId="0" applyFont="1" applyFill="1"/>
    <xf numFmtId="0" fontId="6" fillId="0" borderId="0" xfId="1"/>
    <xf numFmtId="0" fontId="3" fillId="6" borderId="0" xfId="0" applyFont="1" applyFill="1"/>
    <xf numFmtId="0" fontId="4" fillId="6" borderId="0" xfId="0" applyFont="1" applyFill="1"/>
    <xf numFmtId="164" fontId="5" fillId="4" borderId="0" xfId="0" applyNumberFormat="1" applyFont="1" applyFill="1"/>
    <xf numFmtId="0" fontId="5" fillId="4" borderId="0" xfId="0" applyFont="1" applyFill="1"/>
    <xf numFmtId="165" fontId="5" fillId="4" borderId="0" xfId="0" applyNumberFormat="1" applyFont="1" applyFill="1"/>
    <xf numFmtId="165" fontId="0" fillId="4" borderId="0" xfId="0" applyNumberFormat="1" applyFill="1"/>
    <xf numFmtId="164" fontId="7" fillId="4" borderId="0" xfId="0" applyNumberFormat="1" applyFont="1" applyFill="1"/>
    <xf numFmtId="0" fontId="7" fillId="4" borderId="0" xfId="0" applyFont="1" applyFill="1"/>
    <xf numFmtId="165" fontId="7" fillId="4" borderId="0" xfId="0" applyNumberFormat="1" applyFont="1" applyFill="1"/>
    <xf numFmtId="164" fontId="9" fillId="4" borderId="0" xfId="0" applyNumberFormat="1" applyFont="1" applyFill="1"/>
    <xf numFmtId="0" fontId="9" fillId="4" borderId="0" xfId="0" applyFont="1" applyFill="1"/>
    <xf numFmtId="165" fontId="9" fillId="4" borderId="0" xfId="0" applyNumberFormat="1" applyFont="1" applyFill="1"/>
    <xf numFmtId="0" fontId="3" fillId="7" borderId="0" xfId="0" applyFont="1" applyFill="1"/>
    <xf numFmtId="164" fontId="7" fillId="7" borderId="0" xfId="0" applyNumberFormat="1" applyFont="1" applyFill="1"/>
    <xf numFmtId="0" fontId="7" fillId="7" borderId="0" xfId="0" applyFont="1" applyFill="1"/>
    <xf numFmtId="165" fontId="10" fillId="7" borderId="0" xfId="0" applyNumberFormat="1" applyFont="1" applyFill="1" applyAlignment="1">
      <alignment horizontal="left" vertical="center" indent="2"/>
    </xf>
    <xf numFmtId="165" fontId="7" fillId="7" borderId="0" xfId="0" applyNumberFormat="1" applyFont="1" applyFill="1"/>
    <xf numFmtId="165" fontId="0" fillId="7" borderId="0" xfId="0" applyNumberFormat="1" applyFill="1"/>
    <xf numFmtId="165" fontId="10" fillId="7" borderId="0" xfId="0" applyNumberFormat="1" applyFont="1" applyFill="1" applyAlignment="1">
      <alignment horizontal="right"/>
    </xf>
    <xf numFmtId="164" fontId="11" fillId="7" borderId="0" xfId="0" applyNumberFormat="1" applyFont="1" applyFill="1"/>
    <xf numFmtId="0" fontId="9" fillId="7" borderId="0" xfId="0" applyFont="1" applyFill="1"/>
    <xf numFmtId="165" fontId="11" fillId="7" borderId="0" xfId="0" applyNumberFormat="1" applyFont="1" applyFill="1"/>
    <xf numFmtId="3" fontId="7" fillId="7" borderId="0" xfId="0" applyNumberFormat="1" applyFont="1" applyFill="1"/>
    <xf numFmtId="164" fontId="0" fillId="4" borderId="0" xfId="0" applyNumberFormat="1" applyFill="1"/>
    <xf numFmtId="0" fontId="0" fillId="4" borderId="0" xfId="0" applyFill="1"/>
    <xf numFmtId="164" fontId="0" fillId="5" borderId="0" xfId="0" applyNumberFormat="1" applyFill="1"/>
    <xf numFmtId="0" fontId="6" fillId="5" borderId="0" xfId="1" applyFill="1"/>
    <xf numFmtId="165" fontId="12" fillId="5" borderId="0" xfId="0" applyNumberFormat="1" applyFont="1" applyFill="1"/>
    <xf numFmtId="164" fontId="0" fillId="7" borderId="0" xfId="0" applyNumberFormat="1" applyFill="1"/>
    <xf numFmtId="0" fontId="0" fillId="7" borderId="0" xfId="0" applyFill="1"/>
    <xf numFmtId="0" fontId="11" fillId="7" borderId="0" xfId="0" applyFont="1" applyFill="1"/>
    <xf numFmtId="0" fontId="5" fillId="7" borderId="0" xfId="0" applyFont="1" applyFill="1"/>
    <xf numFmtId="165" fontId="13" fillId="7" borderId="0" xfId="0" applyNumberFormat="1" applyFont="1" applyFill="1"/>
    <xf numFmtId="164" fontId="6" fillId="5" borderId="0" xfId="1" applyNumberFormat="1" applyFill="1"/>
    <xf numFmtId="0" fontId="12" fillId="5" borderId="0" xfId="0" applyFont="1" applyFill="1"/>
    <xf numFmtId="0" fontId="0" fillId="5" borderId="0" xfId="0" applyFill="1"/>
    <xf numFmtId="165" fontId="6" fillId="5" borderId="0" xfId="1" applyNumberFormat="1" applyFill="1"/>
    <xf numFmtId="165" fontId="8" fillId="5" borderId="0" xfId="0" applyNumberFormat="1" applyFont="1" applyFill="1"/>
    <xf numFmtId="164" fontId="0" fillId="3" borderId="0" xfId="0" applyNumberFormat="1" applyFill="1"/>
    <xf numFmtId="164" fontId="1" fillId="5" borderId="0" xfId="1" applyNumberFormat="1" applyFont="1" applyFill="1"/>
    <xf numFmtId="165" fontId="5" fillId="7" borderId="0" xfId="0" applyNumberFormat="1" applyFont="1" applyFill="1"/>
    <xf numFmtId="164" fontId="0" fillId="6" borderId="0" xfId="0" applyNumberFormat="1" applyFill="1"/>
    <xf numFmtId="0" fontId="6" fillId="6" borderId="0" xfId="1" applyFill="1"/>
    <xf numFmtId="165" fontId="4" fillId="6" borderId="0" xfId="0" applyNumberFormat="1" applyFont="1" applyFill="1"/>
    <xf numFmtId="0" fontId="0" fillId="6" borderId="0" xfId="0" applyFill="1"/>
    <xf numFmtId="165" fontId="6" fillId="6" borderId="0" xfId="1" applyNumberFormat="1" applyFill="1"/>
    <xf numFmtId="0" fontId="10" fillId="7" borderId="0" xfId="0" applyFont="1" applyFill="1"/>
    <xf numFmtId="165" fontId="0" fillId="6" borderId="0" xfId="0" applyNumberFormat="1" applyFill="1"/>
    <xf numFmtId="164" fontId="14" fillId="3" borderId="0" xfId="0" applyNumberFormat="1" applyFont="1" applyFill="1"/>
    <xf numFmtId="0" fontId="14" fillId="3" borderId="0" xfId="0" applyFont="1" applyFill="1"/>
    <xf numFmtId="165" fontId="14" fillId="3" borderId="0" xfId="0" applyNumberFormat="1" applyFont="1" applyFill="1"/>
    <xf numFmtId="165" fontId="15" fillId="3" borderId="0" xfId="0" applyNumberFormat="1" applyFont="1" applyFill="1"/>
    <xf numFmtId="0" fontId="0" fillId="3" borderId="0" xfId="0" applyFill="1"/>
    <xf numFmtId="165" fontId="1" fillId="3" borderId="0" xfId="1" applyNumberFormat="1" applyFont="1" applyFill="1"/>
    <xf numFmtId="165" fontId="4" fillId="3" borderId="0" xfId="0" applyNumberFormat="1" applyFont="1" applyFill="1"/>
    <xf numFmtId="0" fontId="16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17" fillId="8" borderId="3" xfId="0" applyFont="1" applyFill="1" applyBorder="1"/>
    <xf numFmtId="0" fontId="17" fillId="8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8" fillId="2" borderId="0" xfId="0" applyFont="1" applyFill="1"/>
    <xf numFmtId="0" fontId="4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" fillId="7" borderId="0" xfId="1" applyFont="1" applyFill="1"/>
    <xf numFmtId="0" fontId="6" fillId="7" borderId="0" xfId="1" applyFill="1"/>
    <xf numFmtId="0" fontId="4" fillId="7" borderId="0" xfId="0" applyFont="1" applyFill="1"/>
    <xf numFmtId="0" fontId="1" fillId="6" borderId="0" xfId="1" applyFont="1" applyFill="1"/>
    <xf numFmtId="164" fontId="7" fillId="6" borderId="0" xfId="0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165" fontId="3" fillId="6" borderId="0" xfId="0" applyNumberFormat="1" applyFont="1" applyFill="1"/>
    <xf numFmtId="164" fontId="6" fillId="6" borderId="0" xfId="1" applyNumberFormat="1" applyFill="1"/>
    <xf numFmtId="3" fontId="7" fillId="6" borderId="0" xfId="0" applyNumberFormat="1" applyFont="1" applyFill="1"/>
    <xf numFmtId="0" fontId="4" fillId="4" borderId="0" xfId="0" applyFont="1" applyFill="1"/>
    <xf numFmtId="0" fontId="4" fillId="3" borderId="0" xfId="0" applyFont="1" applyFill="1"/>
    <xf numFmtId="0" fontId="23" fillId="5" borderId="0" xfId="0" applyFont="1" applyFill="1"/>
    <xf numFmtId="165" fontId="0" fillId="5" borderId="0" xfId="0" applyNumberFormat="1" applyFill="1"/>
    <xf numFmtId="164" fontId="7" fillId="5" borderId="0" xfId="0" applyNumberFormat="1" applyFont="1" applyFill="1"/>
    <xf numFmtId="0" fontId="7" fillId="5" borderId="0" xfId="0" applyFont="1" applyFill="1"/>
    <xf numFmtId="165" fontId="7" fillId="5" borderId="0" xfId="0" applyNumberFormat="1" applyFont="1" applyFill="1"/>
    <xf numFmtId="164" fontId="8" fillId="5" borderId="0" xfId="0" applyNumberFormat="1" applyFont="1" applyFill="1"/>
    <xf numFmtId="0" fontId="5" fillId="5" borderId="0" xfId="0" applyFont="1" applyFill="1"/>
    <xf numFmtId="164" fontId="12" fillId="5" borderId="0" xfId="0" applyNumberFormat="1" applyFont="1" applyFill="1"/>
    <xf numFmtId="165" fontId="5" fillId="5" borderId="0" xfId="0" applyNumberFormat="1" applyFont="1" applyFill="1"/>
    <xf numFmtId="164" fontId="5" fillId="5" borderId="0" xfId="0" applyNumberFormat="1" applyFont="1" applyFill="1"/>
    <xf numFmtId="166" fontId="0" fillId="0" borderId="0" xfId="0" applyNumberFormat="1"/>
    <xf numFmtId="166" fontId="0" fillId="0" borderId="2" xfId="0" applyNumberFormat="1" applyBorder="1"/>
    <xf numFmtId="0" fontId="0" fillId="0" borderId="0" xfId="0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sport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28</xdr:row>
      <xdr:rowOff>0</xdr:rowOff>
    </xdr:from>
    <xdr:ext cx="304800" cy="304800"/>
    <xdr:sp macro="" textlink="">
      <xdr:nvSpPr>
        <xdr:cNvPr id="2" name="AutoShape 38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F788BB-678B-4748-95FE-FE214D28F888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713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305</xdr:row>
      <xdr:rowOff>0</xdr:rowOff>
    </xdr:from>
    <xdr:ext cx="304800" cy="304800"/>
    <xdr:sp macro="" textlink="">
      <xdr:nvSpPr>
        <xdr:cNvPr id="3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78578-918D-5C44-94F3-89620C93192D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689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305</xdr:row>
      <xdr:rowOff>0</xdr:rowOff>
    </xdr:from>
    <xdr:ext cx="304800" cy="313267"/>
    <xdr:sp macro="" textlink="">
      <xdr:nvSpPr>
        <xdr:cNvPr id="4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EFCF87-21E9-0B4D-9CD0-EBD759184D03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948300"/>
          <a:ext cx="304800" cy="31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304800"/>
    <xdr:sp macro="" textlink="">
      <xdr:nvSpPr>
        <xdr:cNvPr id="5" name="AutoShape 778" descr="note-add">
          <a:extLst>
            <a:ext uri="{FF2B5EF4-FFF2-40B4-BE49-F238E27FC236}">
              <a16:creationId xmlns:a16="http://schemas.microsoft.com/office/drawing/2014/main" id="{1EA6A5C1-D5BD-454E-B813-C1AAC6A40AC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207</xdr:row>
      <xdr:rowOff>0</xdr:rowOff>
    </xdr:from>
    <xdr:ext cx="304800" cy="304800"/>
    <xdr:sp macro="" textlink="">
      <xdr:nvSpPr>
        <xdr:cNvPr id="6" name="AutoShape 779" descr="alert toggle">
          <a:extLst>
            <a:ext uri="{FF2B5EF4-FFF2-40B4-BE49-F238E27FC236}">
              <a16:creationId xmlns:a16="http://schemas.microsoft.com/office/drawing/2014/main" id="{1901A05F-0724-FA46-9A02-A189AA946B0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169</xdr:row>
      <xdr:rowOff>0</xdr:rowOff>
    </xdr:from>
    <xdr:ext cx="317500" cy="279400"/>
    <xdr:sp macro="" textlink="">
      <xdr:nvSpPr>
        <xdr:cNvPr id="7" name="AutoShape 464" descr="note-add">
          <a:extLst>
            <a:ext uri="{FF2B5EF4-FFF2-40B4-BE49-F238E27FC236}">
              <a16:creationId xmlns:a16="http://schemas.microsoft.com/office/drawing/2014/main" id="{C533B376-3484-5948-84FC-9AE073FB186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391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169</xdr:row>
      <xdr:rowOff>0</xdr:rowOff>
    </xdr:from>
    <xdr:ext cx="304800" cy="279400"/>
    <xdr:sp macro="" textlink="">
      <xdr:nvSpPr>
        <xdr:cNvPr id="8" name="AutoShape 465" descr="alert toggle">
          <a:extLst>
            <a:ext uri="{FF2B5EF4-FFF2-40B4-BE49-F238E27FC236}">
              <a16:creationId xmlns:a16="http://schemas.microsoft.com/office/drawing/2014/main" id="{39587BBF-2D1F-7942-8419-9850E31C061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3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170</xdr:row>
      <xdr:rowOff>0</xdr:rowOff>
    </xdr:from>
    <xdr:ext cx="317500" cy="279400"/>
    <xdr:sp macro="" textlink="">
      <xdr:nvSpPr>
        <xdr:cNvPr id="9" name="AutoShape 466" descr="note-add">
          <a:extLst>
            <a:ext uri="{FF2B5EF4-FFF2-40B4-BE49-F238E27FC236}">
              <a16:creationId xmlns:a16="http://schemas.microsoft.com/office/drawing/2014/main" id="{5186448B-CA4B-E84C-8D76-12772360D25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0058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170</xdr:row>
      <xdr:rowOff>0</xdr:rowOff>
    </xdr:from>
    <xdr:ext cx="304800" cy="279400"/>
    <xdr:sp macro="" textlink="">
      <xdr:nvSpPr>
        <xdr:cNvPr id="10" name="AutoShape 467" descr="alert toggle">
          <a:extLst>
            <a:ext uri="{FF2B5EF4-FFF2-40B4-BE49-F238E27FC236}">
              <a16:creationId xmlns:a16="http://schemas.microsoft.com/office/drawing/2014/main" id="{B49CAA6F-4088-2144-BBA1-888983A0140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005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171</xdr:row>
      <xdr:rowOff>0</xdr:rowOff>
    </xdr:from>
    <xdr:ext cx="317500" cy="301299"/>
    <xdr:sp macro="" textlink="">
      <xdr:nvSpPr>
        <xdr:cNvPr id="11" name="AutoShape 468" descr="note-add">
          <a:extLst>
            <a:ext uri="{FF2B5EF4-FFF2-40B4-BE49-F238E27FC236}">
              <a16:creationId xmlns:a16="http://schemas.microsoft.com/office/drawing/2014/main" id="{81CACB98-625E-A74E-B5F3-C73C48613B2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7830800"/>
          <a:ext cx="3175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171</xdr:row>
      <xdr:rowOff>0</xdr:rowOff>
    </xdr:from>
    <xdr:ext cx="304800" cy="301299"/>
    <xdr:sp macro="" textlink="">
      <xdr:nvSpPr>
        <xdr:cNvPr id="12" name="AutoShape 469" descr="alert toggle">
          <a:extLst>
            <a:ext uri="{FF2B5EF4-FFF2-40B4-BE49-F238E27FC236}">
              <a16:creationId xmlns:a16="http://schemas.microsoft.com/office/drawing/2014/main" id="{379DD628-880E-1144-B4DB-FA32C7F08CE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7830800"/>
          <a:ext cx="3048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172</xdr:row>
      <xdr:rowOff>0</xdr:rowOff>
    </xdr:from>
    <xdr:ext cx="317500" cy="279400"/>
    <xdr:sp macro="" textlink="">
      <xdr:nvSpPr>
        <xdr:cNvPr id="13" name="AutoShape 470" descr="note-add">
          <a:extLst>
            <a:ext uri="{FF2B5EF4-FFF2-40B4-BE49-F238E27FC236}">
              <a16:creationId xmlns:a16="http://schemas.microsoft.com/office/drawing/2014/main" id="{5EF4FA58-3101-514B-9601-C8168050B09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8897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172</xdr:row>
      <xdr:rowOff>0</xdr:rowOff>
    </xdr:from>
    <xdr:ext cx="304800" cy="279400"/>
    <xdr:sp macro="" textlink="">
      <xdr:nvSpPr>
        <xdr:cNvPr id="14" name="AutoShape 471" descr="alert toggle">
          <a:extLst>
            <a:ext uri="{FF2B5EF4-FFF2-40B4-BE49-F238E27FC236}">
              <a16:creationId xmlns:a16="http://schemas.microsoft.com/office/drawing/2014/main" id="{631C3FBA-285F-6540-A202-D5EE2B6FF6E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889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173</xdr:row>
      <xdr:rowOff>0</xdr:rowOff>
    </xdr:from>
    <xdr:ext cx="317500" cy="279400"/>
    <xdr:sp macro="" textlink="">
      <xdr:nvSpPr>
        <xdr:cNvPr id="15" name="AutoShape 472" descr="note-add">
          <a:extLst>
            <a:ext uri="{FF2B5EF4-FFF2-40B4-BE49-F238E27FC236}">
              <a16:creationId xmlns:a16="http://schemas.microsoft.com/office/drawing/2014/main" id="{7DFC1D4B-35D6-0D43-9689-1882BBD450D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9964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173</xdr:row>
      <xdr:rowOff>0</xdr:rowOff>
    </xdr:from>
    <xdr:ext cx="304800" cy="279400"/>
    <xdr:sp macro="" textlink="">
      <xdr:nvSpPr>
        <xdr:cNvPr id="16" name="AutoShape 473" descr="alert toggle">
          <a:extLst>
            <a:ext uri="{FF2B5EF4-FFF2-40B4-BE49-F238E27FC236}">
              <a16:creationId xmlns:a16="http://schemas.microsoft.com/office/drawing/2014/main" id="{F5AD186D-13A2-C349-9DAB-D7CD0A61F55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9964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175</xdr:row>
      <xdr:rowOff>0</xdr:rowOff>
    </xdr:from>
    <xdr:ext cx="317500" cy="279400"/>
    <xdr:sp macro="" textlink="">
      <xdr:nvSpPr>
        <xdr:cNvPr id="17" name="AutoShape 474" descr="note-add">
          <a:extLst>
            <a:ext uri="{FF2B5EF4-FFF2-40B4-BE49-F238E27FC236}">
              <a16:creationId xmlns:a16="http://schemas.microsoft.com/office/drawing/2014/main" id="{396DAE8F-777F-6E43-9DE9-F740E583294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24587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175</xdr:row>
      <xdr:rowOff>0</xdr:rowOff>
    </xdr:from>
    <xdr:ext cx="304800" cy="279400"/>
    <xdr:sp macro="" textlink="">
      <xdr:nvSpPr>
        <xdr:cNvPr id="18" name="AutoShape 475" descr="alert toggle">
          <a:extLst>
            <a:ext uri="{FF2B5EF4-FFF2-40B4-BE49-F238E27FC236}">
              <a16:creationId xmlns:a16="http://schemas.microsoft.com/office/drawing/2014/main" id="{0D60BFAF-B982-754B-825F-9A001BF6AD0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24587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177</xdr:row>
      <xdr:rowOff>0</xdr:rowOff>
    </xdr:from>
    <xdr:ext cx="317500" cy="279400"/>
    <xdr:sp macro="" textlink="">
      <xdr:nvSpPr>
        <xdr:cNvPr id="19" name="AutoShape 476" descr="note-add">
          <a:extLst>
            <a:ext uri="{FF2B5EF4-FFF2-40B4-BE49-F238E27FC236}">
              <a16:creationId xmlns:a16="http://schemas.microsoft.com/office/drawing/2014/main" id="{A837AF88-CE47-8D49-AC7F-389B989F5A8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5694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177</xdr:row>
      <xdr:rowOff>0</xdr:rowOff>
    </xdr:from>
    <xdr:ext cx="304800" cy="279400"/>
    <xdr:sp macro="" textlink="">
      <xdr:nvSpPr>
        <xdr:cNvPr id="20" name="AutoShape 477" descr="alert toggle">
          <a:extLst>
            <a:ext uri="{FF2B5EF4-FFF2-40B4-BE49-F238E27FC236}">
              <a16:creationId xmlns:a16="http://schemas.microsoft.com/office/drawing/2014/main" id="{BDA40923-E30F-0241-9FBF-CD2BC41FC40B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569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178</xdr:row>
      <xdr:rowOff>0</xdr:rowOff>
    </xdr:from>
    <xdr:ext cx="317500" cy="279400"/>
    <xdr:sp macro="" textlink="">
      <xdr:nvSpPr>
        <xdr:cNvPr id="21" name="AutoShape 478" descr="note-add">
          <a:extLst>
            <a:ext uri="{FF2B5EF4-FFF2-40B4-BE49-F238E27FC236}">
              <a16:creationId xmlns:a16="http://schemas.microsoft.com/office/drawing/2014/main" id="{99BC53C9-3B4B-EA41-A1BF-D46168B78730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6761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179</xdr:row>
      <xdr:rowOff>0</xdr:rowOff>
    </xdr:from>
    <xdr:ext cx="317500" cy="279400"/>
    <xdr:sp macro="" textlink="">
      <xdr:nvSpPr>
        <xdr:cNvPr id="22" name="AutoShape 480" descr="note-add">
          <a:extLst>
            <a:ext uri="{FF2B5EF4-FFF2-40B4-BE49-F238E27FC236}">
              <a16:creationId xmlns:a16="http://schemas.microsoft.com/office/drawing/2014/main" id="{55190AA3-87B7-CE42-BB78-D3E8792619A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890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179</xdr:row>
      <xdr:rowOff>0</xdr:rowOff>
    </xdr:from>
    <xdr:ext cx="304800" cy="279400"/>
    <xdr:sp macro="" textlink="">
      <xdr:nvSpPr>
        <xdr:cNvPr id="23" name="AutoShape 481" descr="alert toggle">
          <a:extLst>
            <a:ext uri="{FF2B5EF4-FFF2-40B4-BE49-F238E27FC236}">
              <a16:creationId xmlns:a16="http://schemas.microsoft.com/office/drawing/2014/main" id="{52E560B4-FC4A-3E41-9F57-319294244AD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890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180</xdr:row>
      <xdr:rowOff>0</xdr:rowOff>
    </xdr:from>
    <xdr:ext cx="317500" cy="279400"/>
    <xdr:sp macro="" textlink="">
      <xdr:nvSpPr>
        <xdr:cNvPr id="24" name="AutoShape 482" descr="note-add">
          <a:extLst>
            <a:ext uri="{FF2B5EF4-FFF2-40B4-BE49-F238E27FC236}">
              <a16:creationId xmlns:a16="http://schemas.microsoft.com/office/drawing/2014/main" id="{BF88C341-B320-754B-AD9E-F431254E024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0800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180</xdr:row>
      <xdr:rowOff>0</xdr:rowOff>
    </xdr:from>
    <xdr:ext cx="304800" cy="279400"/>
    <xdr:sp macro="" textlink="">
      <xdr:nvSpPr>
        <xdr:cNvPr id="25" name="AutoShape 483" descr="alert toggle">
          <a:extLst>
            <a:ext uri="{FF2B5EF4-FFF2-40B4-BE49-F238E27FC236}">
              <a16:creationId xmlns:a16="http://schemas.microsoft.com/office/drawing/2014/main" id="{C353779E-F67E-1C45-9C29-5196D6CE08D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0800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181</xdr:row>
      <xdr:rowOff>0</xdr:rowOff>
    </xdr:from>
    <xdr:ext cx="317500" cy="279400"/>
    <xdr:sp macro="" textlink="">
      <xdr:nvSpPr>
        <xdr:cNvPr id="26" name="AutoShape 484" descr="note-add">
          <a:extLst>
            <a:ext uri="{FF2B5EF4-FFF2-40B4-BE49-F238E27FC236}">
              <a16:creationId xmlns:a16="http://schemas.microsoft.com/office/drawing/2014/main" id="{24E45D9C-6295-9143-BD49-2EA7CF59B58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18668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181</xdr:row>
      <xdr:rowOff>0</xdr:rowOff>
    </xdr:from>
    <xdr:ext cx="304800" cy="279400"/>
    <xdr:sp macro="" textlink="">
      <xdr:nvSpPr>
        <xdr:cNvPr id="27" name="AutoShape 485" descr="alert toggle">
          <a:extLst>
            <a:ext uri="{FF2B5EF4-FFF2-40B4-BE49-F238E27FC236}">
              <a16:creationId xmlns:a16="http://schemas.microsoft.com/office/drawing/2014/main" id="{6F5B1CC6-5BA9-D040-AEB1-4A410AF92EE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186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182</xdr:row>
      <xdr:rowOff>0</xdr:rowOff>
    </xdr:from>
    <xdr:ext cx="317500" cy="279400"/>
    <xdr:sp macro="" textlink="">
      <xdr:nvSpPr>
        <xdr:cNvPr id="28" name="AutoShape 486" descr="note-add">
          <a:extLst>
            <a:ext uri="{FF2B5EF4-FFF2-40B4-BE49-F238E27FC236}">
              <a16:creationId xmlns:a16="http://schemas.microsoft.com/office/drawing/2014/main" id="{D19F91FE-8924-1047-AEE5-4F59271C683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6857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182</xdr:row>
      <xdr:rowOff>0</xdr:rowOff>
    </xdr:from>
    <xdr:ext cx="304800" cy="279400"/>
    <xdr:sp macro="" textlink="">
      <xdr:nvSpPr>
        <xdr:cNvPr id="29" name="AutoShape 487" descr="alert toggle">
          <a:extLst>
            <a:ext uri="{FF2B5EF4-FFF2-40B4-BE49-F238E27FC236}">
              <a16:creationId xmlns:a16="http://schemas.microsoft.com/office/drawing/2014/main" id="{9B637913-A87B-2C48-9FFB-C87A21EE1B1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685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183</xdr:row>
      <xdr:rowOff>0</xdr:rowOff>
    </xdr:from>
    <xdr:ext cx="317500" cy="279400"/>
    <xdr:sp macro="" textlink="">
      <xdr:nvSpPr>
        <xdr:cNvPr id="30" name="AutoShape 488" descr="note-add">
          <a:extLst>
            <a:ext uri="{FF2B5EF4-FFF2-40B4-BE49-F238E27FC236}">
              <a16:creationId xmlns:a16="http://schemas.microsoft.com/office/drawing/2014/main" id="{F4DFDED0-4B3A-284F-ABFF-A33B9256304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7886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183</xdr:row>
      <xdr:rowOff>0</xdr:rowOff>
    </xdr:from>
    <xdr:ext cx="304800" cy="279400"/>
    <xdr:sp macro="" textlink="">
      <xdr:nvSpPr>
        <xdr:cNvPr id="31" name="AutoShape 489" descr="alert toggle">
          <a:extLst>
            <a:ext uri="{FF2B5EF4-FFF2-40B4-BE49-F238E27FC236}">
              <a16:creationId xmlns:a16="http://schemas.microsoft.com/office/drawing/2014/main" id="{AAC215DE-08D0-1248-B809-A6BBE0E7681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7886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184</xdr:row>
      <xdr:rowOff>0</xdr:rowOff>
    </xdr:from>
    <xdr:ext cx="317500" cy="279400"/>
    <xdr:sp macro="" textlink="">
      <xdr:nvSpPr>
        <xdr:cNvPr id="32" name="AutoShape 490" descr="note-add">
          <a:extLst>
            <a:ext uri="{FF2B5EF4-FFF2-40B4-BE49-F238E27FC236}">
              <a16:creationId xmlns:a16="http://schemas.microsoft.com/office/drawing/2014/main" id="{AF1C5C5C-3000-5C4E-9FE9-A0AE813BEF6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2618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184</xdr:row>
      <xdr:rowOff>0</xdr:rowOff>
    </xdr:from>
    <xdr:ext cx="304800" cy="279400"/>
    <xdr:sp macro="" textlink="">
      <xdr:nvSpPr>
        <xdr:cNvPr id="33" name="AutoShape 491" descr="alert toggle">
          <a:extLst>
            <a:ext uri="{FF2B5EF4-FFF2-40B4-BE49-F238E27FC236}">
              <a16:creationId xmlns:a16="http://schemas.microsoft.com/office/drawing/2014/main" id="{24615CB6-0FCB-F445-A571-29604C75E15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2618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185</xdr:row>
      <xdr:rowOff>0</xdr:rowOff>
    </xdr:from>
    <xdr:ext cx="317500" cy="279400"/>
    <xdr:sp macro="" textlink="">
      <xdr:nvSpPr>
        <xdr:cNvPr id="34" name="AutoShape 492" descr="note-add">
          <a:extLst>
            <a:ext uri="{FF2B5EF4-FFF2-40B4-BE49-F238E27FC236}">
              <a16:creationId xmlns:a16="http://schemas.microsoft.com/office/drawing/2014/main" id="{305DAFA4-5156-8545-8A74-23D080CE7B5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7698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185</xdr:row>
      <xdr:rowOff>0</xdr:rowOff>
    </xdr:from>
    <xdr:ext cx="304800" cy="279400"/>
    <xdr:sp macro="" textlink="">
      <xdr:nvSpPr>
        <xdr:cNvPr id="35" name="AutoShape 493" descr="alert toggle">
          <a:extLst>
            <a:ext uri="{FF2B5EF4-FFF2-40B4-BE49-F238E27FC236}">
              <a16:creationId xmlns:a16="http://schemas.microsoft.com/office/drawing/2014/main" id="{FB5BEF1A-CEE1-F547-9952-1F5E1977EBA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7698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186</xdr:row>
      <xdr:rowOff>0</xdr:rowOff>
    </xdr:from>
    <xdr:ext cx="317500" cy="279400"/>
    <xdr:sp macro="" textlink="">
      <xdr:nvSpPr>
        <xdr:cNvPr id="36" name="AutoShape 494" descr="note-add">
          <a:extLst>
            <a:ext uri="{FF2B5EF4-FFF2-40B4-BE49-F238E27FC236}">
              <a16:creationId xmlns:a16="http://schemas.microsoft.com/office/drawing/2014/main" id="{7424FADC-4058-894A-8F2A-E890CAA0D6F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4696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186</xdr:row>
      <xdr:rowOff>0</xdr:rowOff>
    </xdr:from>
    <xdr:ext cx="304800" cy="279400"/>
    <xdr:sp macro="" textlink="">
      <xdr:nvSpPr>
        <xdr:cNvPr id="37" name="AutoShape 495" descr="alert toggle">
          <a:extLst>
            <a:ext uri="{FF2B5EF4-FFF2-40B4-BE49-F238E27FC236}">
              <a16:creationId xmlns:a16="http://schemas.microsoft.com/office/drawing/2014/main" id="{3B68F267-EC70-1841-ACFB-3D0062A3067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4696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187</xdr:row>
      <xdr:rowOff>0</xdr:rowOff>
    </xdr:from>
    <xdr:ext cx="317500" cy="279400"/>
    <xdr:sp macro="" textlink="">
      <xdr:nvSpPr>
        <xdr:cNvPr id="38" name="AutoShape 496" descr="note-add">
          <a:extLst>
            <a:ext uri="{FF2B5EF4-FFF2-40B4-BE49-F238E27FC236}">
              <a16:creationId xmlns:a16="http://schemas.microsoft.com/office/drawing/2014/main" id="{21CAC249-5233-E249-A007-0C1424F5D37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57631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187</xdr:row>
      <xdr:rowOff>0</xdr:rowOff>
    </xdr:from>
    <xdr:ext cx="304800" cy="279400"/>
    <xdr:sp macro="" textlink="">
      <xdr:nvSpPr>
        <xdr:cNvPr id="39" name="AutoShape 497" descr="alert toggle">
          <a:extLst>
            <a:ext uri="{FF2B5EF4-FFF2-40B4-BE49-F238E27FC236}">
              <a16:creationId xmlns:a16="http://schemas.microsoft.com/office/drawing/2014/main" id="{5BEB4888-241F-E041-ACF0-DE0819C9293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5763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17500" cy="304800"/>
    <xdr:sp macro="" textlink="">
      <xdr:nvSpPr>
        <xdr:cNvPr id="40" name="AutoShape 498" descr="note-add">
          <a:extLst>
            <a:ext uri="{FF2B5EF4-FFF2-40B4-BE49-F238E27FC236}">
              <a16:creationId xmlns:a16="http://schemas.microsoft.com/office/drawing/2014/main" id="{B102FBE2-8DA8-8043-9C7C-DE91E95E9F8B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925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</xdr:row>
      <xdr:rowOff>0</xdr:rowOff>
    </xdr:from>
    <xdr:ext cx="304800" cy="304800"/>
    <xdr:sp macro="" textlink="">
      <xdr:nvSpPr>
        <xdr:cNvPr id="41" name="AutoShape 499" descr="alert toggle">
          <a:extLst>
            <a:ext uri="{FF2B5EF4-FFF2-40B4-BE49-F238E27FC236}">
              <a16:creationId xmlns:a16="http://schemas.microsoft.com/office/drawing/2014/main" id="{ABA3F505-4169-D844-84D4-55FD71487C11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9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17500" cy="279400"/>
    <xdr:sp macro="" textlink="">
      <xdr:nvSpPr>
        <xdr:cNvPr id="42" name="AutoShape 500" descr="note-add">
          <a:extLst>
            <a:ext uri="{FF2B5EF4-FFF2-40B4-BE49-F238E27FC236}">
              <a16:creationId xmlns:a16="http://schemas.microsoft.com/office/drawing/2014/main" id="{E710068C-0230-544C-8AC0-7198201EFAC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4587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175</xdr:row>
      <xdr:rowOff>0</xdr:rowOff>
    </xdr:from>
    <xdr:ext cx="317500" cy="279400"/>
    <xdr:sp macro="" textlink="">
      <xdr:nvSpPr>
        <xdr:cNvPr id="43" name="AutoShape 502" descr="note-add">
          <a:extLst>
            <a:ext uri="{FF2B5EF4-FFF2-40B4-BE49-F238E27FC236}">
              <a16:creationId xmlns:a16="http://schemas.microsoft.com/office/drawing/2014/main" id="{71246DB2-FB8D-D943-B984-9B3008C7706F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24587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175</xdr:row>
      <xdr:rowOff>0</xdr:rowOff>
    </xdr:from>
    <xdr:ext cx="317500" cy="279400"/>
    <xdr:sp macro="" textlink="">
      <xdr:nvSpPr>
        <xdr:cNvPr id="44" name="AutoShape 506" descr="note-add">
          <a:extLst>
            <a:ext uri="{FF2B5EF4-FFF2-40B4-BE49-F238E27FC236}">
              <a16:creationId xmlns:a16="http://schemas.microsoft.com/office/drawing/2014/main" id="{85AAC0E5-0F59-3B4D-B95F-50BE920A0C10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24587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175</xdr:row>
      <xdr:rowOff>0</xdr:rowOff>
    </xdr:from>
    <xdr:ext cx="292100" cy="279400"/>
    <xdr:sp macro="" textlink="">
      <xdr:nvSpPr>
        <xdr:cNvPr id="45" name="AutoShape 507" descr="alert toggle">
          <a:extLst>
            <a:ext uri="{FF2B5EF4-FFF2-40B4-BE49-F238E27FC236}">
              <a16:creationId xmlns:a16="http://schemas.microsoft.com/office/drawing/2014/main" id="{729FF6F6-B55D-F642-86E7-E114C7172C95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24587200"/>
          <a:ext cx="2921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175</xdr:row>
      <xdr:rowOff>0</xdr:rowOff>
    </xdr:from>
    <xdr:ext cx="317500" cy="279400"/>
    <xdr:sp macro="" textlink="">
      <xdr:nvSpPr>
        <xdr:cNvPr id="46" name="AutoShape 508" descr="note-add">
          <a:extLst>
            <a:ext uri="{FF2B5EF4-FFF2-40B4-BE49-F238E27FC236}">
              <a16:creationId xmlns:a16="http://schemas.microsoft.com/office/drawing/2014/main" id="{D3FB47BA-DDDC-1A47-92A0-E17D0FD995AC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24587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317500</xdr:colOff>
      <xdr:row>175</xdr:row>
      <xdr:rowOff>0</xdr:rowOff>
    </xdr:from>
    <xdr:ext cx="304800" cy="279400"/>
    <xdr:sp macro="" textlink="">
      <xdr:nvSpPr>
        <xdr:cNvPr id="47" name="AutoShape 509" descr="alert toggle">
          <a:extLst>
            <a:ext uri="{FF2B5EF4-FFF2-40B4-BE49-F238E27FC236}">
              <a16:creationId xmlns:a16="http://schemas.microsoft.com/office/drawing/2014/main" id="{67EB963A-32DA-0A4D-97CD-E44EF5A11A99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24587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175</xdr:row>
      <xdr:rowOff>0</xdr:rowOff>
    </xdr:from>
    <xdr:ext cx="317500" cy="279400"/>
    <xdr:sp macro="" textlink="">
      <xdr:nvSpPr>
        <xdr:cNvPr id="48" name="AutoShape 510" descr="note-add">
          <a:extLst>
            <a:ext uri="{FF2B5EF4-FFF2-40B4-BE49-F238E27FC236}">
              <a16:creationId xmlns:a16="http://schemas.microsoft.com/office/drawing/2014/main" id="{528DD4C8-F53C-6745-93A5-40CEAAD836C9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24587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207</xdr:row>
      <xdr:rowOff>0</xdr:rowOff>
    </xdr:from>
    <xdr:ext cx="304800" cy="304800"/>
    <xdr:sp macro="" textlink="">
      <xdr:nvSpPr>
        <xdr:cNvPr id="49" name="AutoShape 580" descr="note-add">
          <a:extLst>
            <a:ext uri="{FF2B5EF4-FFF2-40B4-BE49-F238E27FC236}">
              <a16:creationId xmlns:a16="http://schemas.microsoft.com/office/drawing/2014/main" id="{8941A8E2-60EE-E442-9375-DE5F47208F67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207</xdr:row>
      <xdr:rowOff>0</xdr:rowOff>
    </xdr:from>
    <xdr:ext cx="304800" cy="304800"/>
    <xdr:sp macro="" textlink="">
      <xdr:nvSpPr>
        <xdr:cNvPr id="50" name="AutoShape 581" descr="alert toggle">
          <a:extLst>
            <a:ext uri="{FF2B5EF4-FFF2-40B4-BE49-F238E27FC236}">
              <a16:creationId xmlns:a16="http://schemas.microsoft.com/office/drawing/2014/main" id="{5EEBB92C-BB60-EA41-A1C6-CFA1C057E6F3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209</xdr:row>
      <xdr:rowOff>0</xdr:rowOff>
    </xdr:from>
    <xdr:ext cx="304800" cy="304800"/>
    <xdr:sp macro="" textlink="">
      <xdr:nvSpPr>
        <xdr:cNvPr id="51" name="AutoShape 584" descr="note-add">
          <a:extLst>
            <a:ext uri="{FF2B5EF4-FFF2-40B4-BE49-F238E27FC236}">
              <a16:creationId xmlns:a16="http://schemas.microsoft.com/office/drawing/2014/main" id="{92934E89-06E8-ED4D-8990-E95E56AA46CD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17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209</xdr:row>
      <xdr:rowOff>0</xdr:rowOff>
    </xdr:from>
    <xdr:ext cx="304800" cy="304800"/>
    <xdr:sp macro="" textlink="">
      <xdr:nvSpPr>
        <xdr:cNvPr id="52" name="AutoShape 585" descr="alert toggle">
          <a:extLst>
            <a:ext uri="{FF2B5EF4-FFF2-40B4-BE49-F238E27FC236}">
              <a16:creationId xmlns:a16="http://schemas.microsoft.com/office/drawing/2014/main" id="{8F1700AC-93AD-304E-A081-DE09739FF55C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17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210</xdr:row>
      <xdr:rowOff>0</xdr:rowOff>
    </xdr:from>
    <xdr:ext cx="304800" cy="304801"/>
    <xdr:sp macro="" textlink="">
      <xdr:nvSpPr>
        <xdr:cNvPr id="53" name="AutoShape 588" descr="note-add">
          <a:extLst>
            <a:ext uri="{FF2B5EF4-FFF2-40B4-BE49-F238E27FC236}">
              <a16:creationId xmlns:a16="http://schemas.microsoft.com/office/drawing/2014/main" id="{1602481C-0AF7-EE4B-961E-051F6023F5ED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18465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210</xdr:row>
      <xdr:rowOff>0</xdr:rowOff>
    </xdr:from>
    <xdr:ext cx="304800" cy="304801"/>
    <xdr:sp macro="" textlink="">
      <xdr:nvSpPr>
        <xdr:cNvPr id="54" name="AutoShape 589" descr="alert toggle">
          <a:extLst>
            <a:ext uri="{FF2B5EF4-FFF2-40B4-BE49-F238E27FC236}">
              <a16:creationId xmlns:a16="http://schemas.microsoft.com/office/drawing/2014/main" id="{4D065DCF-A03B-FA49-B664-0D06A21C55EB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18465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211</xdr:row>
      <xdr:rowOff>0</xdr:rowOff>
    </xdr:from>
    <xdr:ext cx="304800" cy="304800"/>
    <xdr:sp macro="" textlink="">
      <xdr:nvSpPr>
        <xdr:cNvPr id="55" name="AutoShape 592" descr="note-add">
          <a:extLst>
            <a:ext uri="{FF2B5EF4-FFF2-40B4-BE49-F238E27FC236}">
              <a16:creationId xmlns:a16="http://schemas.microsoft.com/office/drawing/2014/main" id="{24D86385-B49C-3546-9FC4-151EE17A9A4C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195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211</xdr:row>
      <xdr:rowOff>0</xdr:rowOff>
    </xdr:from>
    <xdr:ext cx="304800" cy="304800"/>
    <xdr:sp macro="" textlink="">
      <xdr:nvSpPr>
        <xdr:cNvPr id="56" name="AutoShape 593" descr="alert toggle">
          <a:extLst>
            <a:ext uri="{FF2B5EF4-FFF2-40B4-BE49-F238E27FC236}">
              <a16:creationId xmlns:a16="http://schemas.microsoft.com/office/drawing/2014/main" id="{6C33BED1-37D9-9048-8141-D3C9AA77F517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195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213</xdr:row>
      <xdr:rowOff>0</xdr:rowOff>
    </xdr:from>
    <xdr:ext cx="304800" cy="304800"/>
    <xdr:sp macro="" textlink="">
      <xdr:nvSpPr>
        <xdr:cNvPr id="57" name="AutoShape 596" descr="note-add">
          <a:extLst>
            <a:ext uri="{FF2B5EF4-FFF2-40B4-BE49-F238E27FC236}">
              <a16:creationId xmlns:a16="http://schemas.microsoft.com/office/drawing/2014/main" id="{CAA62C04-34C6-FD41-94D5-5FD5EBB82732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241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213</xdr:row>
      <xdr:rowOff>0</xdr:rowOff>
    </xdr:from>
    <xdr:ext cx="304800" cy="304800"/>
    <xdr:sp macro="" textlink="">
      <xdr:nvSpPr>
        <xdr:cNvPr id="58" name="AutoShape 597" descr="alert toggle">
          <a:extLst>
            <a:ext uri="{FF2B5EF4-FFF2-40B4-BE49-F238E27FC236}">
              <a16:creationId xmlns:a16="http://schemas.microsoft.com/office/drawing/2014/main" id="{0BCBB440-1669-C546-8E9D-26742F7CD13D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241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214</xdr:row>
      <xdr:rowOff>0</xdr:rowOff>
    </xdr:from>
    <xdr:ext cx="304800" cy="304801"/>
    <xdr:sp macro="" textlink="">
      <xdr:nvSpPr>
        <xdr:cNvPr id="59" name="AutoShape 600" descr="note-add">
          <a:extLst>
            <a:ext uri="{FF2B5EF4-FFF2-40B4-BE49-F238E27FC236}">
              <a16:creationId xmlns:a16="http://schemas.microsoft.com/office/drawing/2014/main" id="{4394830B-4825-CA46-8739-95C0C3F029B1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28816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214</xdr:row>
      <xdr:rowOff>0</xdr:rowOff>
    </xdr:from>
    <xdr:ext cx="304800" cy="304801"/>
    <xdr:sp macro="" textlink="">
      <xdr:nvSpPr>
        <xdr:cNvPr id="60" name="AutoShape 601" descr="alert toggle">
          <a:extLst>
            <a:ext uri="{FF2B5EF4-FFF2-40B4-BE49-F238E27FC236}">
              <a16:creationId xmlns:a16="http://schemas.microsoft.com/office/drawing/2014/main" id="{905CD1D9-469F-4741-A986-42B9743A2EB4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28816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215</xdr:row>
      <xdr:rowOff>0</xdr:rowOff>
    </xdr:from>
    <xdr:ext cx="304800" cy="304800"/>
    <xdr:sp macro="" textlink="">
      <xdr:nvSpPr>
        <xdr:cNvPr id="61" name="AutoShape 604" descr="note-add">
          <a:extLst>
            <a:ext uri="{FF2B5EF4-FFF2-40B4-BE49-F238E27FC236}">
              <a16:creationId xmlns:a16="http://schemas.microsoft.com/office/drawing/2014/main" id="{035433F5-8242-224E-8892-5D7EA4458D34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463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216</xdr:row>
      <xdr:rowOff>0</xdr:rowOff>
    </xdr:from>
    <xdr:ext cx="304800" cy="304801"/>
    <xdr:sp macro="" textlink="">
      <xdr:nvSpPr>
        <xdr:cNvPr id="62" name="AutoShape 608" descr="note-add">
          <a:extLst>
            <a:ext uri="{FF2B5EF4-FFF2-40B4-BE49-F238E27FC236}">
              <a16:creationId xmlns:a16="http://schemas.microsoft.com/office/drawing/2014/main" id="{AAE8C40D-BF80-A149-9B1B-DECFCF0BF10D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48475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216</xdr:row>
      <xdr:rowOff>0</xdr:rowOff>
    </xdr:from>
    <xdr:ext cx="304800" cy="304801"/>
    <xdr:sp macro="" textlink="">
      <xdr:nvSpPr>
        <xdr:cNvPr id="63" name="AutoShape 609" descr="alert toggle">
          <a:extLst>
            <a:ext uri="{FF2B5EF4-FFF2-40B4-BE49-F238E27FC236}">
              <a16:creationId xmlns:a16="http://schemas.microsoft.com/office/drawing/2014/main" id="{0F77B5E9-EFAC-C54D-B4DA-EF09CEFCE3A6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48475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217</xdr:row>
      <xdr:rowOff>0</xdr:rowOff>
    </xdr:from>
    <xdr:ext cx="304800" cy="304800"/>
    <xdr:sp macro="" textlink="">
      <xdr:nvSpPr>
        <xdr:cNvPr id="64" name="AutoShape 612" descr="note-add">
          <a:extLst>
            <a:ext uri="{FF2B5EF4-FFF2-40B4-BE49-F238E27FC236}">
              <a16:creationId xmlns:a16="http://schemas.microsoft.com/office/drawing/2014/main" id="{4F948EAE-E1A0-1C40-BD43-F6B1F192857B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0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217</xdr:row>
      <xdr:rowOff>0</xdr:rowOff>
    </xdr:from>
    <xdr:ext cx="304800" cy="304800"/>
    <xdr:sp macro="" textlink="">
      <xdr:nvSpPr>
        <xdr:cNvPr id="65" name="AutoShape 613" descr="alert toggle">
          <a:extLst>
            <a:ext uri="{FF2B5EF4-FFF2-40B4-BE49-F238E27FC236}">
              <a16:creationId xmlns:a16="http://schemas.microsoft.com/office/drawing/2014/main" id="{542EFE0F-2197-504A-A523-79A72BEE7DBA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0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218</xdr:row>
      <xdr:rowOff>0</xdr:rowOff>
    </xdr:from>
    <xdr:ext cx="304800" cy="304800"/>
    <xdr:sp macro="" textlink="">
      <xdr:nvSpPr>
        <xdr:cNvPr id="66" name="AutoShape 616" descr="note-add">
          <a:extLst>
            <a:ext uri="{FF2B5EF4-FFF2-40B4-BE49-F238E27FC236}">
              <a16:creationId xmlns:a16="http://schemas.microsoft.com/office/drawing/2014/main" id="{5741A98B-5F49-BC4B-A889-78EABDAF595C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218</xdr:row>
      <xdr:rowOff>0</xdr:rowOff>
    </xdr:from>
    <xdr:ext cx="304800" cy="304800"/>
    <xdr:sp macro="" textlink="">
      <xdr:nvSpPr>
        <xdr:cNvPr id="67" name="AutoShape 617" descr="alert toggle">
          <a:extLst>
            <a:ext uri="{FF2B5EF4-FFF2-40B4-BE49-F238E27FC236}">
              <a16:creationId xmlns:a16="http://schemas.microsoft.com/office/drawing/2014/main" id="{A6AA2BD2-554A-4D44-8F5B-42CE4483BC4B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219</xdr:row>
      <xdr:rowOff>0</xdr:rowOff>
    </xdr:from>
    <xdr:ext cx="304800" cy="304800"/>
    <xdr:sp macro="" textlink="">
      <xdr:nvSpPr>
        <xdr:cNvPr id="68" name="AutoShape 620" descr="note-add">
          <a:extLst>
            <a:ext uri="{FF2B5EF4-FFF2-40B4-BE49-F238E27FC236}">
              <a16:creationId xmlns:a16="http://schemas.microsoft.com/office/drawing/2014/main" id="{1D65D33C-445F-384B-AC7D-FA0FB0229B5A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64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219</xdr:row>
      <xdr:rowOff>0</xdr:rowOff>
    </xdr:from>
    <xdr:ext cx="304800" cy="304800"/>
    <xdr:sp macro="" textlink="">
      <xdr:nvSpPr>
        <xdr:cNvPr id="69" name="AutoShape 621" descr="alert toggle">
          <a:extLst>
            <a:ext uri="{FF2B5EF4-FFF2-40B4-BE49-F238E27FC236}">
              <a16:creationId xmlns:a16="http://schemas.microsoft.com/office/drawing/2014/main" id="{51EB8E6B-A9C5-954B-ABA0-0F86C2B5495A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64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221</xdr:row>
      <xdr:rowOff>0</xdr:rowOff>
    </xdr:from>
    <xdr:ext cx="304800" cy="304800"/>
    <xdr:sp macro="" textlink="">
      <xdr:nvSpPr>
        <xdr:cNvPr id="70" name="AutoShape 624" descr="note-add">
          <a:extLst>
            <a:ext uri="{FF2B5EF4-FFF2-40B4-BE49-F238E27FC236}">
              <a16:creationId xmlns:a16="http://schemas.microsoft.com/office/drawing/2014/main" id="{A9AE95D3-00F5-D54F-BD12-AED5C803A373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721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221</xdr:row>
      <xdr:rowOff>0</xdr:rowOff>
    </xdr:from>
    <xdr:ext cx="304800" cy="304800"/>
    <xdr:sp macro="" textlink="">
      <xdr:nvSpPr>
        <xdr:cNvPr id="71" name="AutoShape 625" descr="alert toggle">
          <a:extLst>
            <a:ext uri="{FF2B5EF4-FFF2-40B4-BE49-F238E27FC236}">
              <a16:creationId xmlns:a16="http://schemas.microsoft.com/office/drawing/2014/main" id="{C61D0EE3-6474-0C4D-83B1-91794FD6040A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721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221</xdr:row>
      <xdr:rowOff>0</xdr:rowOff>
    </xdr:from>
    <xdr:ext cx="304800" cy="304800"/>
    <xdr:sp macro="" textlink="">
      <xdr:nvSpPr>
        <xdr:cNvPr id="72" name="AutoShape 628" descr="note-add">
          <a:extLst>
            <a:ext uri="{FF2B5EF4-FFF2-40B4-BE49-F238E27FC236}">
              <a16:creationId xmlns:a16="http://schemas.microsoft.com/office/drawing/2014/main" id="{5722D097-3D9E-284E-8D17-A196518C059E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721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221</xdr:row>
      <xdr:rowOff>0</xdr:rowOff>
    </xdr:from>
    <xdr:ext cx="304800" cy="304800"/>
    <xdr:sp macro="" textlink="">
      <xdr:nvSpPr>
        <xdr:cNvPr id="73" name="AutoShape 629" descr="alert toggle">
          <a:extLst>
            <a:ext uri="{FF2B5EF4-FFF2-40B4-BE49-F238E27FC236}">
              <a16:creationId xmlns:a16="http://schemas.microsoft.com/office/drawing/2014/main" id="{30FC6BDE-07BC-7045-BEEE-D05D2BFF4E42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721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222</xdr:row>
      <xdr:rowOff>0</xdr:rowOff>
    </xdr:from>
    <xdr:ext cx="304800" cy="304800"/>
    <xdr:sp macro="" textlink="">
      <xdr:nvSpPr>
        <xdr:cNvPr id="74" name="AutoShape 632" descr="note-add">
          <a:extLst>
            <a:ext uri="{FF2B5EF4-FFF2-40B4-BE49-F238E27FC236}">
              <a16:creationId xmlns:a16="http://schemas.microsoft.com/office/drawing/2014/main" id="{DA8078D4-AFF5-7245-B2F7-E02DD8CFC404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772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222</xdr:row>
      <xdr:rowOff>0</xdr:rowOff>
    </xdr:from>
    <xdr:ext cx="304800" cy="304800"/>
    <xdr:sp macro="" textlink="">
      <xdr:nvSpPr>
        <xdr:cNvPr id="75" name="AutoShape 633" descr="alert toggle">
          <a:extLst>
            <a:ext uri="{FF2B5EF4-FFF2-40B4-BE49-F238E27FC236}">
              <a16:creationId xmlns:a16="http://schemas.microsoft.com/office/drawing/2014/main" id="{2EA0AD64-7A18-8C4A-8AE6-B7B63821D51F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772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223</xdr:row>
      <xdr:rowOff>0</xdr:rowOff>
    </xdr:from>
    <xdr:ext cx="304800" cy="304800"/>
    <xdr:sp macro="" textlink="">
      <xdr:nvSpPr>
        <xdr:cNvPr id="76" name="AutoShape 636" descr="note-add">
          <a:extLst>
            <a:ext uri="{FF2B5EF4-FFF2-40B4-BE49-F238E27FC236}">
              <a16:creationId xmlns:a16="http://schemas.microsoft.com/office/drawing/2014/main" id="{0B75A8FC-D71B-4042-A5CC-6DE0C142F358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844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223</xdr:row>
      <xdr:rowOff>0</xdr:rowOff>
    </xdr:from>
    <xdr:ext cx="304800" cy="304800"/>
    <xdr:sp macro="" textlink="">
      <xdr:nvSpPr>
        <xdr:cNvPr id="77" name="AutoShape 637" descr="alert toggle">
          <a:extLst>
            <a:ext uri="{FF2B5EF4-FFF2-40B4-BE49-F238E27FC236}">
              <a16:creationId xmlns:a16="http://schemas.microsoft.com/office/drawing/2014/main" id="{D6643FCF-F157-714D-B653-0AED9C2F2A02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844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224</xdr:row>
      <xdr:rowOff>0</xdr:rowOff>
    </xdr:from>
    <xdr:ext cx="304800" cy="304799"/>
    <xdr:sp macro="" textlink="">
      <xdr:nvSpPr>
        <xdr:cNvPr id="78" name="AutoShape 640" descr="note-add">
          <a:extLst>
            <a:ext uri="{FF2B5EF4-FFF2-40B4-BE49-F238E27FC236}">
              <a16:creationId xmlns:a16="http://schemas.microsoft.com/office/drawing/2014/main" id="{85DD593B-0F6C-0040-A211-5326D0C9B358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85331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224</xdr:row>
      <xdr:rowOff>0</xdr:rowOff>
    </xdr:from>
    <xdr:ext cx="304800" cy="304799"/>
    <xdr:sp macro="" textlink="">
      <xdr:nvSpPr>
        <xdr:cNvPr id="79" name="AutoShape 641" descr="alert toggle">
          <a:extLst>
            <a:ext uri="{FF2B5EF4-FFF2-40B4-BE49-F238E27FC236}">
              <a16:creationId xmlns:a16="http://schemas.microsoft.com/office/drawing/2014/main" id="{66EFFB6C-FD31-4F47-807A-EEF5D4746D4B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85331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39</xdr:row>
      <xdr:rowOff>0</xdr:rowOff>
    </xdr:from>
    <xdr:ext cx="304800" cy="304801"/>
    <xdr:sp macro="" textlink="">
      <xdr:nvSpPr>
        <xdr:cNvPr id="80" name="AutoShape 644" descr="note-add">
          <a:extLst>
            <a:ext uri="{FF2B5EF4-FFF2-40B4-BE49-F238E27FC236}">
              <a16:creationId xmlns:a16="http://schemas.microsoft.com/office/drawing/2014/main" id="{E3E4D9B1-07AB-6240-9231-E0D775626498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6549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317500</xdr:colOff>
      <xdr:row>39</xdr:row>
      <xdr:rowOff>0</xdr:rowOff>
    </xdr:from>
    <xdr:ext cx="304800" cy="304801"/>
    <xdr:sp macro="" textlink="">
      <xdr:nvSpPr>
        <xdr:cNvPr id="81" name="AutoShape 645" descr="alert toggle">
          <a:extLst>
            <a:ext uri="{FF2B5EF4-FFF2-40B4-BE49-F238E27FC236}">
              <a16:creationId xmlns:a16="http://schemas.microsoft.com/office/drawing/2014/main" id="{4D6F8463-5421-7742-B4F7-063DDB57F2F1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6549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226</xdr:row>
      <xdr:rowOff>0</xdr:rowOff>
    </xdr:from>
    <xdr:ext cx="304800" cy="304799"/>
    <xdr:sp macro="" textlink="">
      <xdr:nvSpPr>
        <xdr:cNvPr id="82" name="AutoShape 646" descr="note-add">
          <a:extLst>
            <a:ext uri="{FF2B5EF4-FFF2-40B4-BE49-F238E27FC236}">
              <a16:creationId xmlns:a16="http://schemas.microsoft.com/office/drawing/2014/main" id="{E020C713-3CB8-C541-85CE-BF37BDF1741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74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226</xdr:row>
      <xdr:rowOff>0</xdr:rowOff>
    </xdr:from>
    <xdr:ext cx="304800" cy="304799"/>
    <xdr:sp macro="" textlink="">
      <xdr:nvSpPr>
        <xdr:cNvPr id="83" name="AutoShape 647" descr="alert toggle">
          <a:extLst>
            <a:ext uri="{FF2B5EF4-FFF2-40B4-BE49-F238E27FC236}">
              <a16:creationId xmlns:a16="http://schemas.microsoft.com/office/drawing/2014/main" id="{FBA1ED9F-D1F7-3341-B7D0-02EC939DA85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74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227</xdr:row>
      <xdr:rowOff>0</xdr:rowOff>
    </xdr:from>
    <xdr:ext cx="304800" cy="304800"/>
    <xdr:sp macro="" textlink="">
      <xdr:nvSpPr>
        <xdr:cNvPr id="84" name="AutoShape 650" descr="note-add">
          <a:extLst>
            <a:ext uri="{FF2B5EF4-FFF2-40B4-BE49-F238E27FC236}">
              <a16:creationId xmlns:a16="http://schemas.microsoft.com/office/drawing/2014/main" id="{A6418C52-276E-2A40-924E-4B2F7C10CA5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227</xdr:row>
      <xdr:rowOff>0</xdr:rowOff>
    </xdr:from>
    <xdr:ext cx="304800" cy="304800"/>
    <xdr:sp macro="" textlink="">
      <xdr:nvSpPr>
        <xdr:cNvPr id="85" name="AutoShape 651" descr="alert toggle">
          <a:extLst>
            <a:ext uri="{FF2B5EF4-FFF2-40B4-BE49-F238E27FC236}">
              <a16:creationId xmlns:a16="http://schemas.microsoft.com/office/drawing/2014/main" id="{DBFF0F6B-A524-5B4C-BC5C-DEA7FFCB091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228</xdr:row>
      <xdr:rowOff>0</xdr:rowOff>
    </xdr:from>
    <xdr:ext cx="304800" cy="304799"/>
    <xdr:sp macro="" textlink="">
      <xdr:nvSpPr>
        <xdr:cNvPr id="86" name="AutoShape 654" descr="note-add">
          <a:extLst>
            <a:ext uri="{FF2B5EF4-FFF2-40B4-BE49-F238E27FC236}">
              <a16:creationId xmlns:a16="http://schemas.microsoft.com/office/drawing/2014/main" id="{97B7E246-53CD-7A40-8F44-EA7611E5E05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18249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228</xdr:row>
      <xdr:rowOff>0</xdr:rowOff>
    </xdr:from>
    <xdr:ext cx="304800" cy="304799"/>
    <xdr:sp macro="" textlink="">
      <xdr:nvSpPr>
        <xdr:cNvPr id="87" name="AutoShape 655" descr="alert toggle">
          <a:extLst>
            <a:ext uri="{FF2B5EF4-FFF2-40B4-BE49-F238E27FC236}">
              <a16:creationId xmlns:a16="http://schemas.microsoft.com/office/drawing/2014/main" id="{CFB0E1A7-6246-B449-9428-E0AC26AD06C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18249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230</xdr:row>
      <xdr:rowOff>0</xdr:rowOff>
    </xdr:from>
    <xdr:ext cx="304800" cy="304799"/>
    <xdr:sp macro="" textlink="">
      <xdr:nvSpPr>
        <xdr:cNvPr id="88" name="AutoShape 658" descr="note-add">
          <a:extLst>
            <a:ext uri="{FF2B5EF4-FFF2-40B4-BE49-F238E27FC236}">
              <a16:creationId xmlns:a16="http://schemas.microsoft.com/office/drawing/2014/main" id="{CF841933-1EB0-3740-9920-2C768B66984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266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230</xdr:row>
      <xdr:rowOff>0</xdr:rowOff>
    </xdr:from>
    <xdr:ext cx="304800" cy="304799"/>
    <xdr:sp macro="" textlink="">
      <xdr:nvSpPr>
        <xdr:cNvPr id="89" name="AutoShape 659" descr="alert toggle">
          <a:extLst>
            <a:ext uri="{FF2B5EF4-FFF2-40B4-BE49-F238E27FC236}">
              <a16:creationId xmlns:a16="http://schemas.microsoft.com/office/drawing/2014/main" id="{76158C92-1A43-8248-972B-B3F790A85779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266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231</xdr:row>
      <xdr:rowOff>0</xdr:rowOff>
    </xdr:from>
    <xdr:ext cx="304800" cy="304800"/>
    <xdr:sp macro="" textlink="">
      <xdr:nvSpPr>
        <xdr:cNvPr id="90" name="AutoShape 662" descr="note-add">
          <a:extLst>
            <a:ext uri="{FF2B5EF4-FFF2-40B4-BE49-F238E27FC236}">
              <a16:creationId xmlns:a16="http://schemas.microsoft.com/office/drawing/2014/main" id="{72806386-31B2-3546-A3C1-88D97DD1B9B7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39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231</xdr:row>
      <xdr:rowOff>0</xdr:rowOff>
    </xdr:from>
    <xdr:ext cx="304800" cy="304800"/>
    <xdr:sp macro="" textlink="">
      <xdr:nvSpPr>
        <xdr:cNvPr id="91" name="AutoShape 663" descr="alert toggle">
          <a:extLst>
            <a:ext uri="{FF2B5EF4-FFF2-40B4-BE49-F238E27FC236}">
              <a16:creationId xmlns:a16="http://schemas.microsoft.com/office/drawing/2014/main" id="{75B91AB1-09DA-494A-AA82-ECB720B1CD7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39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232</xdr:row>
      <xdr:rowOff>0</xdr:rowOff>
    </xdr:from>
    <xdr:ext cx="304800" cy="304801"/>
    <xdr:sp macro="" textlink="">
      <xdr:nvSpPr>
        <xdr:cNvPr id="92" name="AutoShape 666" descr="note-add">
          <a:extLst>
            <a:ext uri="{FF2B5EF4-FFF2-40B4-BE49-F238E27FC236}">
              <a16:creationId xmlns:a16="http://schemas.microsoft.com/office/drawing/2014/main" id="{A05A2B65-AC25-A64D-89C1-3E93D08905BF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860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232</xdr:row>
      <xdr:rowOff>0</xdr:rowOff>
    </xdr:from>
    <xdr:ext cx="304800" cy="304801"/>
    <xdr:sp macro="" textlink="">
      <xdr:nvSpPr>
        <xdr:cNvPr id="93" name="AutoShape 667" descr="alert toggle">
          <a:extLst>
            <a:ext uri="{FF2B5EF4-FFF2-40B4-BE49-F238E27FC236}">
              <a16:creationId xmlns:a16="http://schemas.microsoft.com/office/drawing/2014/main" id="{916294EE-EC46-A140-B2B1-2F97B269BC9B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860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234</xdr:row>
      <xdr:rowOff>0</xdr:rowOff>
    </xdr:from>
    <xdr:ext cx="304800" cy="304801"/>
    <xdr:sp macro="" textlink="">
      <xdr:nvSpPr>
        <xdr:cNvPr id="94" name="AutoShape 670" descr="note-add">
          <a:extLst>
            <a:ext uri="{FF2B5EF4-FFF2-40B4-BE49-F238E27FC236}">
              <a16:creationId xmlns:a16="http://schemas.microsoft.com/office/drawing/2014/main" id="{F7A5B345-F8C1-0F46-B47E-EC01164FF970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611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234</xdr:row>
      <xdr:rowOff>0</xdr:rowOff>
    </xdr:from>
    <xdr:ext cx="304800" cy="304801"/>
    <xdr:sp macro="" textlink="">
      <xdr:nvSpPr>
        <xdr:cNvPr id="95" name="AutoShape 674" descr="note-add">
          <a:extLst>
            <a:ext uri="{FF2B5EF4-FFF2-40B4-BE49-F238E27FC236}">
              <a16:creationId xmlns:a16="http://schemas.microsoft.com/office/drawing/2014/main" id="{4F088CB7-3AE3-4247-AD84-E942EBBFB7A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611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234</xdr:row>
      <xdr:rowOff>0</xdr:rowOff>
    </xdr:from>
    <xdr:ext cx="304800" cy="304799"/>
    <xdr:sp macro="" textlink="">
      <xdr:nvSpPr>
        <xdr:cNvPr id="96" name="AutoShape 678" descr="note-add">
          <a:extLst>
            <a:ext uri="{FF2B5EF4-FFF2-40B4-BE49-F238E27FC236}">
              <a16:creationId xmlns:a16="http://schemas.microsoft.com/office/drawing/2014/main" id="{9EFBDA86-B510-6848-A142-B398EBEE90E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611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235</xdr:row>
      <xdr:rowOff>0</xdr:rowOff>
    </xdr:from>
    <xdr:ext cx="304800" cy="304800"/>
    <xdr:sp macro="" textlink="">
      <xdr:nvSpPr>
        <xdr:cNvPr id="97" name="AutoShape 682" descr="note-add">
          <a:extLst>
            <a:ext uri="{FF2B5EF4-FFF2-40B4-BE49-F238E27FC236}">
              <a16:creationId xmlns:a16="http://schemas.microsoft.com/office/drawing/2014/main" id="{F792D481-5408-DD4C-A20C-43D3A17B639B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82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235</xdr:row>
      <xdr:rowOff>0</xdr:rowOff>
    </xdr:from>
    <xdr:ext cx="304800" cy="304800"/>
    <xdr:sp macro="" textlink="">
      <xdr:nvSpPr>
        <xdr:cNvPr id="98" name="AutoShape 683" descr="alert toggle">
          <a:extLst>
            <a:ext uri="{FF2B5EF4-FFF2-40B4-BE49-F238E27FC236}">
              <a16:creationId xmlns:a16="http://schemas.microsoft.com/office/drawing/2014/main" id="{34EA7C5B-287A-1C4B-BFDE-49A906A03B8F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482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236</xdr:row>
      <xdr:rowOff>0</xdr:rowOff>
    </xdr:from>
    <xdr:ext cx="304800" cy="304799"/>
    <xdr:sp macro="" textlink="">
      <xdr:nvSpPr>
        <xdr:cNvPr id="99" name="AutoShape 686" descr="note-add">
          <a:extLst>
            <a:ext uri="{FF2B5EF4-FFF2-40B4-BE49-F238E27FC236}">
              <a16:creationId xmlns:a16="http://schemas.microsoft.com/office/drawing/2014/main" id="{790F4918-E11F-5347-9EF1-514B012677DA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0152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236</xdr:row>
      <xdr:rowOff>0</xdr:rowOff>
    </xdr:from>
    <xdr:ext cx="304800" cy="304799"/>
    <xdr:sp macro="" textlink="">
      <xdr:nvSpPr>
        <xdr:cNvPr id="100" name="AutoShape 687" descr="alert toggle">
          <a:extLst>
            <a:ext uri="{FF2B5EF4-FFF2-40B4-BE49-F238E27FC236}">
              <a16:creationId xmlns:a16="http://schemas.microsoft.com/office/drawing/2014/main" id="{98F6BD3F-60FA-DD49-9EFD-B8378B18562F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0152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237</xdr:row>
      <xdr:rowOff>0</xdr:rowOff>
    </xdr:from>
    <xdr:ext cx="304800" cy="304800"/>
    <xdr:sp macro="" textlink="">
      <xdr:nvSpPr>
        <xdr:cNvPr id="101" name="AutoShape 691" descr="alert toggle">
          <a:extLst>
            <a:ext uri="{FF2B5EF4-FFF2-40B4-BE49-F238E27FC236}">
              <a16:creationId xmlns:a16="http://schemas.microsoft.com/office/drawing/2014/main" id="{80E9AF16-736D-2547-B7AC-56906CE615CF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12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238</xdr:row>
      <xdr:rowOff>0</xdr:rowOff>
    </xdr:from>
    <xdr:ext cx="304800" cy="304799"/>
    <xdr:sp macro="" textlink="">
      <xdr:nvSpPr>
        <xdr:cNvPr id="102" name="AutoShape 694" descr="note-add">
          <a:extLst>
            <a:ext uri="{FF2B5EF4-FFF2-40B4-BE49-F238E27FC236}">
              <a16:creationId xmlns:a16="http://schemas.microsoft.com/office/drawing/2014/main" id="{2BB0D654-FCD5-8743-882C-A246AA142A3F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238</xdr:row>
      <xdr:rowOff>0</xdr:rowOff>
    </xdr:from>
    <xdr:ext cx="304800" cy="304799"/>
    <xdr:sp macro="" textlink="">
      <xdr:nvSpPr>
        <xdr:cNvPr id="103" name="AutoShape 695" descr="alert toggle">
          <a:extLst>
            <a:ext uri="{FF2B5EF4-FFF2-40B4-BE49-F238E27FC236}">
              <a16:creationId xmlns:a16="http://schemas.microsoft.com/office/drawing/2014/main" id="{C0FFE82B-C7DE-5C48-A918-147334397772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238</xdr:row>
      <xdr:rowOff>0</xdr:rowOff>
    </xdr:from>
    <xdr:ext cx="304800" cy="304799"/>
    <xdr:sp macro="" textlink="">
      <xdr:nvSpPr>
        <xdr:cNvPr id="104" name="AutoShape 698" descr="note-add">
          <a:extLst>
            <a:ext uri="{FF2B5EF4-FFF2-40B4-BE49-F238E27FC236}">
              <a16:creationId xmlns:a16="http://schemas.microsoft.com/office/drawing/2014/main" id="{539FE8DA-AA1A-1648-906A-CA23DEDD849A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238</xdr:row>
      <xdr:rowOff>0</xdr:rowOff>
    </xdr:from>
    <xdr:ext cx="304800" cy="304799"/>
    <xdr:sp macro="" textlink="">
      <xdr:nvSpPr>
        <xdr:cNvPr id="105" name="AutoShape 699" descr="alert toggle">
          <a:extLst>
            <a:ext uri="{FF2B5EF4-FFF2-40B4-BE49-F238E27FC236}">
              <a16:creationId xmlns:a16="http://schemas.microsoft.com/office/drawing/2014/main" id="{9B71C8FC-E3B7-1543-94BF-D6C4D888916A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239</xdr:row>
      <xdr:rowOff>0</xdr:rowOff>
    </xdr:from>
    <xdr:ext cx="304800" cy="304799"/>
    <xdr:sp macro="" textlink="">
      <xdr:nvSpPr>
        <xdr:cNvPr id="106" name="AutoShape 702" descr="note-add">
          <a:extLst>
            <a:ext uri="{FF2B5EF4-FFF2-40B4-BE49-F238E27FC236}">
              <a16:creationId xmlns:a16="http://schemas.microsoft.com/office/drawing/2014/main" id="{2D82CC62-33A3-9C4C-8C3A-B2C56DFDDB68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197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239</xdr:row>
      <xdr:rowOff>0</xdr:rowOff>
    </xdr:from>
    <xdr:ext cx="304800" cy="304799"/>
    <xdr:sp macro="" textlink="">
      <xdr:nvSpPr>
        <xdr:cNvPr id="107" name="AutoShape 703" descr="alert toggle">
          <a:extLst>
            <a:ext uri="{FF2B5EF4-FFF2-40B4-BE49-F238E27FC236}">
              <a16:creationId xmlns:a16="http://schemas.microsoft.com/office/drawing/2014/main" id="{98E22BD6-A983-6446-ADE5-FFDD931F0954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197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240</xdr:row>
      <xdr:rowOff>0</xdr:rowOff>
    </xdr:from>
    <xdr:ext cx="304800" cy="304799"/>
    <xdr:sp macro="" textlink="">
      <xdr:nvSpPr>
        <xdr:cNvPr id="108" name="AutoShape 706" descr="note-add">
          <a:extLst>
            <a:ext uri="{FF2B5EF4-FFF2-40B4-BE49-F238E27FC236}">
              <a16:creationId xmlns:a16="http://schemas.microsoft.com/office/drawing/2014/main" id="{6AC7BB24-C86E-E148-A3C3-DF6E0AF1C6C8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705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240</xdr:row>
      <xdr:rowOff>0</xdr:rowOff>
    </xdr:from>
    <xdr:ext cx="304800" cy="304799"/>
    <xdr:sp macro="" textlink="">
      <xdr:nvSpPr>
        <xdr:cNvPr id="109" name="AutoShape 707" descr="alert toggle">
          <a:extLst>
            <a:ext uri="{FF2B5EF4-FFF2-40B4-BE49-F238E27FC236}">
              <a16:creationId xmlns:a16="http://schemas.microsoft.com/office/drawing/2014/main" id="{C848C12D-1AD9-3544-BE70-D7941ABF1A2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705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241</xdr:row>
      <xdr:rowOff>0</xdr:rowOff>
    </xdr:from>
    <xdr:ext cx="304800" cy="304800"/>
    <xdr:sp macro="" textlink="">
      <xdr:nvSpPr>
        <xdr:cNvPr id="110" name="AutoShape 710" descr="note-add">
          <a:extLst>
            <a:ext uri="{FF2B5EF4-FFF2-40B4-BE49-F238E27FC236}">
              <a16:creationId xmlns:a16="http://schemas.microsoft.com/office/drawing/2014/main" id="{F9FA5EA9-2E30-F042-AE9D-5A98F14AAAF5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842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241</xdr:row>
      <xdr:rowOff>0</xdr:rowOff>
    </xdr:from>
    <xdr:ext cx="304800" cy="304800"/>
    <xdr:sp macro="" textlink="">
      <xdr:nvSpPr>
        <xdr:cNvPr id="111" name="AutoShape 711" descr="alert toggle">
          <a:extLst>
            <a:ext uri="{FF2B5EF4-FFF2-40B4-BE49-F238E27FC236}">
              <a16:creationId xmlns:a16="http://schemas.microsoft.com/office/drawing/2014/main" id="{5A3CB51D-69A9-1F4C-BFE6-E4BF25FB04D6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842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226</xdr:row>
      <xdr:rowOff>0</xdr:rowOff>
    </xdr:from>
    <xdr:ext cx="304800" cy="304799"/>
    <xdr:sp macro="" textlink="">
      <xdr:nvSpPr>
        <xdr:cNvPr id="112" name="AutoShape 979" descr="note-add">
          <a:extLst>
            <a:ext uri="{FF2B5EF4-FFF2-40B4-BE49-F238E27FC236}">
              <a16:creationId xmlns:a16="http://schemas.microsoft.com/office/drawing/2014/main" id="{1F886997-5729-1345-8429-6AAEF784E39C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674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226</xdr:row>
      <xdr:rowOff>0</xdr:rowOff>
    </xdr:from>
    <xdr:ext cx="304800" cy="304799"/>
    <xdr:sp macro="" textlink="">
      <xdr:nvSpPr>
        <xdr:cNvPr id="113" name="AutoShape 980" descr="alert toggle">
          <a:extLst>
            <a:ext uri="{FF2B5EF4-FFF2-40B4-BE49-F238E27FC236}">
              <a16:creationId xmlns:a16="http://schemas.microsoft.com/office/drawing/2014/main" id="{8AB08B5A-3C2A-AD49-9EE2-3CCE1D677CA2}"/>
            </a:ext>
          </a:extLst>
        </xdr:cNvPr>
        <xdr:cNvSpPr>
          <a:spLocks noChangeAspect="1" noChangeArrowheads="1"/>
        </xdr:cNvSpPr>
      </xdr:nvSpPr>
      <xdr:spPr bwMode="auto">
        <a:xfrm>
          <a:off x="35699700" y="674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304800"/>
    <xdr:sp macro="" textlink="">
      <xdr:nvSpPr>
        <xdr:cNvPr id="114" name="AutoShape 983" descr="note-add">
          <a:extLst>
            <a:ext uri="{FF2B5EF4-FFF2-40B4-BE49-F238E27FC236}">
              <a16:creationId xmlns:a16="http://schemas.microsoft.com/office/drawing/2014/main" id="{A335E180-78C4-7D41-9C03-8B84D49A276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227</xdr:row>
      <xdr:rowOff>0</xdr:rowOff>
    </xdr:from>
    <xdr:ext cx="304800" cy="304800"/>
    <xdr:sp macro="" textlink="">
      <xdr:nvSpPr>
        <xdr:cNvPr id="115" name="AutoShape 984" descr="alert toggle">
          <a:extLst>
            <a:ext uri="{FF2B5EF4-FFF2-40B4-BE49-F238E27FC236}">
              <a16:creationId xmlns:a16="http://schemas.microsoft.com/office/drawing/2014/main" id="{0BC57526-8061-BE4A-8EE5-404DF70B624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304799"/>
    <xdr:sp macro="" textlink="">
      <xdr:nvSpPr>
        <xdr:cNvPr id="116" name="AutoShape 987" descr="note-add">
          <a:extLst>
            <a:ext uri="{FF2B5EF4-FFF2-40B4-BE49-F238E27FC236}">
              <a16:creationId xmlns:a16="http://schemas.microsoft.com/office/drawing/2014/main" id="{56C4B072-2E13-734C-90E9-A032A4BD51C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249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228</xdr:row>
      <xdr:rowOff>0</xdr:rowOff>
    </xdr:from>
    <xdr:ext cx="304800" cy="304799"/>
    <xdr:sp macro="" textlink="">
      <xdr:nvSpPr>
        <xdr:cNvPr id="117" name="AutoShape 988" descr="alert toggle">
          <a:extLst>
            <a:ext uri="{FF2B5EF4-FFF2-40B4-BE49-F238E27FC236}">
              <a16:creationId xmlns:a16="http://schemas.microsoft.com/office/drawing/2014/main" id="{CF400D46-3055-C041-8865-EA1F06B95F6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249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304799"/>
    <xdr:sp macro="" textlink="">
      <xdr:nvSpPr>
        <xdr:cNvPr id="118" name="AutoShape 991" descr="note-add">
          <a:extLst>
            <a:ext uri="{FF2B5EF4-FFF2-40B4-BE49-F238E27FC236}">
              <a16:creationId xmlns:a16="http://schemas.microsoft.com/office/drawing/2014/main" id="{A374DABA-D9FF-1F4F-BD54-9E283D8EB4F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266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230</xdr:row>
      <xdr:rowOff>0</xdr:rowOff>
    </xdr:from>
    <xdr:ext cx="304800" cy="304799"/>
    <xdr:sp macro="" textlink="">
      <xdr:nvSpPr>
        <xdr:cNvPr id="119" name="AutoShape 992" descr="alert toggle">
          <a:extLst>
            <a:ext uri="{FF2B5EF4-FFF2-40B4-BE49-F238E27FC236}">
              <a16:creationId xmlns:a16="http://schemas.microsoft.com/office/drawing/2014/main" id="{37241B57-A262-F546-AB82-36EE87F4029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266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304800"/>
    <xdr:sp macro="" textlink="">
      <xdr:nvSpPr>
        <xdr:cNvPr id="120" name="AutoShape 995" descr="note-add">
          <a:extLst>
            <a:ext uri="{FF2B5EF4-FFF2-40B4-BE49-F238E27FC236}">
              <a16:creationId xmlns:a16="http://schemas.microsoft.com/office/drawing/2014/main" id="{5DE54F1A-D2B1-A44A-9BFB-DBF5FE9D880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9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231</xdr:row>
      <xdr:rowOff>0</xdr:rowOff>
    </xdr:from>
    <xdr:ext cx="304800" cy="304800"/>
    <xdr:sp macro="" textlink="">
      <xdr:nvSpPr>
        <xdr:cNvPr id="121" name="AutoShape 996" descr="alert toggle">
          <a:extLst>
            <a:ext uri="{FF2B5EF4-FFF2-40B4-BE49-F238E27FC236}">
              <a16:creationId xmlns:a16="http://schemas.microsoft.com/office/drawing/2014/main" id="{81DC8F0B-3850-3C46-84CE-319C42ED653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9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304801"/>
    <xdr:sp macro="" textlink="">
      <xdr:nvSpPr>
        <xdr:cNvPr id="122" name="AutoShape 999" descr="note-add">
          <a:extLst>
            <a:ext uri="{FF2B5EF4-FFF2-40B4-BE49-F238E27FC236}">
              <a16:creationId xmlns:a16="http://schemas.microsoft.com/office/drawing/2014/main" id="{2E2C8780-EC8E-034D-BF13-09981584DB4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0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232</xdr:row>
      <xdr:rowOff>0</xdr:rowOff>
    </xdr:from>
    <xdr:ext cx="304800" cy="304801"/>
    <xdr:sp macro="" textlink="">
      <xdr:nvSpPr>
        <xdr:cNvPr id="123" name="AutoShape 1000" descr="alert toggle">
          <a:extLst>
            <a:ext uri="{FF2B5EF4-FFF2-40B4-BE49-F238E27FC236}">
              <a16:creationId xmlns:a16="http://schemas.microsoft.com/office/drawing/2014/main" id="{BFC06D57-DD12-5B46-B644-6F0A4B8B122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0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304801"/>
    <xdr:sp macro="" textlink="">
      <xdr:nvSpPr>
        <xdr:cNvPr id="124" name="AutoShape 1003" descr="note-add">
          <a:extLst>
            <a:ext uri="{FF2B5EF4-FFF2-40B4-BE49-F238E27FC236}">
              <a16:creationId xmlns:a16="http://schemas.microsoft.com/office/drawing/2014/main" id="{335E2161-65B6-9F4C-86FD-3305EF1DF6A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611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234</xdr:row>
      <xdr:rowOff>0</xdr:rowOff>
    </xdr:from>
    <xdr:ext cx="304800" cy="304801"/>
    <xdr:sp macro="" textlink="">
      <xdr:nvSpPr>
        <xdr:cNvPr id="125" name="AutoShape 1004" descr="alert toggle">
          <a:extLst>
            <a:ext uri="{FF2B5EF4-FFF2-40B4-BE49-F238E27FC236}">
              <a16:creationId xmlns:a16="http://schemas.microsoft.com/office/drawing/2014/main" id="{61166434-9BF2-5F4C-A16A-7AD64DD1331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611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304801"/>
    <xdr:sp macro="" textlink="">
      <xdr:nvSpPr>
        <xdr:cNvPr id="126" name="AutoShape 1007" descr="note-add">
          <a:extLst>
            <a:ext uri="{FF2B5EF4-FFF2-40B4-BE49-F238E27FC236}">
              <a16:creationId xmlns:a16="http://schemas.microsoft.com/office/drawing/2014/main" id="{844C7DC7-B0C7-0F47-8854-C0EE4ACB1D3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611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234</xdr:row>
      <xdr:rowOff>0</xdr:rowOff>
    </xdr:from>
    <xdr:ext cx="304800" cy="304801"/>
    <xdr:sp macro="" textlink="">
      <xdr:nvSpPr>
        <xdr:cNvPr id="127" name="AutoShape 1008" descr="alert toggle">
          <a:extLst>
            <a:ext uri="{FF2B5EF4-FFF2-40B4-BE49-F238E27FC236}">
              <a16:creationId xmlns:a16="http://schemas.microsoft.com/office/drawing/2014/main" id="{179208C0-A00D-CA4B-B344-9EE0337C486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611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304799"/>
    <xdr:sp macro="" textlink="">
      <xdr:nvSpPr>
        <xdr:cNvPr id="128" name="AutoShape 1011" descr="note-add">
          <a:extLst>
            <a:ext uri="{FF2B5EF4-FFF2-40B4-BE49-F238E27FC236}">
              <a16:creationId xmlns:a16="http://schemas.microsoft.com/office/drawing/2014/main" id="{4C263ADD-A947-B849-8C6E-6F915119DB5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611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234</xdr:row>
      <xdr:rowOff>0</xdr:rowOff>
    </xdr:from>
    <xdr:ext cx="304800" cy="304799"/>
    <xdr:sp macro="" textlink="">
      <xdr:nvSpPr>
        <xdr:cNvPr id="129" name="AutoShape 1012" descr="alert toggle">
          <a:extLst>
            <a:ext uri="{FF2B5EF4-FFF2-40B4-BE49-F238E27FC236}">
              <a16:creationId xmlns:a16="http://schemas.microsoft.com/office/drawing/2014/main" id="{E7FC5875-D803-E149-BC76-990D0882E17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6113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304800"/>
    <xdr:sp macro="" textlink="">
      <xdr:nvSpPr>
        <xdr:cNvPr id="130" name="AutoShape 1015" descr="note-add">
          <a:extLst>
            <a:ext uri="{FF2B5EF4-FFF2-40B4-BE49-F238E27FC236}">
              <a16:creationId xmlns:a16="http://schemas.microsoft.com/office/drawing/2014/main" id="{B2F4EEED-B90A-6D4B-9AF4-38D0E9378AC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82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235</xdr:row>
      <xdr:rowOff>0</xdr:rowOff>
    </xdr:from>
    <xdr:ext cx="304800" cy="304800"/>
    <xdr:sp macro="" textlink="">
      <xdr:nvSpPr>
        <xdr:cNvPr id="131" name="AutoShape 1016" descr="alert toggle">
          <a:extLst>
            <a:ext uri="{FF2B5EF4-FFF2-40B4-BE49-F238E27FC236}">
              <a16:creationId xmlns:a16="http://schemas.microsoft.com/office/drawing/2014/main" id="{72558C26-F9B3-8D44-93DD-A8508954666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82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236</xdr:row>
      <xdr:rowOff>0</xdr:rowOff>
    </xdr:from>
    <xdr:ext cx="304800" cy="304799"/>
    <xdr:sp macro="" textlink="">
      <xdr:nvSpPr>
        <xdr:cNvPr id="132" name="AutoShape 1019" descr="note-add">
          <a:extLst>
            <a:ext uri="{FF2B5EF4-FFF2-40B4-BE49-F238E27FC236}">
              <a16:creationId xmlns:a16="http://schemas.microsoft.com/office/drawing/2014/main" id="{C5C7783F-3E98-8941-B908-2ADE471AABC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0152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236</xdr:row>
      <xdr:rowOff>0</xdr:rowOff>
    </xdr:from>
    <xdr:ext cx="304800" cy="304799"/>
    <xdr:sp macro="" textlink="">
      <xdr:nvSpPr>
        <xdr:cNvPr id="133" name="AutoShape 1020" descr="alert toggle">
          <a:extLst>
            <a:ext uri="{FF2B5EF4-FFF2-40B4-BE49-F238E27FC236}">
              <a16:creationId xmlns:a16="http://schemas.microsoft.com/office/drawing/2014/main" id="{272997BF-ABF5-FA4D-B681-413832CE38E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0152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237</xdr:row>
      <xdr:rowOff>0</xdr:rowOff>
    </xdr:from>
    <xdr:ext cx="304800" cy="304800"/>
    <xdr:sp macro="" textlink="">
      <xdr:nvSpPr>
        <xdr:cNvPr id="134" name="AutoShape 1023" descr="note-add">
          <a:extLst>
            <a:ext uri="{FF2B5EF4-FFF2-40B4-BE49-F238E27FC236}">
              <a16:creationId xmlns:a16="http://schemas.microsoft.com/office/drawing/2014/main" id="{BED73318-B277-1843-B52F-F06C05C9E6F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12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237</xdr:row>
      <xdr:rowOff>0</xdr:rowOff>
    </xdr:from>
    <xdr:ext cx="304800" cy="304800"/>
    <xdr:sp macro="" textlink="">
      <xdr:nvSpPr>
        <xdr:cNvPr id="135" name="AutoShape 1024" descr="alert toggle">
          <a:extLst>
            <a:ext uri="{FF2B5EF4-FFF2-40B4-BE49-F238E27FC236}">
              <a16:creationId xmlns:a16="http://schemas.microsoft.com/office/drawing/2014/main" id="{54C81A2E-DF48-9741-A103-89AD59E29F4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12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238</xdr:row>
      <xdr:rowOff>0</xdr:rowOff>
    </xdr:from>
    <xdr:ext cx="304800" cy="304799"/>
    <xdr:sp macro="" textlink="">
      <xdr:nvSpPr>
        <xdr:cNvPr id="136" name="AutoShape 1027" descr="note-add">
          <a:extLst>
            <a:ext uri="{FF2B5EF4-FFF2-40B4-BE49-F238E27FC236}">
              <a16:creationId xmlns:a16="http://schemas.microsoft.com/office/drawing/2014/main" id="{8DA4A082-17F2-F142-9C36-1989C415F0F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238</xdr:row>
      <xdr:rowOff>0</xdr:rowOff>
    </xdr:from>
    <xdr:ext cx="304800" cy="304799"/>
    <xdr:sp macro="" textlink="">
      <xdr:nvSpPr>
        <xdr:cNvPr id="137" name="AutoShape 1028" descr="alert toggle">
          <a:extLst>
            <a:ext uri="{FF2B5EF4-FFF2-40B4-BE49-F238E27FC236}">
              <a16:creationId xmlns:a16="http://schemas.microsoft.com/office/drawing/2014/main" id="{2CC6E1B5-4B6E-2A4E-AFE7-67610777FE8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238</xdr:row>
      <xdr:rowOff>0</xdr:rowOff>
    </xdr:from>
    <xdr:ext cx="304800" cy="304799"/>
    <xdr:sp macro="" textlink="">
      <xdr:nvSpPr>
        <xdr:cNvPr id="138" name="AutoShape 1031" descr="note-add">
          <a:extLst>
            <a:ext uri="{FF2B5EF4-FFF2-40B4-BE49-F238E27FC236}">
              <a16:creationId xmlns:a16="http://schemas.microsoft.com/office/drawing/2014/main" id="{A6279AB7-637A-0241-83A8-62DF0C0CE4D6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238</xdr:row>
      <xdr:rowOff>0</xdr:rowOff>
    </xdr:from>
    <xdr:ext cx="304800" cy="304799"/>
    <xdr:sp macro="" textlink="">
      <xdr:nvSpPr>
        <xdr:cNvPr id="139" name="AutoShape 1032" descr="alert toggle">
          <a:extLst>
            <a:ext uri="{FF2B5EF4-FFF2-40B4-BE49-F238E27FC236}">
              <a16:creationId xmlns:a16="http://schemas.microsoft.com/office/drawing/2014/main" id="{1D56232D-59B7-C442-A5FE-44FA7FAE48E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6210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239</xdr:row>
      <xdr:rowOff>0</xdr:rowOff>
    </xdr:from>
    <xdr:ext cx="304800" cy="304799"/>
    <xdr:sp macro="" textlink="">
      <xdr:nvSpPr>
        <xdr:cNvPr id="140" name="AutoShape 1036" descr="alert toggle">
          <a:extLst>
            <a:ext uri="{FF2B5EF4-FFF2-40B4-BE49-F238E27FC236}">
              <a16:creationId xmlns:a16="http://schemas.microsoft.com/office/drawing/2014/main" id="{88EB3D59-5B1B-0541-AB0F-6EAFF96AAA4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197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304799"/>
    <xdr:sp macro="" textlink="">
      <xdr:nvSpPr>
        <xdr:cNvPr id="141" name="AutoShape 1039" descr="note-add">
          <a:extLst>
            <a:ext uri="{FF2B5EF4-FFF2-40B4-BE49-F238E27FC236}">
              <a16:creationId xmlns:a16="http://schemas.microsoft.com/office/drawing/2014/main" id="{444D8D5D-C4F3-194D-85DD-53099B65A57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705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240</xdr:row>
      <xdr:rowOff>0</xdr:rowOff>
    </xdr:from>
    <xdr:ext cx="304800" cy="304799"/>
    <xdr:sp macro="" textlink="">
      <xdr:nvSpPr>
        <xdr:cNvPr id="142" name="AutoShape 1040" descr="alert toggle">
          <a:extLst>
            <a:ext uri="{FF2B5EF4-FFF2-40B4-BE49-F238E27FC236}">
              <a16:creationId xmlns:a16="http://schemas.microsoft.com/office/drawing/2014/main" id="{30956E84-F9C5-DB44-8732-59CD630FD10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705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304800"/>
    <xdr:sp macro="" textlink="">
      <xdr:nvSpPr>
        <xdr:cNvPr id="143" name="AutoShape 1043" descr="note-add">
          <a:extLst>
            <a:ext uri="{FF2B5EF4-FFF2-40B4-BE49-F238E27FC236}">
              <a16:creationId xmlns:a16="http://schemas.microsoft.com/office/drawing/2014/main" id="{08945207-59CE-D446-810A-F6CD34CBB5C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2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241</xdr:row>
      <xdr:rowOff>0</xdr:rowOff>
    </xdr:from>
    <xdr:ext cx="304800" cy="304800"/>
    <xdr:sp macro="" textlink="">
      <xdr:nvSpPr>
        <xdr:cNvPr id="144" name="AutoShape 1044" descr="alert toggle">
          <a:extLst>
            <a:ext uri="{FF2B5EF4-FFF2-40B4-BE49-F238E27FC236}">
              <a16:creationId xmlns:a16="http://schemas.microsoft.com/office/drawing/2014/main" id="{8E869A60-1F82-2A4C-9B35-A79B44D1D55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2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304799"/>
    <xdr:sp macro="" textlink="">
      <xdr:nvSpPr>
        <xdr:cNvPr id="145" name="AutoShape 1047" descr="note-add">
          <a:extLst>
            <a:ext uri="{FF2B5EF4-FFF2-40B4-BE49-F238E27FC236}">
              <a16:creationId xmlns:a16="http://schemas.microsoft.com/office/drawing/2014/main" id="{938F3E7E-E23F-E54E-AA1E-655CB17043C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5115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242</xdr:row>
      <xdr:rowOff>0</xdr:rowOff>
    </xdr:from>
    <xdr:ext cx="304800" cy="304799"/>
    <xdr:sp macro="" textlink="">
      <xdr:nvSpPr>
        <xdr:cNvPr id="146" name="AutoShape 1048" descr="alert toggle">
          <a:extLst>
            <a:ext uri="{FF2B5EF4-FFF2-40B4-BE49-F238E27FC236}">
              <a16:creationId xmlns:a16="http://schemas.microsoft.com/office/drawing/2014/main" id="{BFCBC5F1-EB7A-5E4C-A0F8-469641A438C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5115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243</xdr:row>
      <xdr:rowOff>0</xdr:rowOff>
    </xdr:from>
    <xdr:ext cx="304800" cy="304800"/>
    <xdr:sp macro="" textlink="">
      <xdr:nvSpPr>
        <xdr:cNvPr id="147" name="AutoShape 1051" descr="note-add">
          <a:extLst>
            <a:ext uri="{FF2B5EF4-FFF2-40B4-BE49-F238E27FC236}">
              <a16:creationId xmlns:a16="http://schemas.microsoft.com/office/drawing/2014/main" id="{A8AF632F-1A20-7244-9252-33E7102E6B21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85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243</xdr:row>
      <xdr:rowOff>0</xdr:rowOff>
    </xdr:from>
    <xdr:ext cx="304800" cy="304800"/>
    <xdr:sp macro="" textlink="">
      <xdr:nvSpPr>
        <xdr:cNvPr id="148" name="AutoShape 1052" descr="alert toggle">
          <a:extLst>
            <a:ext uri="{FF2B5EF4-FFF2-40B4-BE49-F238E27FC236}">
              <a16:creationId xmlns:a16="http://schemas.microsoft.com/office/drawing/2014/main" id="{6CBFDC69-DBE7-9345-BCCB-AA36AC8CF4BD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85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146</xdr:row>
      <xdr:rowOff>0</xdr:rowOff>
    </xdr:from>
    <xdr:ext cx="304800" cy="304800"/>
    <xdr:sp macro="" textlink="">
      <xdr:nvSpPr>
        <xdr:cNvPr id="149" name="AutoShape 1201" descr="note-add">
          <a:extLst>
            <a:ext uri="{FF2B5EF4-FFF2-40B4-BE49-F238E27FC236}">
              <a16:creationId xmlns:a16="http://schemas.microsoft.com/office/drawing/2014/main" id="{63C4C999-E79C-214B-8DEC-8BB87A157915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146</xdr:row>
      <xdr:rowOff>0</xdr:rowOff>
    </xdr:from>
    <xdr:ext cx="304800" cy="304800"/>
    <xdr:sp macro="" textlink="">
      <xdr:nvSpPr>
        <xdr:cNvPr id="150" name="AutoShape 1202" descr="alert toggle">
          <a:extLst>
            <a:ext uri="{FF2B5EF4-FFF2-40B4-BE49-F238E27FC236}">
              <a16:creationId xmlns:a16="http://schemas.microsoft.com/office/drawing/2014/main" id="{385D2B1B-BF34-D944-AD1D-6388A03084D1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304799"/>
    <xdr:sp macro="" textlink="">
      <xdr:nvSpPr>
        <xdr:cNvPr id="151" name="AutoShape 1205" descr="note-add">
          <a:extLst>
            <a:ext uri="{FF2B5EF4-FFF2-40B4-BE49-F238E27FC236}">
              <a16:creationId xmlns:a16="http://schemas.microsoft.com/office/drawing/2014/main" id="{88CCBC19-D55E-F842-9C47-B22023CFF08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244</xdr:row>
      <xdr:rowOff>0</xdr:rowOff>
    </xdr:from>
    <xdr:ext cx="304800" cy="304799"/>
    <xdr:sp macro="" textlink="">
      <xdr:nvSpPr>
        <xdr:cNvPr id="152" name="AutoShape 1206" descr="alert toggle">
          <a:extLst>
            <a:ext uri="{FF2B5EF4-FFF2-40B4-BE49-F238E27FC236}">
              <a16:creationId xmlns:a16="http://schemas.microsoft.com/office/drawing/2014/main" id="{40AD3B68-46C7-B141-B6D4-AC915011D01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304800"/>
    <xdr:sp macro="" textlink="">
      <xdr:nvSpPr>
        <xdr:cNvPr id="153" name="AutoShape 1209" descr="note-add">
          <a:extLst>
            <a:ext uri="{FF2B5EF4-FFF2-40B4-BE49-F238E27FC236}">
              <a16:creationId xmlns:a16="http://schemas.microsoft.com/office/drawing/2014/main" id="{54D40416-5EF6-8945-AF7C-64CBB5F0688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245</xdr:row>
      <xdr:rowOff>0</xdr:rowOff>
    </xdr:from>
    <xdr:ext cx="304800" cy="304800"/>
    <xdr:sp macro="" textlink="">
      <xdr:nvSpPr>
        <xdr:cNvPr id="154" name="AutoShape 1210" descr="alert toggle">
          <a:extLst>
            <a:ext uri="{FF2B5EF4-FFF2-40B4-BE49-F238E27FC236}">
              <a16:creationId xmlns:a16="http://schemas.microsoft.com/office/drawing/2014/main" id="{BECDCD64-B448-CB43-A066-F4EE3718029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246</xdr:row>
      <xdr:rowOff>0</xdr:rowOff>
    </xdr:from>
    <xdr:ext cx="304800" cy="304798"/>
    <xdr:sp macro="" textlink="">
      <xdr:nvSpPr>
        <xdr:cNvPr id="155" name="AutoShape 1213" descr="note-add">
          <a:extLst>
            <a:ext uri="{FF2B5EF4-FFF2-40B4-BE49-F238E27FC236}">
              <a16:creationId xmlns:a16="http://schemas.microsoft.com/office/drawing/2014/main" id="{E5EE8E86-E54B-864F-B576-901D04AC0116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246</xdr:row>
      <xdr:rowOff>0</xdr:rowOff>
    </xdr:from>
    <xdr:ext cx="304800" cy="304798"/>
    <xdr:sp macro="" textlink="">
      <xdr:nvSpPr>
        <xdr:cNvPr id="156" name="AutoShape 1214" descr="alert toggle">
          <a:extLst>
            <a:ext uri="{FF2B5EF4-FFF2-40B4-BE49-F238E27FC236}">
              <a16:creationId xmlns:a16="http://schemas.microsoft.com/office/drawing/2014/main" id="{31BA0BEF-B60B-8341-8028-F3229B08370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247</xdr:row>
      <xdr:rowOff>0</xdr:rowOff>
    </xdr:from>
    <xdr:ext cx="304800" cy="304800"/>
    <xdr:sp macro="" textlink="">
      <xdr:nvSpPr>
        <xdr:cNvPr id="157" name="AutoShape 1217" descr="note-add">
          <a:extLst>
            <a:ext uri="{FF2B5EF4-FFF2-40B4-BE49-F238E27FC236}">
              <a16:creationId xmlns:a16="http://schemas.microsoft.com/office/drawing/2014/main" id="{B636ED35-A3B4-B645-A81D-AD9C268CC25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247</xdr:row>
      <xdr:rowOff>0</xdr:rowOff>
    </xdr:from>
    <xdr:ext cx="304800" cy="304800"/>
    <xdr:sp macro="" textlink="">
      <xdr:nvSpPr>
        <xdr:cNvPr id="158" name="AutoShape 1218" descr="alert toggle">
          <a:extLst>
            <a:ext uri="{FF2B5EF4-FFF2-40B4-BE49-F238E27FC236}">
              <a16:creationId xmlns:a16="http://schemas.microsoft.com/office/drawing/2014/main" id="{1D6E384D-2E2F-5C44-A45B-1B8A6510BFB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249</xdr:row>
      <xdr:rowOff>0</xdr:rowOff>
    </xdr:from>
    <xdr:ext cx="304800" cy="304800"/>
    <xdr:sp macro="" textlink="">
      <xdr:nvSpPr>
        <xdr:cNvPr id="159" name="AutoShape 1221" descr="note-add">
          <a:extLst>
            <a:ext uri="{FF2B5EF4-FFF2-40B4-BE49-F238E27FC236}">
              <a16:creationId xmlns:a16="http://schemas.microsoft.com/office/drawing/2014/main" id="{414B8CAF-28E4-D744-8534-0ECE3439BE2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249</xdr:row>
      <xdr:rowOff>0</xdr:rowOff>
    </xdr:from>
    <xdr:ext cx="304800" cy="304800"/>
    <xdr:sp macro="" textlink="">
      <xdr:nvSpPr>
        <xdr:cNvPr id="160" name="AutoShape 1222" descr="alert toggle">
          <a:extLst>
            <a:ext uri="{FF2B5EF4-FFF2-40B4-BE49-F238E27FC236}">
              <a16:creationId xmlns:a16="http://schemas.microsoft.com/office/drawing/2014/main" id="{E3C48423-87C6-E142-8AA5-591930F5F9C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161" name="AutoShape 1225" descr="note-add">
          <a:extLst>
            <a:ext uri="{FF2B5EF4-FFF2-40B4-BE49-F238E27FC236}">
              <a16:creationId xmlns:a16="http://schemas.microsoft.com/office/drawing/2014/main" id="{9A149E7F-CCB9-A745-9FC2-8276B3267E6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162" name="AutoShape 1226" descr="alert toggle">
          <a:extLst>
            <a:ext uri="{FF2B5EF4-FFF2-40B4-BE49-F238E27FC236}">
              <a16:creationId xmlns:a16="http://schemas.microsoft.com/office/drawing/2014/main" id="{6AEBCD4B-DD42-7849-A872-602F90CD609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163" name="AutoShape 1229" descr="note-add">
          <a:extLst>
            <a:ext uri="{FF2B5EF4-FFF2-40B4-BE49-F238E27FC236}">
              <a16:creationId xmlns:a16="http://schemas.microsoft.com/office/drawing/2014/main" id="{DB25C442-9609-A44C-9FE1-63382B825EB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164" name="AutoShape 1230" descr="alert toggle">
          <a:extLst>
            <a:ext uri="{FF2B5EF4-FFF2-40B4-BE49-F238E27FC236}">
              <a16:creationId xmlns:a16="http://schemas.microsoft.com/office/drawing/2014/main" id="{D2F7E0EE-F4E9-5F4A-B349-F91AF30B2F0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1"/>
    <xdr:sp macro="" textlink="">
      <xdr:nvSpPr>
        <xdr:cNvPr id="165" name="AutoShape 1233" descr="note-add">
          <a:extLst>
            <a:ext uri="{FF2B5EF4-FFF2-40B4-BE49-F238E27FC236}">
              <a16:creationId xmlns:a16="http://schemas.microsoft.com/office/drawing/2014/main" id="{3EB7BF07-2664-CB4D-838E-3B5BFCC3471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1"/>
    <xdr:sp macro="" textlink="">
      <xdr:nvSpPr>
        <xdr:cNvPr id="166" name="AutoShape 1234" descr="alert toggle">
          <a:extLst>
            <a:ext uri="{FF2B5EF4-FFF2-40B4-BE49-F238E27FC236}">
              <a16:creationId xmlns:a16="http://schemas.microsoft.com/office/drawing/2014/main" id="{D8E2B99D-86EA-7642-BF06-F03010F807E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0"/>
    <xdr:sp macro="" textlink="">
      <xdr:nvSpPr>
        <xdr:cNvPr id="167" name="AutoShape 1237" descr="note-add">
          <a:extLst>
            <a:ext uri="{FF2B5EF4-FFF2-40B4-BE49-F238E27FC236}">
              <a16:creationId xmlns:a16="http://schemas.microsoft.com/office/drawing/2014/main" id="{520EFBE1-16B1-044A-B1E6-9A48B406CA8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0"/>
    <xdr:sp macro="" textlink="">
      <xdr:nvSpPr>
        <xdr:cNvPr id="168" name="AutoShape 1238" descr="alert toggle">
          <a:extLst>
            <a:ext uri="{FF2B5EF4-FFF2-40B4-BE49-F238E27FC236}">
              <a16:creationId xmlns:a16="http://schemas.microsoft.com/office/drawing/2014/main" id="{F6EB0FBD-AD14-C343-896C-288810FE4BF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304801"/>
    <xdr:sp macro="" textlink="">
      <xdr:nvSpPr>
        <xdr:cNvPr id="169" name="AutoShape 1241" descr="note-add">
          <a:extLst>
            <a:ext uri="{FF2B5EF4-FFF2-40B4-BE49-F238E27FC236}">
              <a16:creationId xmlns:a16="http://schemas.microsoft.com/office/drawing/2014/main" id="{9FEC6CAF-E25C-E849-B025-AEE52B3068D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252</xdr:row>
      <xdr:rowOff>0</xdr:rowOff>
    </xdr:from>
    <xdr:ext cx="304800" cy="304801"/>
    <xdr:sp macro="" textlink="">
      <xdr:nvSpPr>
        <xdr:cNvPr id="170" name="AutoShape 1242" descr="alert toggle">
          <a:extLst>
            <a:ext uri="{FF2B5EF4-FFF2-40B4-BE49-F238E27FC236}">
              <a16:creationId xmlns:a16="http://schemas.microsoft.com/office/drawing/2014/main" id="{C79E4B04-C75B-174A-8885-F58D406462A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304800"/>
    <xdr:sp macro="" textlink="">
      <xdr:nvSpPr>
        <xdr:cNvPr id="171" name="AutoShape 1245" descr="note-add">
          <a:extLst>
            <a:ext uri="{FF2B5EF4-FFF2-40B4-BE49-F238E27FC236}">
              <a16:creationId xmlns:a16="http://schemas.microsoft.com/office/drawing/2014/main" id="{3B1C6491-CBE8-E040-A250-86394A3AD79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253</xdr:row>
      <xdr:rowOff>0</xdr:rowOff>
    </xdr:from>
    <xdr:ext cx="304800" cy="304800"/>
    <xdr:sp macro="" textlink="">
      <xdr:nvSpPr>
        <xdr:cNvPr id="172" name="AutoShape 1246" descr="alert toggle">
          <a:extLst>
            <a:ext uri="{FF2B5EF4-FFF2-40B4-BE49-F238E27FC236}">
              <a16:creationId xmlns:a16="http://schemas.microsoft.com/office/drawing/2014/main" id="{1A1165A8-144D-F44D-BE5E-0D6DCA8D5D4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304801"/>
    <xdr:sp macro="" textlink="">
      <xdr:nvSpPr>
        <xdr:cNvPr id="173" name="AutoShape 1249" descr="note-add">
          <a:extLst>
            <a:ext uri="{FF2B5EF4-FFF2-40B4-BE49-F238E27FC236}">
              <a16:creationId xmlns:a16="http://schemas.microsoft.com/office/drawing/2014/main" id="{4838DACF-D85E-F945-8797-B347E60A30C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254</xdr:row>
      <xdr:rowOff>0</xdr:rowOff>
    </xdr:from>
    <xdr:ext cx="304800" cy="304801"/>
    <xdr:sp macro="" textlink="">
      <xdr:nvSpPr>
        <xdr:cNvPr id="174" name="AutoShape 1250" descr="alert toggle">
          <a:extLst>
            <a:ext uri="{FF2B5EF4-FFF2-40B4-BE49-F238E27FC236}">
              <a16:creationId xmlns:a16="http://schemas.microsoft.com/office/drawing/2014/main" id="{B561FEC6-CBFD-4B40-BAD6-77928F7C87F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175" name="AutoShape 1253" descr="note-add">
          <a:extLst>
            <a:ext uri="{FF2B5EF4-FFF2-40B4-BE49-F238E27FC236}">
              <a16:creationId xmlns:a16="http://schemas.microsoft.com/office/drawing/2014/main" id="{F754816B-EAFC-AC49-B55E-E65162C3FCD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176" name="AutoShape 1254" descr="alert toggle">
          <a:extLst>
            <a:ext uri="{FF2B5EF4-FFF2-40B4-BE49-F238E27FC236}">
              <a16:creationId xmlns:a16="http://schemas.microsoft.com/office/drawing/2014/main" id="{CB1D40FC-14DE-7F40-9BE4-D4C223ECC86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177" name="AutoShape 1257" descr="note-add">
          <a:extLst>
            <a:ext uri="{FF2B5EF4-FFF2-40B4-BE49-F238E27FC236}">
              <a16:creationId xmlns:a16="http://schemas.microsoft.com/office/drawing/2014/main" id="{1E3DA3CA-D332-4E43-AF31-81744FEE075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178" name="AutoShape 1258" descr="alert toggle">
          <a:extLst>
            <a:ext uri="{FF2B5EF4-FFF2-40B4-BE49-F238E27FC236}">
              <a16:creationId xmlns:a16="http://schemas.microsoft.com/office/drawing/2014/main" id="{BCAC4910-6D66-2340-8A42-A0B3CA3D221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179" name="AutoShape 1261" descr="note-add">
          <a:extLst>
            <a:ext uri="{FF2B5EF4-FFF2-40B4-BE49-F238E27FC236}">
              <a16:creationId xmlns:a16="http://schemas.microsoft.com/office/drawing/2014/main" id="{5DF20405-A19D-B74B-8571-E302FB11166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180" name="AutoShape 1262" descr="alert toggle">
          <a:extLst>
            <a:ext uri="{FF2B5EF4-FFF2-40B4-BE49-F238E27FC236}">
              <a16:creationId xmlns:a16="http://schemas.microsoft.com/office/drawing/2014/main" id="{0B193A00-CDCC-924D-BD86-B3362947901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181" name="AutoShape 1265" descr="note-add">
          <a:extLst>
            <a:ext uri="{FF2B5EF4-FFF2-40B4-BE49-F238E27FC236}">
              <a16:creationId xmlns:a16="http://schemas.microsoft.com/office/drawing/2014/main" id="{FC7949B4-C6BA-5041-AD5D-38C7F5F57F7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182" name="AutoShape 1266" descr="alert toggle">
          <a:extLst>
            <a:ext uri="{FF2B5EF4-FFF2-40B4-BE49-F238E27FC236}">
              <a16:creationId xmlns:a16="http://schemas.microsoft.com/office/drawing/2014/main" id="{31C72083-6055-6746-A442-1B93220D7D7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304800"/>
    <xdr:sp macro="" textlink="">
      <xdr:nvSpPr>
        <xdr:cNvPr id="183" name="AutoShape 1269" descr="note-add">
          <a:extLst>
            <a:ext uri="{FF2B5EF4-FFF2-40B4-BE49-F238E27FC236}">
              <a16:creationId xmlns:a16="http://schemas.microsoft.com/office/drawing/2014/main" id="{20713DCB-FEAE-C345-93CD-EB35D9C4774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259</xdr:row>
      <xdr:rowOff>0</xdr:rowOff>
    </xdr:from>
    <xdr:ext cx="304800" cy="304800"/>
    <xdr:sp macro="" textlink="">
      <xdr:nvSpPr>
        <xdr:cNvPr id="184" name="AutoShape 1270" descr="alert toggle">
          <a:extLst>
            <a:ext uri="{FF2B5EF4-FFF2-40B4-BE49-F238E27FC236}">
              <a16:creationId xmlns:a16="http://schemas.microsoft.com/office/drawing/2014/main" id="{AB6C7D47-1030-784A-87EB-6E6AFCCFE08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58</xdr:row>
      <xdr:rowOff>0</xdr:rowOff>
    </xdr:from>
    <xdr:ext cx="304800" cy="304800"/>
    <xdr:sp macro="" textlink="">
      <xdr:nvSpPr>
        <xdr:cNvPr id="185" name="AutoShape 1273" descr="note-add">
          <a:extLst>
            <a:ext uri="{FF2B5EF4-FFF2-40B4-BE49-F238E27FC236}">
              <a16:creationId xmlns:a16="http://schemas.microsoft.com/office/drawing/2014/main" id="{6B03D537-C907-BB47-80DE-87A3686E3E1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58</xdr:row>
      <xdr:rowOff>0</xdr:rowOff>
    </xdr:from>
    <xdr:ext cx="304800" cy="304800"/>
    <xdr:sp macro="" textlink="">
      <xdr:nvSpPr>
        <xdr:cNvPr id="186" name="AutoShape 1274" descr="alert toggle">
          <a:extLst>
            <a:ext uri="{FF2B5EF4-FFF2-40B4-BE49-F238E27FC236}">
              <a16:creationId xmlns:a16="http://schemas.microsoft.com/office/drawing/2014/main" id="{CF93446C-7AF4-504A-94A7-F2490ED0BFB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146</xdr:row>
      <xdr:rowOff>0</xdr:rowOff>
    </xdr:from>
    <xdr:ext cx="304800" cy="304800"/>
    <xdr:sp macro="" textlink="">
      <xdr:nvSpPr>
        <xdr:cNvPr id="187" name="AutoShape 1275" descr="note-add">
          <a:extLst>
            <a:ext uri="{FF2B5EF4-FFF2-40B4-BE49-F238E27FC236}">
              <a16:creationId xmlns:a16="http://schemas.microsoft.com/office/drawing/2014/main" id="{D2F85A08-7255-BC43-B4A2-99D681A25DCB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146</xdr:row>
      <xdr:rowOff>0</xdr:rowOff>
    </xdr:from>
    <xdr:ext cx="304800" cy="304800"/>
    <xdr:sp macro="" textlink="">
      <xdr:nvSpPr>
        <xdr:cNvPr id="188" name="AutoShape 1276" descr="alert toggle">
          <a:extLst>
            <a:ext uri="{FF2B5EF4-FFF2-40B4-BE49-F238E27FC236}">
              <a16:creationId xmlns:a16="http://schemas.microsoft.com/office/drawing/2014/main" id="{2DC1CB6D-3E5E-4147-A410-379094B407CA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304799"/>
    <xdr:sp macro="" textlink="">
      <xdr:nvSpPr>
        <xdr:cNvPr id="189" name="AutoShape 1279" descr="note-add">
          <a:extLst>
            <a:ext uri="{FF2B5EF4-FFF2-40B4-BE49-F238E27FC236}">
              <a16:creationId xmlns:a16="http://schemas.microsoft.com/office/drawing/2014/main" id="{ACC2440D-43BF-C546-8C1E-1E73397E8CA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244</xdr:row>
      <xdr:rowOff>0</xdr:rowOff>
    </xdr:from>
    <xdr:ext cx="304800" cy="304799"/>
    <xdr:sp macro="" textlink="">
      <xdr:nvSpPr>
        <xdr:cNvPr id="190" name="AutoShape 1280" descr="alert toggle">
          <a:extLst>
            <a:ext uri="{FF2B5EF4-FFF2-40B4-BE49-F238E27FC236}">
              <a16:creationId xmlns:a16="http://schemas.microsoft.com/office/drawing/2014/main" id="{E5C6E43D-467E-FD4A-992D-3E5028DEB23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304800"/>
    <xdr:sp macro="" textlink="">
      <xdr:nvSpPr>
        <xdr:cNvPr id="191" name="AutoShape 1283" descr="note-add">
          <a:extLst>
            <a:ext uri="{FF2B5EF4-FFF2-40B4-BE49-F238E27FC236}">
              <a16:creationId xmlns:a16="http://schemas.microsoft.com/office/drawing/2014/main" id="{E19CA030-0A52-1641-B867-82F7B8B62F5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245</xdr:row>
      <xdr:rowOff>0</xdr:rowOff>
    </xdr:from>
    <xdr:ext cx="304800" cy="304800"/>
    <xdr:sp macro="" textlink="">
      <xdr:nvSpPr>
        <xdr:cNvPr id="192" name="AutoShape 1284" descr="alert toggle">
          <a:extLst>
            <a:ext uri="{FF2B5EF4-FFF2-40B4-BE49-F238E27FC236}">
              <a16:creationId xmlns:a16="http://schemas.microsoft.com/office/drawing/2014/main" id="{393D03CF-34ED-744B-8B12-E5A1524AA75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246</xdr:row>
      <xdr:rowOff>0</xdr:rowOff>
    </xdr:from>
    <xdr:ext cx="304800" cy="304798"/>
    <xdr:sp macro="" textlink="">
      <xdr:nvSpPr>
        <xdr:cNvPr id="193" name="AutoShape 1287" descr="note-add">
          <a:extLst>
            <a:ext uri="{FF2B5EF4-FFF2-40B4-BE49-F238E27FC236}">
              <a16:creationId xmlns:a16="http://schemas.microsoft.com/office/drawing/2014/main" id="{216ADFC2-A251-C64D-B5DD-5AAEFC7254B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246</xdr:row>
      <xdr:rowOff>0</xdr:rowOff>
    </xdr:from>
    <xdr:ext cx="304800" cy="304798"/>
    <xdr:sp macro="" textlink="">
      <xdr:nvSpPr>
        <xdr:cNvPr id="194" name="AutoShape 1288" descr="alert toggle">
          <a:extLst>
            <a:ext uri="{FF2B5EF4-FFF2-40B4-BE49-F238E27FC236}">
              <a16:creationId xmlns:a16="http://schemas.microsoft.com/office/drawing/2014/main" id="{CD5C9EC0-875D-AD4E-A889-52C2D3FFA79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247</xdr:row>
      <xdr:rowOff>0</xdr:rowOff>
    </xdr:from>
    <xdr:ext cx="304800" cy="304800"/>
    <xdr:sp macro="" textlink="">
      <xdr:nvSpPr>
        <xdr:cNvPr id="195" name="AutoShape 1291" descr="note-add">
          <a:extLst>
            <a:ext uri="{FF2B5EF4-FFF2-40B4-BE49-F238E27FC236}">
              <a16:creationId xmlns:a16="http://schemas.microsoft.com/office/drawing/2014/main" id="{4B15038C-96FA-9F47-A061-06561114ECD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247</xdr:row>
      <xdr:rowOff>0</xdr:rowOff>
    </xdr:from>
    <xdr:ext cx="304800" cy="304800"/>
    <xdr:sp macro="" textlink="">
      <xdr:nvSpPr>
        <xdr:cNvPr id="196" name="AutoShape 1292" descr="alert toggle">
          <a:extLst>
            <a:ext uri="{FF2B5EF4-FFF2-40B4-BE49-F238E27FC236}">
              <a16:creationId xmlns:a16="http://schemas.microsoft.com/office/drawing/2014/main" id="{D059BFF8-F4CA-F242-B912-8E05755C449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249</xdr:row>
      <xdr:rowOff>0</xdr:rowOff>
    </xdr:from>
    <xdr:ext cx="304800" cy="304800"/>
    <xdr:sp macro="" textlink="">
      <xdr:nvSpPr>
        <xdr:cNvPr id="197" name="AutoShape 1295" descr="note-add">
          <a:extLst>
            <a:ext uri="{FF2B5EF4-FFF2-40B4-BE49-F238E27FC236}">
              <a16:creationId xmlns:a16="http://schemas.microsoft.com/office/drawing/2014/main" id="{A8279ADF-A001-3547-8F76-2FE82626C16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249</xdr:row>
      <xdr:rowOff>0</xdr:rowOff>
    </xdr:from>
    <xdr:ext cx="304800" cy="304800"/>
    <xdr:sp macro="" textlink="">
      <xdr:nvSpPr>
        <xdr:cNvPr id="198" name="AutoShape 1296" descr="alert toggle">
          <a:extLst>
            <a:ext uri="{FF2B5EF4-FFF2-40B4-BE49-F238E27FC236}">
              <a16:creationId xmlns:a16="http://schemas.microsoft.com/office/drawing/2014/main" id="{0EC5F5B7-37FD-7242-83D9-4C1BCAA3AC5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199" name="AutoShape 1299" descr="note-add">
          <a:extLst>
            <a:ext uri="{FF2B5EF4-FFF2-40B4-BE49-F238E27FC236}">
              <a16:creationId xmlns:a16="http://schemas.microsoft.com/office/drawing/2014/main" id="{0CDE2B46-F7A9-E04D-96E8-86964DF6F81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200" name="AutoShape 1300" descr="alert toggle">
          <a:extLst>
            <a:ext uri="{FF2B5EF4-FFF2-40B4-BE49-F238E27FC236}">
              <a16:creationId xmlns:a16="http://schemas.microsoft.com/office/drawing/2014/main" id="{382D640F-2F70-2245-82FA-8929D59F532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201" name="AutoShape 1303" descr="note-add">
          <a:extLst>
            <a:ext uri="{FF2B5EF4-FFF2-40B4-BE49-F238E27FC236}">
              <a16:creationId xmlns:a16="http://schemas.microsoft.com/office/drawing/2014/main" id="{C064523E-76AC-0440-B1D8-FE44FC50658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202" name="AutoShape 1304" descr="alert toggle">
          <a:extLst>
            <a:ext uri="{FF2B5EF4-FFF2-40B4-BE49-F238E27FC236}">
              <a16:creationId xmlns:a16="http://schemas.microsoft.com/office/drawing/2014/main" id="{EB55DDB1-6DFB-F34F-BDEC-4BAE84303BD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1"/>
    <xdr:sp macro="" textlink="">
      <xdr:nvSpPr>
        <xdr:cNvPr id="203" name="AutoShape 1307" descr="note-add">
          <a:extLst>
            <a:ext uri="{FF2B5EF4-FFF2-40B4-BE49-F238E27FC236}">
              <a16:creationId xmlns:a16="http://schemas.microsoft.com/office/drawing/2014/main" id="{4C286251-C7B2-E44C-B193-5FCABCA9054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1"/>
    <xdr:sp macro="" textlink="">
      <xdr:nvSpPr>
        <xdr:cNvPr id="204" name="AutoShape 1308" descr="alert toggle">
          <a:extLst>
            <a:ext uri="{FF2B5EF4-FFF2-40B4-BE49-F238E27FC236}">
              <a16:creationId xmlns:a16="http://schemas.microsoft.com/office/drawing/2014/main" id="{A07F32FC-6C59-4940-8233-6EABDCC11EB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0"/>
    <xdr:sp macro="" textlink="">
      <xdr:nvSpPr>
        <xdr:cNvPr id="205" name="AutoShape 1311" descr="note-add">
          <a:extLst>
            <a:ext uri="{FF2B5EF4-FFF2-40B4-BE49-F238E27FC236}">
              <a16:creationId xmlns:a16="http://schemas.microsoft.com/office/drawing/2014/main" id="{239409E6-DAC2-9D45-B736-A43EC4612B7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0"/>
    <xdr:sp macro="" textlink="">
      <xdr:nvSpPr>
        <xdr:cNvPr id="206" name="AutoShape 1312" descr="alert toggle">
          <a:extLst>
            <a:ext uri="{FF2B5EF4-FFF2-40B4-BE49-F238E27FC236}">
              <a16:creationId xmlns:a16="http://schemas.microsoft.com/office/drawing/2014/main" id="{21226442-1125-1047-948A-E55DB9537B4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304801"/>
    <xdr:sp macro="" textlink="">
      <xdr:nvSpPr>
        <xdr:cNvPr id="207" name="AutoShape 1315" descr="note-add">
          <a:extLst>
            <a:ext uri="{FF2B5EF4-FFF2-40B4-BE49-F238E27FC236}">
              <a16:creationId xmlns:a16="http://schemas.microsoft.com/office/drawing/2014/main" id="{D719351F-8B04-184A-8DCA-9BF11A85907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252</xdr:row>
      <xdr:rowOff>0</xdr:rowOff>
    </xdr:from>
    <xdr:ext cx="304800" cy="304801"/>
    <xdr:sp macro="" textlink="">
      <xdr:nvSpPr>
        <xdr:cNvPr id="208" name="AutoShape 1316" descr="alert toggle">
          <a:extLst>
            <a:ext uri="{FF2B5EF4-FFF2-40B4-BE49-F238E27FC236}">
              <a16:creationId xmlns:a16="http://schemas.microsoft.com/office/drawing/2014/main" id="{5269341B-C789-D642-B00C-555EBD348BB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304800"/>
    <xdr:sp macro="" textlink="">
      <xdr:nvSpPr>
        <xdr:cNvPr id="209" name="AutoShape 1319" descr="note-add">
          <a:extLst>
            <a:ext uri="{FF2B5EF4-FFF2-40B4-BE49-F238E27FC236}">
              <a16:creationId xmlns:a16="http://schemas.microsoft.com/office/drawing/2014/main" id="{1F77DAD6-64BD-DF41-98E9-A12798166C8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253</xdr:row>
      <xdr:rowOff>0</xdr:rowOff>
    </xdr:from>
    <xdr:ext cx="304800" cy="304800"/>
    <xdr:sp macro="" textlink="">
      <xdr:nvSpPr>
        <xdr:cNvPr id="210" name="AutoShape 1320" descr="alert toggle">
          <a:extLst>
            <a:ext uri="{FF2B5EF4-FFF2-40B4-BE49-F238E27FC236}">
              <a16:creationId xmlns:a16="http://schemas.microsoft.com/office/drawing/2014/main" id="{0B88AD35-9F0E-024F-AF4C-D5B1B3B14AC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304801"/>
    <xdr:sp macro="" textlink="">
      <xdr:nvSpPr>
        <xdr:cNvPr id="211" name="AutoShape 1323" descr="note-add">
          <a:extLst>
            <a:ext uri="{FF2B5EF4-FFF2-40B4-BE49-F238E27FC236}">
              <a16:creationId xmlns:a16="http://schemas.microsoft.com/office/drawing/2014/main" id="{2C015FED-4DA5-8F4D-ADD1-F7E74CDECD6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254</xdr:row>
      <xdr:rowOff>0</xdr:rowOff>
    </xdr:from>
    <xdr:ext cx="304800" cy="304801"/>
    <xdr:sp macro="" textlink="">
      <xdr:nvSpPr>
        <xdr:cNvPr id="212" name="AutoShape 1324" descr="alert toggle">
          <a:extLst>
            <a:ext uri="{FF2B5EF4-FFF2-40B4-BE49-F238E27FC236}">
              <a16:creationId xmlns:a16="http://schemas.microsoft.com/office/drawing/2014/main" id="{30840EBD-3363-554B-A36E-D54742EEE36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213" name="AutoShape 1327" descr="note-add">
          <a:extLst>
            <a:ext uri="{FF2B5EF4-FFF2-40B4-BE49-F238E27FC236}">
              <a16:creationId xmlns:a16="http://schemas.microsoft.com/office/drawing/2014/main" id="{EBFE32D6-7593-804D-97BE-AA24609BCBA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214" name="AutoShape 1328" descr="alert toggle">
          <a:extLst>
            <a:ext uri="{FF2B5EF4-FFF2-40B4-BE49-F238E27FC236}">
              <a16:creationId xmlns:a16="http://schemas.microsoft.com/office/drawing/2014/main" id="{B57FAFE1-7F46-AA4B-88E6-763461C83D0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215" name="AutoShape 1331" descr="note-add">
          <a:extLst>
            <a:ext uri="{FF2B5EF4-FFF2-40B4-BE49-F238E27FC236}">
              <a16:creationId xmlns:a16="http://schemas.microsoft.com/office/drawing/2014/main" id="{45E2D776-7E3D-3B4F-8587-FBDA360E3AF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216" name="AutoShape 1332" descr="alert toggle">
          <a:extLst>
            <a:ext uri="{FF2B5EF4-FFF2-40B4-BE49-F238E27FC236}">
              <a16:creationId xmlns:a16="http://schemas.microsoft.com/office/drawing/2014/main" id="{52AB04F7-C521-4E4F-A6E5-13CD8E09472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217" name="AutoShape 1335" descr="note-add">
          <a:extLst>
            <a:ext uri="{FF2B5EF4-FFF2-40B4-BE49-F238E27FC236}">
              <a16:creationId xmlns:a16="http://schemas.microsoft.com/office/drawing/2014/main" id="{9D427DB6-F2C9-ED4C-A5C2-848268F63B8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218" name="AutoShape 1336" descr="alert toggle">
          <a:extLst>
            <a:ext uri="{FF2B5EF4-FFF2-40B4-BE49-F238E27FC236}">
              <a16:creationId xmlns:a16="http://schemas.microsoft.com/office/drawing/2014/main" id="{F1997B5B-4C26-1242-954D-F8EE655E4C8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219" name="AutoShape 1339" descr="note-add">
          <a:extLst>
            <a:ext uri="{FF2B5EF4-FFF2-40B4-BE49-F238E27FC236}">
              <a16:creationId xmlns:a16="http://schemas.microsoft.com/office/drawing/2014/main" id="{EDD059C7-EF66-334A-A96C-4C06AAA7CD1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220" name="AutoShape 1340" descr="alert toggle">
          <a:extLst>
            <a:ext uri="{FF2B5EF4-FFF2-40B4-BE49-F238E27FC236}">
              <a16:creationId xmlns:a16="http://schemas.microsoft.com/office/drawing/2014/main" id="{5DC1B749-998B-6940-8992-67A8A3DF68B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304800"/>
    <xdr:sp macro="" textlink="">
      <xdr:nvSpPr>
        <xdr:cNvPr id="221" name="AutoShape 1343" descr="note-add">
          <a:extLst>
            <a:ext uri="{FF2B5EF4-FFF2-40B4-BE49-F238E27FC236}">
              <a16:creationId xmlns:a16="http://schemas.microsoft.com/office/drawing/2014/main" id="{502D535E-5A3C-814B-BBFA-961EEDCE5CA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259</xdr:row>
      <xdr:rowOff>0</xdr:rowOff>
    </xdr:from>
    <xdr:ext cx="304800" cy="304800"/>
    <xdr:sp macro="" textlink="">
      <xdr:nvSpPr>
        <xdr:cNvPr id="222" name="AutoShape 1344" descr="alert toggle">
          <a:extLst>
            <a:ext uri="{FF2B5EF4-FFF2-40B4-BE49-F238E27FC236}">
              <a16:creationId xmlns:a16="http://schemas.microsoft.com/office/drawing/2014/main" id="{1B8ECD4F-5968-E840-88C9-1CFF9074F02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58</xdr:row>
      <xdr:rowOff>0</xdr:rowOff>
    </xdr:from>
    <xdr:ext cx="304800" cy="304800"/>
    <xdr:sp macro="" textlink="">
      <xdr:nvSpPr>
        <xdr:cNvPr id="223" name="AutoShape 1347" descr="note-add">
          <a:extLst>
            <a:ext uri="{FF2B5EF4-FFF2-40B4-BE49-F238E27FC236}">
              <a16:creationId xmlns:a16="http://schemas.microsoft.com/office/drawing/2014/main" id="{3F00B17A-63DF-AE49-8431-1B3FD898C9B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58</xdr:row>
      <xdr:rowOff>0</xdr:rowOff>
    </xdr:from>
    <xdr:ext cx="304800" cy="304800"/>
    <xdr:sp macro="" textlink="">
      <xdr:nvSpPr>
        <xdr:cNvPr id="224" name="AutoShape 1348" descr="alert toggle">
          <a:extLst>
            <a:ext uri="{FF2B5EF4-FFF2-40B4-BE49-F238E27FC236}">
              <a16:creationId xmlns:a16="http://schemas.microsoft.com/office/drawing/2014/main" id="{05F84F48-4688-F748-BAF7-B2B1CFB7A66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146</xdr:row>
      <xdr:rowOff>0</xdr:rowOff>
    </xdr:from>
    <xdr:ext cx="304800" cy="304800"/>
    <xdr:sp macro="" textlink="">
      <xdr:nvSpPr>
        <xdr:cNvPr id="225" name="AutoShape 1721" descr="note-add">
          <a:extLst>
            <a:ext uri="{FF2B5EF4-FFF2-40B4-BE49-F238E27FC236}">
              <a16:creationId xmlns:a16="http://schemas.microsoft.com/office/drawing/2014/main" id="{E64D32B1-138B-E142-BE8A-F59405C9269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304799"/>
    <xdr:sp macro="" textlink="">
      <xdr:nvSpPr>
        <xdr:cNvPr id="226" name="AutoShape 1725" descr="note-add">
          <a:extLst>
            <a:ext uri="{FF2B5EF4-FFF2-40B4-BE49-F238E27FC236}">
              <a16:creationId xmlns:a16="http://schemas.microsoft.com/office/drawing/2014/main" id="{D6187B00-6947-8B4F-8731-E4D3460EEC6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244</xdr:row>
      <xdr:rowOff>0</xdr:rowOff>
    </xdr:from>
    <xdr:ext cx="304800" cy="304799"/>
    <xdr:sp macro="" textlink="">
      <xdr:nvSpPr>
        <xdr:cNvPr id="227" name="AutoShape 1726" descr="alert toggle">
          <a:extLst>
            <a:ext uri="{FF2B5EF4-FFF2-40B4-BE49-F238E27FC236}">
              <a16:creationId xmlns:a16="http://schemas.microsoft.com/office/drawing/2014/main" id="{E260334D-5866-1D48-981A-21EDEAE47E5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304800"/>
    <xdr:sp macro="" textlink="">
      <xdr:nvSpPr>
        <xdr:cNvPr id="228" name="AutoShape 1729" descr="note-add">
          <a:extLst>
            <a:ext uri="{FF2B5EF4-FFF2-40B4-BE49-F238E27FC236}">
              <a16:creationId xmlns:a16="http://schemas.microsoft.com/office/drawing/2014/main" id="{BDEB1A87-B82D-1F4E-A5FC-DE45FB6E650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245</xdr:row>
      <xdr:rowOff>0</xdr:rowOff>
    </xdr:from>
    <xdr:ext cx="304800" cy="304800"/>
    <xdr:sp macro="" textlink="">
      <xdr:nvSpPr>
        <xdr:cNvPr id="229" name="AutoShape 1730" descr="alert toggle">
          <a:extLst>
            <a:ext uri="{FF2B5EF4-FFF2-40B4-BE49-F238E27FC236}">
              <a16:creationId xmlns:a16="http://schemas.microsoft.com/office/drawing/2014/main" id="{6E6E8647-BDBF-1340-B085-DAFA2F77CFF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246</xdr:row>
      <xdr:rowOff>0</xdr:rowOff>
    </xdr:from>
    <xdr:ext cx="304800" cy="304798"/>
    <xdr:sp macro="" textlink="">
      <xdr:nvSpPr>
        <xdr:cNvPr id="230" name="AutoShape 1733" descr="note-add">
          <a:extLst>
            <a:ext uri="{FF2B5EF4-FFF2-40B4-BE49-F238E27FC236}">
              <a16:creationId xmlns:a16="http://schemas.microsoft.com/office/drawing/2014/main" id="{50E4D9DB-1843-1F41-9077-E10BDFA3F1C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246</xdr:row>
      <xdr:rowOff>0</xdr:rowOff>
    </xdr:from>
    <xdr:ext cx="304800" cy="304798"/>
    <xdr:sp macro="" textlink="">
      <xdr:nvSpPr>
        <xdr:cNvPr id="231" name="AutoShape 1734" descr="alert toggle">
          <a:extLst>
            <a:ext uri="{FF2B5EF4-FFF2-40B4-BE49-F238E27FC236}">
              <a16:creationId xmlns:a16="http://schemas.microsoft.com/office/drawing/2014/main" id="{2CD1F8C1-CB7D-274A-A1CE-96CC65A3DB5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247</xdr:row>
      <xdr:rowOff>0</xdr:rowOff>
    </xdr:from>
    <xdr:ext cx="304800" cy="304800"/>
    <xdr:sp macro="" textlink="">
      <xdr:nvSpPr>
        <xdr:cNvPr id="232" name="AutoShape 1737" descr="note-add">
          <a:extLst>
            <a:ext uri="{FF2B5EF4-FFF2-40B4-BE49-F238E27FC236}">
              <a16:creationId xmlns:a16="http://schemas.microsoft.com/office/drawing/2014/main" id="{614B21BE-A8D1-944A-BC33-75C2775C913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247</xdr:row>
      <xdr:rowOff>0</xdr:rowOff>
    </xdr:from>
    <xdr:ext cx="304800" cy="304800"/>
    <xdr:sp macro="" textlink="">
      <xdr:nvSpPr>
        <xdr:cNvPr id="233" name="AutoShape 1738" descr="alert toggle">
          <a:extLst>
            <a:ext uri="{FF2B5EF4-FFF2-40B4-BE49-F238E27FC236}">
              <a16:creationId xmlns:a16="http://schemas.microsoft.com/office/drawing/2014/main" id="{A6E1B75A-F883-7E44-AA2E-1D5D0BFF84A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249</xdr:row>
      <xdr:rowOff>0</xdr:rowOff>
    </xdr:from>
    <xdr:ext cx="304800" cy="304800"/>
    <xdr:sp macro="" textlink="">
      <xdr:nvSpPr>
        <xdr:cNvPr id="234" name="AutoShape 1741" descr="note-add">
          <a:extLst>
            <a:ext uri="{FF2B5EF4-FFF2-40B4-BE49-F238E27FC236}">
              <a16:creationId xmlns:a16="http://schemas.microsoft.com/office/drawing/2014/main" id="{1E79BAEB-8F0B-9F47-90A6-B21EDD7E596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249</xdr:row>
      <xdr:rowOff>0</xdr:rowOff>
    </xdr:from>
    <xdr:ext cx="304800" cy="304800"/>
    <xdr:sp macro="" textlink="">
      <xdr:nvSpPr>
        <xdr:cNvPr id="235" name="AutoShape 1742" descr="alert toggle">
          <a:extLst>
            <a:ext uri="{FF2B5EF4-FFF2-40B4-BE49-F238E27FC236}">
              <a16:creationId xmlns:a16="http://schemas.microsoft.com/office/drawing/2014/main" id="{D54AFDF3-5933-654D-8F99-A4A0DAB229E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236" name="AutoShape 1745" descr="note-add">
          <a:extLst>
            <a:ext uri="{FF2B5EF4-FFF2-40B4-BE49-F238E27FC236}">
              <a16:creationId xmlns:a16="http://schemas.microsoft.com/office/drawing/2014/main" id="{4726D707-9E17-8A49-816F-ED720536CBB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237" name="AutoShape 1746" descr="alert toggle">
          <a:extLst>
            <a:ext uri="{FF2B5EF4-FFF2-40B4-BE49-F238E27FC236}">
              <a16:creationId xmlns:a16="http://schemas.microsoft.com/office/drawing/2014/main" id="{96DBE122-B126-B546-B175-50D5C8B021B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238" name="AutoShape 1749" descr="note-add">
          <a:extLst>
            <a:ext uri="{FF2B5EF4-FFF2-40B4-BE49-F238E27FC236}">
              <a16:creationId xmlns:a16="http://schemas.microsoft.com/office/drawing/2014/main" id="{FA351622-E6EE-8945-89EF-516F72307AD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239" name="AutoShape 1750" descr="alert toggle">
          <a:extLst>
            <a:ext uri="{FF2B5EF4-FFF2-40B4-BE49-F238E27FC236}">
              <a16:creationId xmlns:a16="http://schemas.microsoft.com/office/drawing/2014/main" id="{32257808-69F5-6B4F-99AB-4857E1F3019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1"/>
    <xdr:sp macro="" textlink="">
      <xdr:nvSpPr>
        <xdr:cNvPr id="240" name="AutoShape 1753" descr="note-add">
          <a:extLst>
            <a:ext uri="{FF2B5EF4-FFF2-40B4-BE49-F238E27FC236}">
              <a16:creationId xmlns:a16="http://schemas.microsoft.com/office/drawing/2014/main" id="{9407AFFF-BCA7-0E4F-AA91-FA4074BFE32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1"/>
    <xdr:sp macro="" textlink="">
      <xdr:nvSpPr>
        <xdr:cNvPr id="241" name="AutoShape 1754" descr="alert toggle">
          <a:extLst>
            <a:ext uri="{FF2B5EF4-FFF2-40B4-BE49-F238E27FC236}">
              <a16:creationId xmlns:a16="http://schemas.microsoft.com/office/drawing/2014/main" id="{5F2BABD4-3124-9B4A-A9E6-FC5B94BC16E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0"/>
    <xdr:sp macro="" textlink="">
      <xdr:nvSpPr>
        <xdr:cNvPr id="242" name="AutoShape 1757" descr="note-add">
          <a:extLst>
            <a:ext uri="{FF2B5EF4-FFF2-40B4-BE49-F238E27FC236}">
              <a16:creationId xmlns:a16="http://schemas.microsoft.com/office/drawing/2014/main" id="{3795DA9E-C7E5-8C43-9011-CF8047AAB32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0"/>
    <xdr:sp macro="" textlink="">
      <xdr:nvSpPr>
        <xdr:cNvPr id="243" name="AutoShape 1758" descr="alert toggle">
          <a:extLst>
            <a:ext uri="{FF2B5EF4-FFF2-40B4-BE49-F238E27FC236}">
              <a16:creationId xmlns:a16="http://schemas.microsoft.com/office/drawing/2014/main" id="{B097323E-D3A9-A44F-8CF5-5B2FC78046A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304801"/>
    <xdr:sp macro="" textlink="">
      <xdr:nvSpPr>
        <xdr:cNvPr id="244" name="AutoShape 1761" descr="note-add">
          <a:extLst>
            <a:ext uri="{FF2B5EF4-FFF2-40B4-BE49-F238E27FC236}">
              <a16:creationId xmlns:a16="http://schemas.microsoft.com/office/drawing/2014/main" id="{609CE44A-DF48-2D4D-BC9B-F10D35737E8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252</xdr:row>
      <xdr:rowOff>0</xdr:rowOff>
    </xdr:from>
    <xdr:ext cx="304800" cy="304801"/>
    <xdr:sp macro="" textlink="">
      <xdr:nvSpPr>
        <xdr:cNvPr id="245" name="AutoShape 1762" descr="alert toggle">
          <a:extLst>
            <a:ext uri="{FF2B5EF4-FFF2-40B4-BE49-F238E27FC236}">
              <a16:creationId xmlns:a16="http://schemas.microsoft.com/office/drawing/2014/main" id="{01E6563C-8204-1747-B1DA-5D828CE76EB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304800"/>
    <xdr:sp macro="" textlink="">
      <xdr:nvSpPr>
        <xdr:cNvPr id="246" name="AutoShape 1765" descr="note-add">
          <a:extLst>
            <a:ext uri="{FF2B5EF4-FFF2-40B4-BE49-F238E27FC236}">
              <a16:creationId xmlns:a16="http://schemas.microsoft.com/office/drawing/2014/main" id="{C04DBBFB-5659-444F-B570-D86D7AF343F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253</xdr:row>
      <xdr:rowOff>0</xdr:rowOff>
    </xdr:from>
    <xdr:ext cx="304800" cy="304800"/>
    <xdr:sp macro="" textlink="">
      <xdr:nvSpPr>
        <xdr:cNvPr id="247" name="AutoShape 1766" descr="alert toggle">
          <a:extLst>
            <a:ext uri="{FF2B5EF4-FFF2-40B4-BE49-F238E27FC236}">
              <a16:creationId xmlns:a16="http://schemas.microsoft.com/office/drawing/2014/main" id="{35DAF532-0450-C943-AB9F-D892397673E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304801"/>
    <xdr:sp macro="" textlink="">
      <xdr:nvSpPr>
        <xdr:cNvPr id="248" name="AutoShape 1769" descr="note-add">
          <a:extLst>
            <a:ext uri="{FF2B5EF4-FFF2-40B4-BE49-F238E27FC236}">
              <a16:creationId xmlns:a16="http://schemas.microsoft.com/office/drawing/2014/main" id="{6593709C-8C21-DE46-A519-E797D61C50E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254</xdr:row>
      <xdr:rowOff>0</xdr:rowOff>
    </xdr:from>
    <xdr:ext cx="304800" cy="304801"/>
    <xdr:sp macro="" textlink="">
      <xdr:nvSpPr>
        <xdr:cNvPr id="249" name="AutoShape 1770" descr="alert toggle">
          <a:extLst>
            <a:ext uri="{FF2B5EF4-FFF2-40B4-BE49-F238E27FC236}">
              <a16:creationId xmlns:a16="http://schemas.microsoft.com/office/drawing/2014/main" id="{F8667E1B-ABCD-504A-BB2A-66715E3821D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250" name="AutoShape 1773" descr="note-add">
          <a:extLst>
            <a:ext uri="{FF2B5EF4-FFF2-40B4-BE49-F238E27FC236}">
              <a16:creationId xmlns:a16="http://schemas.microsoft.com/office/drawing/2014/main" id="{B64A7B14-1D02-8C4B-B235-4CE797A5076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251" name="AutoShape 1774" descr="alert toggle">
          <a:extLst>
            <a:ext uri="{FF2B5EF4-FFF2-40B4-BE49-F238E27FC236}">
              <a16:creationId xmlns:a16="http://schemas.microsoft.com/office/drawing/2014/main" id="{42F582AC-5EBC-A341-B72D-51643314986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252" name="AutoShape 1777" descr="note-add">
          <a:extLst>
            <a:ext uri="{FF2B5EF4-FFF2-40B4-BE49-F238E27FC236}">
              <a16:creationId xmlns:a16="http://schemas.microsoft.com/office/drawing/2014/main" id="{011FD5E9-0A5A-BA41-B520-FDDC5F179096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253" name="AutoShape 1778" descr="alert toggle">
          <a:extLst>
            <a:ext uri="{FF2B5EF4-FFF2-40B4-BE49-F238E27FC236}">
              <a16:creationId xmlns:a16="http://schemas.microsoft.com/office/drawing/2014/main" id="{C6D86A57-52BD-E944-A581-DDB656F4C8B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254" name="AutoShape 1781" descr="note-add">
          <a:extLst>
            <a:ext uri="{FF2B5EF4-FFF2-40B4-BE49-F238E27FC236}">
              <a16:creationId xmlns:a16="http://schemas.microsoft.com/office/drawing/2014/main" id="{9CB96838-A747-2043-9452-22B937B38E9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255" name="AutoShape 1782" descr="alert toggle">
          <a:extLst>
            <a:ext uri="{FF2B5EF4-FFF2-40B4-BE49-F238E27FC236}">
              <a16:creationId xmlns:a16="http://schemas.microsoft.com/office/drawing/2014/main" id="{08535DDF-6A86-6046-B56E-63A6BFD7775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256" name="AutoShape 1785" descr="note-add">
          <a:extLst>
            <a:ext uri="{FF2B5EF4-FFF2-40B4-BE49-F238E27FC236}">
              <a16:creationId xmlns:a16="http://schemas.microsoft.com/office/drawing/2014/main" id="{1883E281-F44D-3D42-81BE-DE5DB26AC08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257" name="AutoShape 1786" descr="alert toggle">
          <a:extLst>
            <a:ext uri="{FF2B5EF4-FFF2-40B4-BE49-F238E27FC236}">
              <a16:creationId xmlns:a16="http://schemas.microsoft.com/office/drawing/2014/main" id="{4E6D569C-B099-9D41-8E43-C3DACC8C0B5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304800"/>
    <xdr:sp macro="" textlink="">
      <xdr:nvSpPr>
        <xdr:cNvPr id="258" name="AutoShape 1789" descr="note-add">
          <a:extLst>
            <a:ext uri="{FF2B5EF4-FFF2-40B4-BE49-F238E27FC236}">
              <a16:creationId xmlns:a16="http://schemas.microsoft.com/office/drawing/2014/main" id="{B51D813B-74B8-3446-9EF1-34AE0F2300F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259</xdr:row>
      <xdr:rowOff>0</xdr:rowOff>
    </xdr:from>
    <xdr:ext cx="304800" cy="304800"/>
    <xdr:sp macro="" textlink="">
      <xdr:nvSpPr>
        <xdr:cNvPr id="259" name="AutoShape 1790" descr="alert toggle">
          <a:extLst>
            <a:ext uri="{FF2B5EF4-FFF2-40B4-BE49-F238E27FC236}">
              <a16:creationId xmlns:a16="http://schemas.microsoft.com/office/drawing/2014/main" id="{65DC7815-817D-3C40-A9E4-AE65CE85DDE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58</xdr:row>
      <xdr:rowOff>0</xdr:rowOff>
    </xdr:from>
    <xdr:ext cx="304800" cy="304800"/>
    <xdr:sp macro="" textlink="">
      <xdr:nvSpPr>
        <xdr:cNvPr id="260" name="AutoShape 1793" descr="note-add">
          <a:extLst>
            <a:ext uri="{FF2B5EF4-FFF2-40B4-BE49-F238E27FC236}">
              <a16:creationId xmlns:a16="http://schemas.microsoft.com/office/drawing/2014/main" id="{41F5BF52-A094-C746-81F4-B2A34B0D641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58</xdr:row>
      <xdr:rowOff>0</xdr:rowOff>
    </xdr:from>
    <xdr:ext cx="304800" cy="304800"/>
    <xdr:sp macro="" textlink="">
      <xdr:nvSpPr>
        <xdr:cNvPr id="261" name="AutoShape 1794" descr="alert toggle">
          <a:extLst>
            <a:ext uri="{FF2B5EF4-FFF2-40B4-BE49-F238E27FC236}">
              <a16:creationId xmlns:a16="http://schemas.microsoft.com/office/drawing/2014/main" id="{D907E01F-523B-5A42-8FE2-1EC321234A1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304799"/>
    <xdr:sp macro="" textlink="">
      <xdr:nvSpPr>
        <xdr:cNvPr id="262" name="AutoShape 1797" descr="note-add">
          <a:extLst>
            <a:ext uri="{FF2B5EF4-FFF2-40B4-BE49-F238E27FC236}">
              <a16:creationId xmlns:a16="http://schemas.microsoft.com/office/drawing/2014/main" id="{7C0A457C-B537-B143-8565-E5E38E7FBB8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244</xdr:row>
      <xdr:rowOff>0</xdr:rowOff>
    </xdr:from>
    <xdr:ext cx="304800" cy="304799"/>
    <xdr:sp macro="" textlink="">
      <xdr:nvSpPr>
        <xdr:cNvPr id="263" name="AutoShape 1798" descr="alert toggle">
          <a:extLst>
            <a:ext uri="{FF2B5EF4-FFF2-40B4-BE49-F238E27FC236}">
              <a16:creationId xmlns:a16="http://schemas.microsoft.com/office/drawing/2014/main" id="{89A4FCFA-3A8D-2141-B32C-E11AD7F3D45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52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304800"/>
    <xdr:sp macro="" textlink="">
      <xdr:nvSpPr>
        <xdr:cNvPr id="264" name="AutoShape 1801" descr="note-add">
          <a:extLst>
            <a:ext uri="{FF2B5EF4-FFF2-40B4-BE49-F238E27FC236}">
              <a16:creationId xmlns:a16="http://schemas.microsoft.com/office/drawing/2014/main" id="{82AE2D7A-0CDD-AE44-A9D7-5E1C0B127ED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245</xdr:row>
      <xdr:rowOff>0</xdr:rowOff>
    </xdr:from>
    <xdr:ext cx="304800" cy="304800"/>
    <xdr:sp macro="" textlink="">
      <xdr:nvSpPr>
        <xdr:cNvPr id="265" name="AutoShape 1802" descr="alert toggle">
          <a:extLst>
            <a:ext uri="{FF2B5EF4-FFF2-40B4-BE49-F238E27FC236}">
              <a16:creationId xmlns:a16="http://schemas.microsoft.com/office/drawing/2014/main" id="{B257DD06-2E73-3A44-9101-63EEE00C6BD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1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246</xdr:row>
      <xdr:rowOff>0</xdr:rowOff>
    </xdr:from>
    <xdr:ext cx="304800" cy="304798"/>
    <xdr:sp macro="" textlink="">
      <xdr:nvSpPr>
        <xdr:cNvPr id="266" name="AutoShape 1805" descr="note-add">
          <a:extLst>
            <a:ext uri="{FF2B5EF4-FFF2-40B4-BE49-F238E27FC236}">
              <a16:creationId xmlns:a16="http://schemas.microsoft.com/office/drawing/2014/main" id="{175051DC-5DB3-DA4D-8625-7717DDBC726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246</xdr:row>
      <xdr:rowOff>0</xdr:rowOff>
    </xdr:from>
    <xdr:ext cx="304800" cy="304798"/>
    <xdr:sp macro="" textlink="">
      <xdr:nvSpPr>
        <xdr:cNvPr id="267" name="AutoShape 1806" descr="alert toggle">
          <a:extLst>
            <a:ext uri="{FF2B5EF4-FFF2-40B4-BE49-F238E27FC236}">
              <a16:creationId xmlns:a16="http://schemas.microsoft.com/office/drawing/2014/main" id="{F65B2CE1-9C65-F044-A217-4BC08160C46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034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247</xdr:row>
      <xdr:rowOff>0</xdr:rowOff>
    </xdr:from>
    <xdr:ext cx="304800" cy="304800"/>
    <xdr:sp macro="" textlink="">
      <xdr:nvSpPr>
        <xdr:cNvPr id="268" name="AutoShape 1809" descr="note-add">
          <a:extLst>
            <a:ext uri="{FF2B5EF4-FFF2-40B4-BE49-F238E27FC236}">
              <a16:creationId xmlns:a16="http://schemas.microsoft.com/office/drawing/2014/main" id="{31B17130-639C-2C43-A557-3F9FEA1B2A9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247</xdr:row>
      <xdr:rowOff>0</xdr:rowOff>
    </xdr:from>
    <xdr:ext cx="304800" cy="304800"/>
    <xdr:sp macro="" textlink="">
      <xdr:nvSpPr>
        <xdr:cNvPr id="269" name="AutoShape 1810" descr="alert toggle">
          <a:extLst>
            <a:ext uri="{FF2B5EF4-FFF2-40B4-BE49-F238E27FC236}">
              <a16:creationId xmlns:a16="http://schemas.microsoft.com/office/drawing/2014/main" id="{0FA65AB6-827F-E34C-9D38-A04F80BEE0C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249</xdr:row>
      <xdr:rowOff>0</xdr:rowOff>
    </xdr:from>
    <xdr:ext cx="304800" cy="304800"/>
    <xdr:sp macro="" textlink="">
      <xdr:nvSpPr>
        <xdr:cNvPr id="270" name="AutoShape 1813" descr="note-add">
          <a:extLst>
            <a:ext uri="{FF2B5EF4-FFF2-40B4-BE49-F238E27FC236}">
              <a16:creationId xmlns:a16="http://schemas.microsoft.com/office/drawing/2014/main" id="{91CDDC1C-4BAB-4447-8D13-08496063CF2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249</xdr:row>
      <xdr:rowOff>0</xdr:rowOff>
    </xdr:from>
    <xdr:ext cx="304800" cy="304800"/>
    <xdr:sp macro="" textlink="">
      <xdr:nvSpPr>
        <xdr:cNvPr id="271" name="AutoShape 1814" descr="alert toggle">
          <a:extLst>
            <a:ext uri="{FF2B5EF4-FFF2-40B4-BE49-F238E27FC236}">
              <a16:creationId xmlns:a16="http://schemas.microsoft.com/office/drawing/2014/main" id="{CFFC76FA-7ECE-CD4E-A294-0EDD8D71ED8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7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272" name="AutoShape 1817" descr="note-add">
          <a:extLst>
            <a:ext uri="{FF2B5EF4-FFF2-40B4-BE49-F238E27FC236}">
              <a16:creationId xmlns:a16="http://schemas.microsoft.com/office/drawing/2014/main" id="{8C106E55-48C8-214B-8A6A-99625AD3E59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273" name="AutoShape 1818" descr="alert toggle">
          <a:extLst>
            <a:ext uri="{FF2B5EF4-FFF2-40B4-BE49-F238E27FC236}">
              <a16:creationId xmlns:a16="http://schemas.microsoft.com/office/drawing/2014/main" id="{4D007127-F91D-1A48-93EA-6289D9B9184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250</xdr:row>
      <xdr:rowOff>0</xdr:rowOff>
    </xdr:from>
    <xdr:ext cx="304800" cy="304799"/>
    <xdr:sp macro="" textlink="">
      <xdr:nvSpPr>
        <xdr:cNvPr id="274" name="AutoShape 1821" descr="note-add">
          <a:extLst>
            <a:ext uri="{FF2B5EF4-FFF2-40B4-BE49-F238E27FC236}">
              <a16:creationId xmlns:a16="http://schemas.microsoft.com/office/drawing/2014/main" id="{9BCFF567-4934-BD4A-888D-B90BE2328D4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250</xdr:row>
      <xdr:rowOff>0</xdr:rowOff>
    </xdr:from>
    <xdr:ext cx="304800" cy="304799"/>
    <xdr:sp macro="" textlink="">
      <xdr:nvSpPr>
        <xdr:cNvPr id="275" name="AutoShape 1822" descr="alert toggle">
          <a:extLst>
            <a:ext uri="{FF2B5EF4-FFF2-40B4-BE49-F238E27FC236}">
              <a16:creationId xmlns:a16="http://schemas.microsoft.com/office/drawing/2014/main" id="{0B7039BD-1157-7349-ADDE-038839601EC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384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1"/>
    <xdr:sp macro="" textlink="">
      <xdr:nvSpPr>
        <xdr:cNvPr id="276" name="AutoShape 1825" descr="note-add">
          <a:extLst>
            <a:ext uri="{FF2B5EF4-FFF2-40B4-BE49-F238E27FC236}">
              <a16:creationId xmlns:a16="http://schemas.microsoft.com/office/drawing/2014/main" id="{B244C8AB-AE05-ED45-819F-9962888A789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251</xdr:row>
      <xdr:rowOff>0</xdr:rowOff>
    </xdr:from>
    <xdr:ext cx="304800" cy="304801"/>
    <xdr:sp macro="" textlink="">
      <xdr:nvSpPr>
        <xdr:cNvPr id="277" name="AutoShape 1826" descr="alert toggle">
          <a:extLst>
            <a:ext uri="{FF2B5EF4-FFF2-40B4-BE49-F238E27FC236}">
              <a16:creationId xmlns:a16="http://schemas.microsoft.com/office/drawing/2014/main" id="{DFBC8C29-93C6-3A47-B3F8-87F1C995AAB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897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251</xdr:row>
      <xdr:rowOff>0</xdr:rowOff>
    </xdr:from>
    <xdr:ext cx="304800" cy="304800"/>
    <xdr:sp macro="" textlink="">
      <xdr:nvSpPr>
        <xdr:cNvPr id="278" name="AutoShape 1829" descr="note-add">
          <a:extLst>
            <a:ext uri="{FF2B5EF4-FFF2-40B4-BE49-F238E27FC236}">
              <a16:creationId xmlns:a16="http://schemas.microsoft.com/office/drawing/2014/main" id="{0B161D3A-78DF-E44D-A7B1-E16D6CEAA97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304801"/>
    <xdr:sp macro="" textlink="">
      <xdr:nvSpPr>
        <xdr:cNvPr id="279" name="AutoShape 1833" descr="note-add">
          <a:extLst>
            <a:ext uri="{FF2B5EF4-FFF2-40B4-BE49-F238E27FC236}">
              <a16:creationId xmlns:a16="http://schemas.microsoft.com/office/drawing/2014/main" id="{6329BF74-2A36-3B4F-AD67-B9B6754E903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8044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304800"/>
    <xdr:sp macro="" textlink="">
      <xdr:nvSpPr>
        <xdr:cNvPr id="280" name="AutoShape 1837" descr="note-add">
          <a:extLst>
            <a:ext uri="{FF2B5EF4-FFF2-40B4-BE49-F238E27FC236}">
              <a16:creationId xmlns:a16="http://schemas.microsoft.com/office/drawing/2014/main" id="{FAEAB41D-4CE3-C147-A084-2A1FFE13135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253</xdr:row>
      <xdr:rowOff>0</xdr:rowOff>
    </xdr:from>
    <xdr:ext cx="304800" cy="304800"/>
    <xdr:sp macro="" textlink="">
      <xdr:nvSpPr>
        <xdr:cNvPr id="281" name="AutoShape 1838" descr="alert toggle">
          <a:extLst>
            <a:ext uri="{FF2B5EF4-FFF2-40B4-BE49-F238E27FC236}">
              <a16:creationId xmlns:a16="http://schemas.microsoft.com/office/drawing/2014/main" id="{D31763AF-4053-3E4C-83F2-CE2C6349A31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9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304801"/>
    <xdr:sp macro="" textlink="">
      <xdr:nvSpPr>
        <xdr:cNvPr id="282" name="AutoShape 1841" descr="note-add">
          <a:extLst>
            <a:ext uri="{FF2B5EF4-FFF2-40B4-BE49-F238E27FC236}">
              <a16:creationId xmlns:a16="http://schemas.microsoft.com/office/drawing/2014/main" id="{3C756FE2-6C07-F448-B97E-AE35F8A68AF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254</xdr:row>
      <xdr:rowOff>0</xdr:rowOff>
    </xdr:from>
    <xdr:ext cx="304800" cy="304801"/>
    <xdr:sp macro="" textlink="">
      <xdr:nvSpPr>
        <xdr:cNvPr id="283" name="AutoShape 1842" descr="alert toggle">
          <a:extLst>
            <a:ext uri="{FF2B5EF4-FFF2-40B4-BE49-F238E27FC236}">
              <a16:creationId xmlns:a16="http://schemas.microsoft.com/office/drawing/2014/main" id="{6DF0C7D2-F60D-5442-8E21-21B3EE39DEE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1003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284" name="AutoShape 1845" descr="note-add">
          <a:extLst>
            <a:ext uri="{FF2B5EF4-FFF2-40B4-BE49-F238E27FC236}">
              <a16:creationId xmlns:a16="http://schemas.microsoft.com/office/drawing/2014/main" id="{224E2AD1-F266-5B4A-9FA8-70D920BDB15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285" name="AutoShape 1846" descr="alert toggle">
          <a:extLst>
            <a:ext uri="{FF2B5EF4-FFF2-40B4-BE49-F238E27FC236}">
              <a16:creationId xmlns:a16="http://schemas.microsoft.com/office/drawing/2014/main" id="{C99DBDB5-B7FB-BC49-B87F-10C12A39768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255</xdr:row>
      <xdr:rowOff>0</xdr:rowOff>
    </xdr:from>
    <xdr:ext cx="304800" cy="304800"/>
    <xdr:sp macro="" textlink="">
      <xdr:nvSpPr>
        <xdr:cNvPr id="286" name="AutoShape 1849" descr="note-add">
          <a:extLst>
            <a:ext uri="{FF2B5EF4-FFF2-40B4-BE49-F238E27FC236}">
              <a16:creationId xmlns:a16="http://schemas.microsoft.com/office/drawing/2014/main" id="{5D8221E0-A8F9-2B4D-ADDE-D6E4C9F2E51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255</xdr:row>
      <xdr:rowOff>0</xdr:rowOff>
    </xdr:from>
    <xdr:ext cx="304800" cy="304800"/>
    <xdr:sp macro="" textlink="">
      <xdr:nvSpPr>
        <xdr:cNvPr id="287" name="AutoShape 1850" descr="alert toggle">
          <a:extLst>
            <a:ext uri="{FF2B5EF4-FFF2-40B4-BE49-F238E27FC236}">
              <a16:creationId xmlns:a16="http://schemas.microsoft.com/office/drawing/2014/main" id="{165C8138-EF5B-B14E-B2B5-4D904696640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288" name="AutoShape 1853" descr="note-add">
          <a:extLst>
            <a:ext uri="{FF2B5EF4-FFF2-40B4-BE49-F238E27FC236}">
              <a16:creationId xmlns:a16="http://schemas.microsoft.com/office/drawing/2014/main" id="{1D95B819-0083-2B44-A178-8D04AE1262A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289" name="AutoShape 1854" descr="alert toggle">
          <a:extLst>
            <a:ext uri="{FF2B5EF4-FFF2-40B4-BE49-F238E27FC236}">
              <a16:creationId xmlns:a16="http://schemas.microsoft.com/office/drawing/2014/main" id="{DE4B7DEF-4B03-9F40-829F-B49DDFE9BC4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257</xdr:row>
      <xdr:rowOff>0</xdr:rowOff>
    </xdr:from>
    <xdr:ext cx="304800" cy="304800"/>
    <xdr:sp macro="" textlink="">
      <xdr:nvSpPr>
        <xdr:cNvPr id="290" name="AutoShape 1857" descr="note-add">
          <a:extLst>
            <a:ext uri="{FF2B5EF4-FFF2-40B4-BE49-F238E27FC236}">
              <a16:creationId xmlns:a16="http://schemas.microsoft.com/office/drawing/2014/main" id="{89C21D7B-3D93-D545-A9E8-CFE95CB5453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257</xdr:row>
      <xdr:rowOff>0</xdr:rowOff>
    </xdr:from>
    <xdr:ext cx="304800" cy="304800"/>
    <xdr:sp macro="" textlink="">
      <xdr:nvSpPr>
        <xdr:cNvPr id="291" name="AutoShape 1858" descr="alert toggle">
          <a:extLst>
            <a:ext uri="{FF2B5EF4-FFF2-40B4-BE49-F238E27FC236}">
              <a16:creationId xmlns:a16="http://schemas.microsoft.com/office/drawing/2014/main" id="{901746DA-2FA3-9347-9C30-A8E5941A3E8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304800"/>
    <xdr:sp macro="" textlink="">
      <xdr:nvSpPr>
        <xdr:cNvPr id="292" name="AutoShape 1861" descr="note-add">
          <a:extLst>
            <a:ext uri="{FF2B5EF4-FFF2-40B4-BE49-F238E27FC236}">
              <a16:creationId xmlns:a16="http://schemas.microsoft.com/office/drawing/2014/main" id="{92A31868-C2BE-7945-AB08-3055F90D31A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259</xdr:row>
      <xdr:rowOff>0</xdr:rowOff>
    </xdr:from>
    <xdr:ext cx="304800" cy="304800"/>
    <xdr:sp macro="" textlink="">
      <xdr:nvSpPr>
        <xdr:cNvPr id="293" name="AutoShape 1862" descr="alert toggle">
          <a:extLst>
            <a:ext uri="{FF2B5EF4-FFF2-40B4-BE49-F238E27FC236}">
              <a16:creationId xmlns:a16="http://schemas.microsoft.com/office/drawing/2014/main" id="{A8868C8A-B1CF-6A4A-9E6A-7B7C5289814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58</xdr:row>
      <xdr:rowOff>0</xdr:rowOff>
    </xdr:from>
    <xdr:ext cx="304800" cy="304800"/>
    <xdr:sp macro="" textlink="">
      <xdr:nvSpPr>
        <xdr:cNvPr id="294" name="AutoShape 1865" descr="note-add">
          <a:extLst>
            <a:ext uri="{FF2B5EF4-FFF2-40B4-BE49-F238E27FC236}">
              <a16:creationId xmlns:a16="http://schemas.microsoft.com/office/drawing/2014/main" id="{6D567990-8725-D84C-8C8C-1E9934EB9A9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58</xdr:row>
      <xdr:rowOff>0</xdr:rowOff>
    </xdr:from>
    <xdr:ext cx="304800" cy="304800"/>
    <xdr:sp macro="" textlink="">
      <xdr:nvSpPr>
        <xdr:cNvPr id="295" name="AutoShape 1866" descr="alert toggle">
          <a:extLst>
            <a:ext uri="{FF2B5EF4-FFF2-40B4-BE49-F238E27FC236}">
              <a16:creationId xmlns:a16="http://schemas.microsoft.com/office/drawing/2014/main" id="{C69654A5-877C-D94C-A7C3-B306D0241622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58</xdr:row>
      <xdr:rowOff>0</xdr:rowOff>
    </xdr:from>
    <xdr:ext cx="304800" cy="304800"/>
    <xdr:sp macro="" textlink="">
      <xdr:nvSpPr>
        <xdr:cNvPr id="296" name="AutoShape 1869" descr="note-add">
          <a:extLst>
            <a:ext uri="{FF2B5EF4-FFF2-40B4-BE49-F238E27FC236}">
              <a16:creationId xmlns:a16="http://schemas.microsoft.com/office/drawing/2014/main" id="{38321D11-A5BD-DE4E-A997-38F577ADD9E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260</xdr:row>
      <xdr:rowOff>0</xdr:rowOff>
    </xdr:from>
    <xdr:ext cx="304800" cy="279400"/>
    <xdr:sp macro="" textlink="">
      <xdr:nvSpPr>
        <xdr:cNvPr id="297" name="AutoShape 2167" descr="note-add">
          <a:extLst>
            <a:ext uri="{FF2B5EF4-FFF2-40B4-BE49-F238E27FC236}">
              <a16:creationId xmlns:a16="http://schemas.microsoft.com/office/drawing/2014/main" id="{84574855-03A7-EA4B-A0E4-8C0AA846F3D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55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260</xdr:row>
      <xdr:rowOff>0</xdr:rowOff>
    </xdr:from>
    <xdr:ext cx="304800" cy="279400"/>
    <xdr:sp macro="" textlink="">
      <xdr:nvSpPr>
        <xdr:cNvPr id="298" name="AutoShape 2168" descr="alert toggle">
          <a:extLst>
            <a:ext uri="{FF2B5EF4-FFF2-40B4-BE49-F238E27FC236}">
              <a16:creationId xmlns:a16="http://schemas.microsoft.com/office/drawing/2014/main" id="{016887FA-3133-6D43-A007-73FD61B5B60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55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261</xdr:row>
      <xdr:rowOff>0</xdr:rowOff>
    </xdr:from>
    <xdr:ext cx="304800" cy="279400"/>
    <xdr:sp macro="" textlink="">
      <xdr:nvSpPr>
        <xdr:cNvPr id="299" name="AutoShape 2171" descr="note-add">
          <a:extLst>
            <a:ext uri="{FF2B5EF4-FFF2-40B4-BE49-F238E27FC236}">
              <a16:creationId xmlns:a16="http://schemas.microsoft.com/office/drawing/2014/main" id="{1524C46E-E1C3-0B4B-B3A2-D8FFF766769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12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261</xdr:row>
      <xdr:rowOff>0</xdr:rowOff>
    </xdr:from>
    <xdr:ext cx="304800" cy="279400"/>
    <xdr:sp macro="" textlink="">
      <xdr:nvSpPr>
        <xdr:cNvPr id="300" name="AutoShape 2172" descr="alert toggle">
          <a:extLst>
            <a:ext uri="{FF2B5EF4-FFF2-40B4-BE49-F238E27FC236}">
              <a16:creationId xmlns:a16="http://schemas.microsoft.com/office/drawing/2014/main" id="{ACD0B815-1741-0F47-91F1-3BD764E749B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12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265</xdr:row>
      <xdr:rowOff>0</xdr:rowOff>
    </xdr:from>
    <xdr:ext cx="304800" cy="279400"/>
    <xdr:sp macro="" textlink="">
      <xdr:nvSpPr>
        <xdr:cNvPr id="301" name="AutoShape 2175" descr="note-add">
          <a:extLst>
            <a:ext uri="{FF2B5EF4-FFF2-40B4-BE49-F238E27FC236}">
              <a16:creationId xmlns:a16="http://schemas.microsoft.com/office/drawing/2014/main" id="{A0506C1D-F5DD-9748-88CB-F6B05C57BCB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448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265</xdr:row>
      <xdr:rowOff>0</xdr:rowOff>
    </xdr:from>
    <xdr:ext cx="304800" cy="279400"/>
    <xdr:sp macro="" textlink="">
      <xdr:nvSpPr>
        <xdr:cNvPr id="302" name="AutoShape 2176" descr="alert toggle">
          <a:extLst>
            <a:ext uri="{FF2B5EF4-FFF2-40B4-BE49-F238E27FC236}">
              <a16:creationId xmlns:a16="http://schemas.microsoft.com/office/drawing/2014/main" id="{A3E5004E-2327-9D49-8D4B-D204526322F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448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266</xdr:row>
      <xdr:rowOff>0</xdr:rowOff>
    </xdr:from>
    <xdr:ext cx="304800" cy="279400"/>
    <xdr:sp macro="" textlink="">
      <xdr:nvSpPr>
        <xdr:cNvPr id="303" name="AutoShape 2179" descr="note-add">
          <a:extLst>
            <a:ext uri="{FF2B5EF4-FFF2-40B4-BE49-F238E27FC236}">
              <a16:creationId xmlns:a16="http://schemas.microsoft.com/office/drawing/2014/main" id="{59402D39-A5EA-3A41-8AFF-B8881510A0A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8785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266</xdr:row>
      <xdr:rowOff>0</xdr:rowOff>
    </xdr:from>
    <xdr:ext cx="304800" cy="279400"/>
    <xdr:sp macro="" textlink="">
      <xdr:nvSpPr>
        <xdr:cNvPr id="304" name="AutoShape 2180" descr="alert toggle">
          <a:extLst>
            <a:ext uri="{FF2B5EF4-FFF2-40B4-BE49-F238E27FC236}">
              <a16:creationId xmlns:a16="http://schemas.microsoft.com/office/drawing/2014/main" id="{C8C4995C-B873-FC4A-BD6D-7D680474D11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8785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268</xdr:row>
      <xdr:rowOff>0</xdr:rowOff>
    </xdr:from>
    <xdr:ext cx="304800" cy="279400"/>
    <xdr:sp macro="" textlink="">
      <xdr:nvSpPr>
        <xdr:cNvPr id="305" name="AutoShape 2183" descr="note-add">
          <a:extLst>
            <a:ext uri="{FF2B5EF4-FFF2-40B4-BE49-F238E27FC236}">
              <a16:creationId xmlns:a16="http://schemas.microsoft.com/office/drawing/2014/main" id="{D2225BA0-F837-B04B-822C-85CEF9D6DEE0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504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268</xdr:row>
      <xdr:rowOff>0</xdr:rowOff>
    </xdr:from>
    <xdr:ext cx="304800" cy="279400"/>
    <xdr:sp macro="" textlink="">
      <xdr:nvSpPr>
        <xdr:cNvPr id="306" name="AutoShape 2184" descr="alert toggle">
          <a:extLst>
            <a:ext uri="{FF2B5EF4-FFF2-40B4-BE49-F238E27FC236}">
              <a16:creationId xmlns:a16="http://schemas.microsoft.com/office/drawing/2014/main" id="{EEC99795-39E2-AE4A-98A3-ED5D6FB2A1C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504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271</xdr:row>
      <xdr:rowOff>0</xdr:rowOff>
    </xdr:from>
    <xdr:ext cx="304800" cy="279400"/>
    <xdr:sp macro="" textlink="">
      <xdr:nvSpPr>
        <xdr:cNvPr id="307" name="AutoShape 2187" descr="note-add">
          <a:extLst>
            <a:ext uri="{FF2B5EF4-FFF2-40B4-BE49-F238E27FC236}">
              <a16:creationId xmlns:a16="http://schemas.microsoft.com/office/drawing/2014/main" id="{35C3B847-F3BC-DF40-82A1-AF5D25472420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3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271</xdr:row>
      <xdr:rowOff>0</xdr:rowOff>
    </xdr:from>
    <xdr:ext cx="304800" cy="279400"/>
    <xdr:sp macro="" textlink="">
      <xdr:nvSpPr>
        <xdr:cNvPr id="308" name="AutoShape 2188" descr="alert toggle">
          <a:extLst>
            <a:ext uri="{FF2B5EF4-FFF2-40B4-BE49-F238E27FC236}">
              <a16:creationId xmlns:a16="http://schemas.microsoft.com/office/drawing/2014/main" id="{2B4B29DD-5B04-A04B-8C08-5AC5C9722AC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3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272</xdr:row>
      <xdr:rowOff>0</xdr:rowOff>
    </xdr:from>
    <xdr:ext cx="304800" cy="279400"/>
    <xdr:sp macro="" textlink="">
      <xdr:nvSpPr>
        <xdr:cNvPr id="309" name="AutoShape 2191" descr="note-add">
          <a:extLst>
            <a:ext uri="{FF2B5EF4-FFF2-40B4-BE49-F238E27FC236}">
              <a16:creationId xmlns:a16="http://schemas.microsoft.com/office/drawing/2014/main" id="{6D6B2E9C-F736-5C41-B748-0C73C8F5099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9380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272</xdr:row>
      <xdr:rowOff>0</xdr:rowOff>
    </xdr:from>
    <xdr:ext cx="304800" cy="279400"/>
    <xdr:sp macro="" textlink="">
      <xdr:nvSpPr>
        <xdr:cNvPr id="310" name="AutoShape 2192" descr="alert toggle">
          <a:extLst>
            <a:ext uri="{FF2B5EF4-FFF2-40B4-BE49-F238E27FC236}">
              <a16:creationId xmlns:a16="http://schemas.microsoft.com/office/drawing/2014/main" id="{D3CA2C25-0BA2-7B43-A6EF-1474B98BEED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9380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275</xdr:row>
      <xdr:rowOff>0</xdr:rowOff>
    </xdr:from>
    <xdr:ext cx="304800" cy="279400"/>
    <xdr:sp macro="" textlink="">
      <xdr:nvSpPr>
        <xdr:cNvPr id="311" name="AutoShape 2195" descr="note-add">
          <a:extLst>
            <a:ext uri="{FF2B5EF4-FFF2-40B4-BE49-F238E27FC236}">
              <a16:creationId xmlns:a16="http://schemas.microsoft.com/office/drawing/2014/main" id="{5BD46084-B068-3349-A3DD-681052B4C05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661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275</xdr:row>
      <xdr:rowOff>0</xdr:rowOff>
    </xdr:from>
    <xdr:ext cx="304800" cy="279400"/>
    <xdr:sp macro="" textlink="">
      <xdr:nvSpPr>
        <xdr:cNvPr id="312" name="AutoShape 2196" descr="alert toggle">
          <a:extLst>
            <a:ext uri="{FF2B5EF4-FFF2-40B4-BE49-F238E27FC236}">
              <a16:creationId xmlns:a16="http://schemas.microsoft.com/office/drawing/2014/main" id="{E8FE909A-02FC-B84C-8BB8-EDA80454E83B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661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276</xdr:row>
      <xdr:rowOff>0</xdr:rowOff>
    </xdr:from>
    <xdr:ext cx="304800" cy="279400"/>
    <xdr:sp macro="" textlink="">
      <xdr:nvSpPr>
        <xdr:cNvPr id="313" name="AutoShape 2199" descr="note-add">
          <a:extLst>
            <a:ext uri="{FF2B5EF4-FFF2-40B4-BE49-F238E27FC236}">
              <a16:creationId xmlns:a16="http://schemas.microsoft.com/office/drawing/2014/main" id="{A75795FE-03AF-684C-9D11-81C6D596FB0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8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276</xdr:row>
      <xdr:rowOff>0</xdr:rowOff>
    </xdr:from>
    <xdr:ext cx="304800" cy="279400"/>
    <xdr:sp macro="" textlink="">
      <xdr:nvSpPr>
        <xdr:cNvPr id="314" name="AutoShape 2200" descr="alert toggle">
          <a:extLst>
            <a:ext uri="{FF2B5EF4-FFF2-40B4-BE49-F238E27FC236}">
              <a16:creationId xmlns:a16="http://schemas.microsoft.com/office/drawing/2014/main" id="{FE3F3B30-288D-4841-8CFA-3C6A328680F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08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269</xdr:row>
      <xdr:rowOff>0</xdr:rowOff>
    </xdr:from>
    <xdr:ext cx="304800" cy="279400"/>
    <xdr:sp macro="" textlink="">
      <xdr:nvSpPr>
        <xdr:cNvPr id="315" name="AutoShape 2203" descr="note-add">
          <a:extLst>
            <a:ext uri="{FF2B5EF4-FFF2-40B4-BE49-F238E27FC236}">
              <a16:creationId xmlns:a16="http://schemas.microsoft.com/office/drawing/2014/main" id="{933DDF03-C6FE-2B4A-93F4-40A199B35EC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577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269</xdr:row>
      <xdr:rowOff>0</xdr:rowOff>
    </xdr:from>
    <xdr:ext cx="304800" cy="279400"/>
    <xdr:sp macro="" textlink="">
      <xdr:nvSpPr>
        <xdr:cNvPr id="316" name="AutoShape 2204" descr="alert toggle">
          <a:extLst>
            <a:ext uri="{FF2B5EF4-FFF2-40B4-BE49-F238E27FC236}">
              <a16:creationId xmlns:a16="http://schemas.microsoft.com/office/drawing/2014/main" id="{8C527C05-B4BC-B44B-AB15-821BF054453B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577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271</xdr:row>
      <xdr:rowOff>0</xdr:rowOff>
    </xdr:from>
    <xdr:ext cx="304800" cy="279400"/>
    <xdr:sp macro="" textlink="">
      <xdr:nvSpPr>
        <xdr:cNvPr id="317" name="AutoShape 2207" descr="note-add">
          <a:extLst>
            <a:ext uri="{FF2B5EF4-FFF2-40B4-BE49-F238E27FC236}">
              <a16:creationId xmlns:a16="http://schemas.microsoft.com/office/drawing/2014/main" id="{15F673BE-13E4-3045-A462-FD59BE52D400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3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271</xdr:row>
      <xdr:rowOff>0</xdr:rowOff>
    </xdr:from>
    <xdr:ext cx="304800" cy="279400"/>
    <xdr:sp macro="" textlink="">
      <xdr:nvSpPr>
        <xdr:cNvPr id="318" name="AutoShape 2208" descr="alert toggle">
          <a:extLst>
            <a:ext uri="{FF2B5EF4-FFF2-40B4-BE49-F238E27FC236}">
              <a16:creationId xmlns:a16="http://schemas.microsoft.com/office/drawing/2014/main" id="{7673FCD9-E15F-4141-B849-5CD7B268641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3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276</xdr:row>
      <xdr:rowOff>0</xdr:rowOff>
    </xdr:from>
    <xdr:ext cx="304800" cy="279400"/>
    <xdr:sp macro="" textlink="">
      <xdr:nvSpPr>
        <xdr:cNvPr id="319" name="AutoShape 2211" descr="note-add">
          <a:extLst>
            <a:ext uri="{FF2B5EF4-FFF2-40B4-BE49-F238E27FC236}">
              <a16:creationId xmlns:a16="http://schemas.microsoft.com/office/drawing/2014/main" id="{F3C18434-8207-D342-824E-C50AAA89522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8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276</xdr:row>
      <xdr:rowOff>0</xdr:rowOff>
    </xdr:from>
    <xdr:ext cx="304800" cy="279400"/>
    <xdr:sp macro="" textlink="">
      <xdr:nvSpPr>
        <xdr:cNvPr id="320" name="AutoShape 2212" descr="alert toggle">
          <a:extLst>
            <a:ext uri="{FF2B5EF4-FFF2-40B4-BE49-F238E27FC236}">
              <a16:creationId xmlns:a16="http://schemas.microsoft.com/office/drawing/2014/main" id="{104AEEF6-81B1-B24A-BB39-23671D511CB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08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276</xdr:row>
      <xdr:rowOff>0</xdr:rowOff>
    </xdr:from>
    <xdr:ext cx="304800" cy="304799"/>
    <xdr:sp macro="" textlink="">
      <xdr:nvSpPr>
        <xdr:cNvPr id="321" name="AutoShape 2215" descr="note-add">
          <a:extLst>
            <a:ext uri="{FF2B5EF4-FFF2-40B4-BE49-F238E27FC236}">
              <a16:creationId xmlns:a16="http://schemas.microsoft.com/office/drawing/2014/main" id="{A9005EB3-7D3C-0745-A74E-F577ADDBDA0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87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276</xdr:row>
      <xdr:rowOff>0</xdr:rowOff>
    </xdr:from>
    <xdr:ext cx="304800" cy="304799"/>
    <xdr:sp macro="" textlink="">
      <xdr:nvSpPr>
        <xdr:cNvPr id="322" name="AutoShape 2216" descr="alert toggle">
          <a:extLst>
            <a:ext uri="{FF2B5EF4-FFF2-40B4-BE49-F238E27FC236}">
              <a16:creationId xmlns:a16="http://schemas.microsoft.com/office/drawing/2014/main" id="{CAF27AF7-E4EF-3F4E-9879-F462B6CA8A7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087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325</xdr:row>
      <xdr:rowOff>0</xdr:rowOff>
    </xdr:from>
    <xdr:ext cx="304800" cy="279400"/>
    <xdr:sp macro="" textlink="">
      <xdr:nvSpPr>
        <xdr:cNvPr id="323" name="AutoShape 2509" descr="note-add">
          <a:extLst>
            <a:ext uri="{FF2B5EF4-FFF2-40B4-BE49-F238E27FC236}">
              <a16:creationId xmlns:a16="http://schemas.microsoft.com/office/drawing/2014/main" id="{062ED7A7-9A1D-D344-B555-96F9911C6AC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9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325</xdr:row>
      <xdr:rowOff>0</xdr:rowOff>
    </xdr:from>
    <xdr:ext cx="304800" cy="279400"/>
    <xdr:sp macro="" textlink="">
      <xdr:nvSpPr>
        <xdr:cNvPr id="324" name="AutoShape 2510" descr="alert toggle">
          <a:extLst>
            <a:ext uri="{FF2B5EF4-FFF2-40B4-BE49-F238E27FC236}">
              <a16:creationId xmlns:a16="http://schemas.microsoft.com/office/drawing/2014/main" id="{9476B6FF-C737-7F43-B433-8F204F7E6DB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9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327</xdr:row>
      <xdr:rowOff>0</xdr:rowOff>
    </xdr:from>
    <xdr:ext cx="304800" cy="279400"/>
    <xdr:sp macro="" textlink="">
      <xdr:nvSpPr>
        <xdr:cNvPr id="325" name="AutoShape 2513" descr="note-add">
          <a:extLst>
            <a:ext uri="{FF2B5EF4-FFF2-40B4-BE49-F238E27FC236}">
              <a16:creationId xmlns:a16="http://schemas.microsoft.com/office/drawing/2014/main" id="{0B60402C-4B01-1C47-A537-CB5C9C93F20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6116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327</xdr:row>
      <xdr:rowOff>0</xdr:rowOff>
    </xdr:from>
    <xdr:ext cx="304800" cy="279400"/>
    <xdr:sp macro="" textlink="">
      <xdr:nvSpPr>
        <xdr:cNvPr id="326" name="AutoShape 2514" descr="alert toggle">
          <a:extLst>
            <a:ext uri="{FF2B5EF4-FFF2-40B4-BE49-F238E27FC236}">
              <a16:creationId xmlns:a16="http://schemas.microsoft.com/office/drawing/2014/main" id="{FD199678-A1DF-8C40-B23B-99ACFFD0489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6116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328</xdr:row>
      <xdr:rowOff>0</xdr:rowOff>
    </xdr:from>
    <xdr:ext cx="304800" cy="279400"/>
    <xdr:sp macro="" textlink="">
      <xdr:nvSpPr>
        <xdr:cNvPr id="327" name="AutoShape 2517" descr="note-add">
          <a:extLst>
            <a:ext uri="{FF2B5EF4-FFF2-40B4-BE49-F238E27FC236}">
              <a16:creationId xmlns:a16="http://schemas.microsoft.com/office/drawing/2014/main" id="{57ACA49A-F87E-CE45-94FF-93F36423193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101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328</xdr:row>
      <xdr:rowOff>0</xdr:rowOff>
    </xdr:from>
    <xdr:ext cx="304800" cy="279400"/>
    <xdr:sp macro="" textlink="">
      <xdr:nvSpPr>
        <xdr:cNvPr id="328" name="AutoShape 2518" descr="alert toggle">
          <a:extLst>
            <a:ext uri="{FF2B5EF4-FFF2-40B4-BE49-F238E27FC236}">
              <a16:creationId xmlns:a16="http://schemas.microsoft.com/office/drawing/2014/main" id="{8CA7F017-7959-B64A-BD52-2A0B92B0297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101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328</xdr:row>
      <xdr:rowOff>0</xdr:rowOff>
    </xdr:from>
    <xdr:ext cx="304800" cy="279400"/>
    <xdr:sp macro="" textlink="">
      <xdr:nvSpPr>
        <xdr:cNvPr id="329" name="AutoShape 2521" descr="note-add">
          <a:extLst>
            <a:ext uri="{FF2B5EF4-FFF2-40B4-BE49-F238E27FC236}">
              <a16:creationId xmlns:a16="http://schemas.microsoft.com/office/drawing/2014/main" id="{7A682A5E-129D-E84D-8A76-7E914750A92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101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328</xdr:row>
      <xdr:rowOff>0</xdr:rowOff>
    </xdr:from>
    <xdr:ext cx="304800" cy="279400"/>
    <xdr:sp macro="" textlink="">
      <xdr:nvSpPr>
        <xdr:cNvPr id="330" name="AutoShape 2522" descr="alert toggle">
          <a:extLst>
            <a:ext uri="{FF2B5EF4-FFF2-40B4-BE49-F238E27FC236}">
              <a16:creationId xmlns:a16="http://schemas.microsoft.com/office/drawing/2014/main" id="{9FA0B3E8-0516-B847-81B7-8925F7B8681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101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79400"/>
    <xdr:sp macro="" textlink="">
      <xdr:nvSpPr>
        <xdr:cNvPr id="331" name="AutoShape 2525" descr="note-add">
          <a:extLst>
            <a:ext uri="{FF2B5EF4-FFF2-40B4-BE49-F238E27FC236}">
              <a16:creationId xmlns:a16="http://schemas.microsoft.com/office/drawing/2014/main" id="{0B15CB39-FB67-5B4F-8656-BE6B2ACC278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361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329</xdr:row>
      <xdr:rowOff>0</xdr:rowOff>
    </xdr:from>
    <xdr:ext cx="304800" cy="279400"/>
    <xdr:sp macro="" textlink="">
      <xdr:nvSpPr>
        <xdr:cNvPr id="332" name="AutoShape 2526" descr="alert toggle">
          <a:extLst>
            <a:ext uri="{FF2B5EF4-FFF2-40B4-BE49-F238E27FC236}">
              <a16:creationId xmlns:a16="http://schemas.microsoft.com/office/drawing/2014/main" id="{A7AF274C-9667-A943-B3F2-0937147AC54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361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79400"/>
    <xdr:sp macro="" textlink="">
      <xdr:nvSpPr>
        <xdr:cNvPr id="333" name="AutoShape 2529" descr="note-add">
          <a:extLst>
            <a:ext uri="{FF2B5EF4-FFF2-40B4-BE49-F238E27FC236}">
              <a16:creationId xmlns:a16="http://schemas.microsoft.com/office/drawing/2014/main" id="{5A987C4B-E133-F849-8D93-BFF241F3416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792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330</xdr:row>
      <xdr:rowOff>0</xdr:rowOff>
    </xdr:from>
    <xdr:ext cx="304800" cy="279400"/>
    <xdr:sp macro="" textlink="">
      <xdr:nvSpPr>
        <xdr:cNvPr id="334" name="AutoShape 2530" descr="alert toggle">
          <a:extLst>
            <a:ext uri="{FF2B5EF4-FFF2-40B4-BE49-F238E27FC236}">
              <a16:creationId xmlns:a16="http://schemas.microsoft.com/office/drawing/2014/main" id="{4C275E55-C251-8E47-B16C-B539982C5B9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792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79400"/>
    <xdr:sp macro="" textlink="">
      <xdr:nvSpPr>
        <xdr:cNvPr id="335" name="AutoShape 2533" descr="note-add">
          <a:extLst>
            <a:ext uri="{FF2B5EF4-FFF2-40B4-BE49-F238E27FC236}">
              <a16:creationId xmlns:a16="http://schemas.microsoft.com/office/drawing/2014/main" id="{CE4F6BF1-BCE6-784E-AAA8-15471AE1247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013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331</xdr:row>
      <xdr:rowOff>0</xdr:rowOff>
    </xdr:from>
    <xdr:ext cx="304800" cy="279400"/>
    <xdr:sp macro="" textlink="">
      <xdr:nvSpPr>
        <xdr:cNvPr id="336" name="AutoShape 2534" descr="alert toggle">
          <a:extLst>
            <a:ext uri="{FF2B5EF4-FFF2-40B4-BE49-F238E27FC236}">
              <a16:creationId xmlns:a16="http://schemas.microsoft.com/office/drawing/2014/main" id="{DB24965E-7D83-294F-A88C-C1869D596F4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013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332</xdr:row>
      <xdr:rowOff>0</xdr:rowOff>
    </xdr:from>
    <xdr:ext cx="304800" cy="279400"/>
    <xdr:sp macro="" textlink="">
      <xdr:nvSpPr>
        <xdr:cNvPr id="337" name="AutoShape 2537" descr="note-add">
          <a:extLst>
            <a:ext uri="{FF2B5EF4-FFF2-40B4-BE49-F238E27FC236}">
              <a16:creationId xmlns:a16="http://schemas.microsoft.com/office/drawing/2014/main" id="{5B92D809-9692-4142-9039-1D6A56828EB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4183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332</xdr:row>
      <xdr:rowOff>0</xdr:rowOff>
    </xdr:from>
    <xdr:ext cx="304800" cy="279400"/>
    <xdr:sp macro="" textlink="">
      <xdr:nvSpPr>
        <xdr:cNvPr id="338" name="AutoShape 2538" descr="alert toggle">
          <a:extLst>
            <a:ext uri="{FF2B5EF4-FFF2-40B4-BE49-F238E27FC236}">
              <a16:creationId xmlns:a16="http://schemas.microsoft.com/office/drawing/2014/main" id="{AA95EF7D-00D6-0345-B518-57A50A7E8EC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4183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79400"/>
    <xdr:sp macro="" textlink="">
      <xdr:nvSpPr>
        <xdr:cNvPr id="339" name="AutoShape 2541" descr="note-add">
          <a:extLst>
            <a:ext uri="{FF2B5EF4-FFF2-40B4-BE49-F238E27FC236}">
              <a16:creationId xmlns:a16="http://schemas.microsoft.com/office/drawing/2014/main" id="{BEBC72B9-DC6D-8541-B920-DA6E4E8AF98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49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333</xdr:row>
      <xdr:rowOff>0</xdr:rowOff>
    </xdr:from>
    <xdr:ext cx="304800" cy="279400"/>
    <xdr:sp macro="" textlink="">
      <xdr:nvSpPr>
        <xdr:cNvPr id="340" name="AutoShape 2542" descr="alert toggle">
          <a:extLst>
            <a:ext uri="{FF2B5EF4-FFF2-40B4-BE49-F238E27FC236}">
              <a16:creationId xmlns:a16="http://schemas.microsoft.com/office/drawing/2014/main" id="{FF94BE25-6333-154F-9467-FFA5D6829F2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49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79400"/>
    <xdr:sp macro="" textlink="">
      <xdr:nvSpPr>
        <xdr:cNvPr id="341" name="AutoShape 2545" descr="note-add">
          <a:extLst>
            <a:ext uri="{FF2B5EF4-FFF2-40B4-BE49-F238E27FC236}">
              <a16:creationId xmlns:a16="http://schemas.microsoft.com/office/drawing/2014/main" id="{BE184C63-6A14-4443-B954-55E45F85A82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49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333</xdr:row>
      <xdr:rowOff>0</xdr:rowOff>
    </xdr:from>
    <xdr:ext cx="304800" cy="279400"/>
    <xdr:sp macro="" textlink="">
      <xdr:nvSpPr>
        <xdr:cNvPr id="342" name="AutoShape 2546" descr="alert toggle">
          <a:extLst>
            <a:ext uri="{FF2B5EF4-FFF2-40B4-BE49-F238E27FC236}">
              <a16:creationId xmlns:a16="http://schemas.microsoft.com/office/drawing/2014/main" id="{54FEA8F5-C5DA-AE4A-BACE-70E1943FA34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49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79400"/>
    <xdr:sp macro="" textlink="">
      <xdr:nvSpPr>
        <xdr:cNvPr id="343" name="AutoShape 2549" descr="note-add">
          <a:extLst>
            <a:ext uri="{FF2B5EF4-FFF2-40B4-BE49-F238E27FC236}">
              <a16:creationId xmlns:a16="http://schemas.microsoft.com/office/drawing/2014/main" id="{7DEA442C-522B-6A40-AB90-5EF81FDC524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72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334</xdr:row>
      <xdr:rowOff>0</xdr:rowOff>
    </xdr:from>
    <xdr:ext cx="304800" cy="279400"/>
    <xdr:sp macro="" textlink="">
      <xdr:nvSpPr>
        <xdr:cNvPr id="344" name="AutoShape 2550" descr="alert toggle">
          <a:extLst>
            <a:ext uri="{FF2B5EF4-FFF2-40B4-BE49-F238E27FC236}">
              <a16:creationId xmlns:a16="http://schemas.microsoft.com/office/drawing/2014/main" id="{5C94E778-CAE8-0D4D-9EF4-A6A207830BF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72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79400"/>
    <xdr:sp macro="" textlink="">
      <xdr:nvSpPr>
        <xdr:cNvPr id="345" name="AutoShape 2553" descr="note-add">
          <a:extLst>
            <a:ext uri="{FF2B5EF4-FFF2-40B4-BE49-F238E27FC236}">
              <a16:creationId xmlns:a16="http://schemas.microsoft.com/office/drawing/2014/main" id="{ADF91F61-7B51-2643-91E0-A9CD7DA5B50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851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335</xdr:row>
      <xdr:rowOff>0</xdr:rowOff>
    </xdr:from>
    <xdr:ext cx="304800" cy="279400"/>
    <xdr:sp macro="" textlink="">
      <xdr:nvSpPr>
        <xdr:cNvPr id="346" name="AutoShape 2554" descr="alert toggle">
          <a:extLst>
            <a:ext uri="{FF2B5EF4-FFF2-40B4-BE49-F238E27FC236}">
              <a16:creationId xmlns:a16="http://schemas.microsoft.com/office/drawing/2014/main" id="{856CF4CC-77F3-2948-8051-C5B1377A6B0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851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336</xdr:row>
      <xdr:rowOff>0</xdr:rowOff>
    </xdr:from>
    <xdr:ext cx="304800" cy="279400"/>
    <xdr:sp macro="" textlink="">
      <xdr:nvSpPr>
        <xdr:cNvPr id="347" name="AutoShape 2557" descr="note-add">
          <a:extLst>
            <a:ext uri="{FF2B5EF4-FFF2-40B4-BE49-F238E27FC236}">
              <a16:creationId xmlns:a16="http://schemas.microsoft.com/office/drawing/2014/main" id="{7106744B-4902-7E44-96E4-414471DDDE2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959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336</xdr:row>
      <xdr:rowOff>0</xdr:rowOff>
    </xdr:from>
    <xdr:ext cx="304800" cy="279400"/>
    <xdr:sp macro="" textlink="">
      <xdr:nvSpPr>
        <xdr:cNvPr id="348" name="AutoShape 2558" descr="alert toggle">
          <a:extLst>
            <a:ext uri="{FF2B5EF4-FFF2-40B4-BE49-F238E27FC236}">
              <a16:creationId xmlns:a16="http://schemas.microsoft.com/office/drawing/2014/main" id="{E0C11B29-A87E-824A-9A01-0B2FD2FCB4A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959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337</xdr:row>
      <xdr:rowOff>0</xdr:rowOff>
    </xdr:from>
    <xdr:ext cx="304800" cy="292101"/>
    <xdr:sp macro="" textlink="">
      <xdr:nvSpPr>
        <xdr:cNvPr id="349" name="AutoShape 2561" descr="note-add">
          <a:extLst>
            <a:ext uri="{FF2B5EF4-FFF2-40B4-BE49-F238E27FC236}">
              <a16:creationId xmlns:a16="http://schemas.microsoft.com/office/drawing/2014/main" id="{F923DEA7-8C9F-BE4F-B1A4-92E09397469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57555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337</xdr:row>
      <xdr:rowOff>0</xdr:rowOff>
    </xdr:from>
    <xdr:ext cx="304800" cy="292101"/>
    <xdr:sp macro="" textlink="">
      <xdr:nvSpPr>
        <xdr:cNvPr id="350" name="AutoShape 2562" descr="alert toggle">
          <a:extLst>
            <a:ext uri="{FF2B5EF4-FFF2-40B4-BE49-F238E27FC236}">
              <a16:creationId xmlns:a16="http://schemas.microsoft.com/office/drawing/2014/main" id="{FE6F1159-39A8-164E-9C61-9FD058F5489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57555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338</xdr:row>
      <xdr:rowOff>0</xdr:rowOff>
    </xdr:from>
    <xdr:ext cx="304800" cy="292101"/>
    <xdr:sp macro="" textlink="">
      <xdr:nvSpPr>
        <xdr:cNvPr id="351" name="AutoShape 2565" descr="note-add">
          <a:extLst>
            <a:ext uri="{FF2B5EF4-FFF2-40B4-BE49-F238E27FC236}">
              <a16:creationId xmlns:a16="http://schemas.microsoft.com/office/drawing/2014/main" id="{34BCF12C-BC1D-AE4B-974A-A92E87BE3AF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00100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338</xdr:row>
      <xdr:rowOff>0</xdr:rowOff>
    </xdr:from>
    <xdr:ext cx="304800" cy="292101"/>
    <xdr:sp macro="" textlink="">
      <xdr:nvSpPr>
        <xdr:cNvPr id="352" name="AutoShape 2566" descr="alert toggle">
          <a:extLst>
            <a:ext uri="{FF2B5EF4-FFF2-40B4-BE49-F238E27FC236}">
              <a16:creationId xmlns:a16="http://schemas.microsoft.com/office/drawing/2014/main" id="{201CD477-F20C-2F4C-AD0E-65BD1390458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00100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310</xdr:row>
      <xdr:rowOff>0</xdr:rowOff>
    </xdr:from>
    <xdr:ext cx="304800" cy="279400"/>
    <xdr:sp macro="" textlink="">
      <xdr:nvSpPr>
        <xdr:cNvPr id="353" name="AutoShape 3101" descr="note-add">
          <a:extLst>
            <a:ext uri="{FF2B5EF4-FFF2-40B4-BE49-F238E27FC236}">
              <a16:creationId xmlns:a16="http://schemas.microsoft.com/office/drawing/2014/main" id="{578C7E7B-6CAD-7D4F-AFFB-BF41FBB09084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0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317500</xdr:colOff>
      <xdr:row>310</xdr:row>
      <xdr:rowOff>0</xdr:rowOff>
    </xdr:from>
    <xdr:ext cx="304800" cy="279400"/>
    <xdr:sp macro="" textlink="">
      <xdr:nvSpPr>
        <xdr:cNvPr id="354" name="AutoShape 3102" descr="alert toggle">
          <a:extLst>
            <a:ext uri="{FF2B5EF4-FFF2-40B4-BE49-F238E27FC236}">
              <a16:creationId xmlns:a16="http://schemas.microsoft.com/office/drawing/2014/main" id="{62157BC0-8ED0-B24E-A6E8-67A2CACD873E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0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313</xdr:row>
      <xdr:rowOff>0</xdr:rowOff>
    </xdr:from>
    <xdr:ext cx="304800" cy="279400"/>
    <xdr:sp macro="" textlink="">
      <xdr:nvSpPr>
        <xdr:cNvPr id="355" name="AutoShape 3278" descr="note-add">
          <a:extLst>
            <a:ext uri="{FF2B5EF4-FFF2-40B4-BE49-F238E27FC236}">
              <a16:creationId xmlns:a16="http://schemas.microsoft.com/office/drawing/2014/main" id="{1223D5A3-7D79-4842-B094-44500267126B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708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313</xdr:row>
      <xdr:rowOff>0</xdr:rowOff>
    </xdr:from>
    <xdr:ext cx="304800" cy="279400"/>
    <xdr:sp macro="" textlink="">
      <xdr:nvSpPr>
        <xdr:cNvPr id="356" name="AutoShape 3279" descr="alert toggle">
          <a:extLst>
            <a:ext uri="{FF2B5EF4-FFF2-40B4-BE49-F238E27FC236}">
              <a16:creationId xmlns:a16="http://schemas.microsoft.com/office/drawing/2014/main" id="{52C45840-9018-624F-8A03-4412C1EBC73B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708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315</xdr:row>
      <xdr:rowOff>0</xdr:rowOff>
    </xdr:from>
    <xdr:ext cx="304800" cy="279400"/>
    <xdr:sp macro="" textlink="">
      <xdr:nvSpPr>
        <xdr:cNvPr id="357" name="AutoShape 3282" descr="note-add">
          <a:extLst>
            <a:ext uri="{FF2B5EF4-FFF2-40B4-BE49-F238E27FC236}">
              <a16:creationId xmlns:a16="http://schemas.microsoft.com/office/drawing/2014/main" id="{6701DB53-404D-DB46-B959-123B8309E5A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3383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315</xdr:row>
      <xdr:rowOff>0</xdr:rowOff>
    </xdr:from>
    <xdr:ext cx="304800" cy="279400"/>
    <xdr:sp macro="" textlink="">
      <xdr:nvSpPr>
        <xdr:cNvPr id="358" name="AutoShape 3286" descr="note-add">
          <a:extLst>
            <a:ext uri="{FF2B5EF4-FFF2-40B4-BE49-F238E27FC236}">
              <a16:creationId xmlns:a16="http://schemas.microsoft.com/office/drawing/2014/main" id="{BB7CEDB6-778F-8844-8C27-F1A8F974B801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3383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315</xdr:row>
      <xdr:rowOff>0</xdr:rowOff>
    </xdr:from>
    <xdr:ext cx="304800" cy="279400"/>
    <xdr:sp macro="" textlink="">
      <xdr:nvSpPr>
        <xdr:cNvPr id="359" name="AutoShape 3287" descr="alert toggle">
          <a:extLst>
            <a:ext uri="{FF2B5EF4-FFF2-40B4-BE49-F238E27FC236}">
              <a16:creationId xmlns:a16="http://schemas.microsoft.com/office/drawing/2014/main" id="{CB4E40A2-DBB8-204C-99E4-364B382B4A0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3383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316</xdr:row>
      <xdr:rowOff>0</xdr:rowOff>
    </xdr:from>
    <xdr:ext cx="304800" cy="279400"/>
    <xdr:sp macro="" textlink="">
      <xdr:nvSpPr>
        <xdr:cNvPr id="360" name="AutoShape 3290" descr="note-add">
          <a:extLst>
            <a:ext uri="{FF2B5EF4-FFF2-40B4-BE49-F238E27FC236}">
              <a16:creationId xmlns:a16="http://schemas.microsoft.com/office/drawing/2014/main" id="{D5EE4186-264C-8D4E-83EC-7130F11723E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3813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316</xdr:row>
      <xdr:rowOff>0</xdr:rowOff>
    </xdr:from>
    <xdr:ext cx="304800" cy="279400"/>
    <xdr:sp macro="" textlink="">
      <xdr:nvSpPr>
        <xdr:cNvPr id="361" name="AutoShape 3291" descr="alert toggle">
          <a:extLst>
            <a:ext uri="{FF2B5EF4-FFF2-40B4-BE49-F238E27FC236}">
              <a16:creationId xmlns:a16="http://schemas.microsoft.com/office/drawing/2014/main" id="{643602FF-DD9F-2C46-8576-DA679C27BAC4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3813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317</xdr:row>
      <xdr:rowOff>0</xdr:rowOff>
    </xdr:from>
    <xdr:ext cx="304800" cy="279400"/>
    <xdr:sp macro="" textlink="">
      <xdr:nvSpPr>
        <xdr:cNvPr id="362" name="AutoShape 3294" descr="note-add">
          <a:extLst>
            <a:ext uri="{FF2B5EF4-FFF2-40B4-BE49-F238E27FC236}">
              <a16:creationId xmlns:a16="http://schemas.microsoft.com/office/drawing/2014/main" id="{BB84EF55-9314-174C-9C0A-7FF815C11D2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034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317</xdr:row>
      <xdr:rowOff>0</xdr:rowOff>
    </xdr:from>
    <xdr:ext cx="304800" cy="279400"/>
    <xdr:sp macro="" textlink="">
      <xdr:nvSpPr>
        <xdr:cNvPr id="363" name="AutoShape 3295" descr="alert toggle">
          <a:extLst>
            <a:ext uri="{FF2B5EF4-FFF2-40B4-BE49-F238E27FC236}">
              <a16:creationId xmlns:a16="http://schemas.microsoft.com/office/drawing/2014/main" id="{99D93BFE-05D5-F649-B51A-15E459A10693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4034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318</xdr:row>
      <xdr:rowOff>0</xdr:rowOff>
    </xdr:from>
    <xdr:ext cx="304800" cy="279400"/>
    <xdr:sp macro="" textlink="">
      <xdr:nvSpPr>
        <xdr:cNvPr id="364" name="AutoShape 3298" descr="note-add">
          <a:extLst>
            <a:ext uri="{FF2B5EF4-FFF2-40B4-BE49-F238E27FC236}">
              <a16:creationId xmlns:a16="http://schemas.microsoft.com/office/drawing/2014/main" id="{ED8E0D22-1E91-D241-9D4A-CEED6257F9C1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439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318</xdr:row>
      <xdr:rowOff>0</xdr:rowOff>
    </xdr:from>
    <xdr:ext cx="304800" cy="279400"/>
    <xdr:sp macro="" textlink="">
      <xdr:nvSpPr>
        <xdr:cNvPr id="365" name="AutoShape 3299" descr="alert toggle">
          <a:extLst>
            <a:ext uri="{FF2B5EF4-FFF2-40B4-BE49-F238E27FC236}">
              <a16:creationId xmlns:a16="http://schemas.microsoft.com/office/drawing/2014/main" id="{C4A3BE46-4C8B-FC40-8C54-CDBD0DB4562C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4439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319</xdr:row>
      <xdr:rowOff>0</xdr:rowOff>
    </xdr:from>
    <xdr:ext cx="304800" cy="279400"/>
    <xdr:sp macro="" textlink="">
      <xdr:nvSpPr>
        <xdr:cNvPr id="366" name="AutoShape 3302" descr="note-add">
          <a:extLst>
            <a:ext uri="{FF2B5EF4-FFF2-40B4-BE49-F238E27FC236}">
              <a16:creationId xmlns:a16="http://schemas.microsoft.com/office/drawing/2014/main" id="{17D990B9-A96B-B94F-8AF2-8ADE4E30641D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513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319</xdr:row>
      <xdr:rowOff>0</xdr:rowOff>
    </xdr:from>
    <xdr:ext cx="304800" cy="279400"/>
    <xdr:sp macro="" textlink="">
      <xdr:nvSpPr>
        <xdr:cNvPr id="367" name="AutoShape 3303" descr="alert toggle">
          <a:extLst>
            <a:ext uri="{FF2B5EF4-FFF2-40B4-BE49-F238E27FC236}">
              <a16:creationId xmlns:a16="http://schemas.microsoft.com/office/drawing/2014/main" id="{D66A8F46-1A7E-C64F-8167-9C2D26AFBEAD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513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320</xdr:row>
      <xdr:rowOff>0</xdr:rowOff>
    </xdr:from>
    <xdr:ext cx="304800" cy="279400"/>
    <xdr:sp macro="" textlink="">
      <xdr:nvSpPr>
        <xdr:cNvPr id="368" name="AutoShape 3306" descr="note-add">
          <a:extLst>
            <a:ext uri="{FF2B5EF4-FFF2-40B4-BE49-F238E27FC236}">
              <a16:creationId xmlns:a16="http://schemas.microsoft.com/office/drawing/2014/main" id="{F9227D69-13A6-174D-8CB5-2E0705B091E0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743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320</xdr:row>
      <xdr:rowOff>0</xdr:rowOff>
    </xdr:from>
    <xdr:ext cx="304800" cy="279400"/>
    <xdr:sp macro="" textlink="">
      <xdr:nvSpPr>
        <xdr:cNvPr id="369" name="AutoShape 3307" descr="alert toggle">
          <a:extLst>
            <a:ext uri="{FF2B5EF4-FFF2-40B4-BE49-F238E27FC236}">
              <a16:creationId xmlns:a16="http://schemas.microsoft.com/office/drawing/2014/main" id="{183B7E48-0E28-4C45-9D94-E25E250E9053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743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320</xdr:row>
      <xdr:rowOff>0</xdr:rowOff>
    </xdr:from>
    <xdr:ext cx="304800" cy="279400"/>
    <xdr:sp macro="" textlink="">
      <xdr:nvSpPr>
        <xdr:cNvPr id="370" name="AutoShape 3310" descr="note-add">
          <a:extLst>
            <a:ext uri="{FF2B5EF4-FFF2-40B4-BE49-F238E27FC236}">
              <a16:creationId xmlns:a16="http://schemas.microsoft.com/office/drawing/2014/main" id="{7BABC98A-3D05-2546-9474-2848C68285AF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743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320</xdr:row>
      <xdr:rowOff>0</xdr:rowOff>
    </xdr:from>
    <xdr:ext cx="304800" cy="279400"/>
    <xdr:sp macro="" textlink="">
      <xdr:nvSpPr>
        <xdr:cNvPr id="371" name="AutoShape 3311" descr="alert toggle">
          <a:extLst>
            <a:ext uri="{FF2B5EF4-FFF2-40B4-BE49-F238E27FC236}">
              <a16:creationId xmlns:a16="http://schemas.microsoft.com/office/drawing/2014/main" id="{9B5FA94E-E403-A740-A590-C3323D0A75E5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743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321</xdr:row>
      <xdr:rowOff>0</xdr:rowOff>
    </xdr:from>
    <xdr:ext cx="304800" cy="279400"/>
    <xdr:sp macro="" textlink="">
      <xdr:nvSpPr>
        <xdr:cNvPr id="372" name="AutoShape 3314" descr="note-add">
          <a:extLst>
            <a:ext uri="{FF2B5EF4-FFF2-40B4-BE49-F238E27FC236}">
              <a16:creationId xmlns:a16="http://schemas.microsoft.com/office/drawing/2014/main" id="{C5AD5039-6BE0-4043-A723-60A86EB48A8F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873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321</xdr:row>
      <xdr:rowOff>0</xdr:rowOff>
    </xdr:from>
    <xdr:ext cx="304800" cy="279400"/>
    <xdr:sp macro="" textlink="">
      <xdr:nvSpPr>
        <xdr:cNvPr id="373" name="AutoShape 3315" descr="alert toggle">
          <a:extLst>
            <a:ext uri="{FF2B5EF4-FFF2-40B4-BE49-F238E27FC236}">
              <a16:creationId xmlns:a16="http://schemas.microsoft.com/office/drawing/2014/main" id="{94F924F3-3121-E445-88DA-CBED6D990F51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873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323</xdr:row>
      <xdr:rowOff>0</xdr:rowOff>
    </xdr:from>
    <xdr:ext cx="304800" cy="279400"/>
    <xdr:sp macro="" textlink="">
      <xdr:nvSpPr>
        <xdr:cNvPr id="374" name="AutoShape 3318" descr="note-add">
          <a:extLst>
            <a:ext uri="{FF2B5EF4-FFF2-40B4-BE49-F238E27FC236}">
              <a16:creationId xmlns:a16="http://schemas.microsoft.com/office/drawing/2014/main" id="{74276122-7FFF-0542-8220-AC1C5667CF36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323</xdr:row>
      <xdr:rowOff>0</xdr:rowOff>
    </xdr:from>
    <xdr:ext cx="304800" cy="279400"/>
    <xdr:sp macro="" textlink="">
      <xdr:nvSpPr>
        <xdr:cNvPr id="375" name="AutoShape 3319" descr="alert toggle">
          <a:extLst>
            <a:ext uri="{FF2B5EF4-FFF2-40B4-BE49-F238E27FC236}">
              <a16:creationId xmlns:a16="http://schemas.microsoft.com/office/drawing/2014/main" id="{158BF702-E8A8-9340-80E6-052C1DC71AC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323</xdr:row>
      <xdr:rowOff>0</xdr:rowOff>
    </xdr:from>
    <xdr:ext cx="304800" cy="279400"/>
    <xdr:sp macro="" textlink="">
      <xdr:nvSpPr>
        <xdr:cNvPr id="376" name="AutoShape 3322" descr="note-add">
          <a:extLst>
            <a:ext uri="{FF2B5EF4-FFF2-40B4-BE49-F238E27FC236}">
              <a16:creationId xmlns:a16="http://schemas.microsoft.com/office/drawing/2014/main" id="{CE80BDD9-EE8B-104A-8D41-79ED72D4DA2D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323</xdr:row>
      <xdr:rowOff>0</xdr:rowOff>
    </xdr:from>
    <xdr:ext cx="304800" cy="279400"/>
    <xdr:sp macro="" textlink="">
      <xdr:nvSpPr>
        <xdr:cNvPr id="377" name="AutoShape 3323" descr="alert toggle">
          <a:extLst>
            <a:ext uri="{FF2B5EF4-FFF2-40B4-BE49-F238E27FC236}">
              <a16:creationId xmlns:a16="http://schemas.microsoft.com/office/drawing/2014/main" id="{D24BF2ED-C6D9-F04A-8640-F81C72BBE23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385</xdr:row>
      <xdr:rowOff>0</xdr:rowOff>
    </xdr:from>
    <xdr:ext cx="304800" cy="279400"/>
    <xdr:sp macro="" textlink="">
      <xdr:nvSpPr>
        <xdr:cNvPr id="378" name="AutoShape 3326" descr="note-add">
          <a:extLst>
            <a:ext uri="{FF2B5EF4-FFF2-40B4-BE49-F238E27FC236}">
              <a16:creationId xmlns:a16="http://schemas.microsoft.com/office/drawing/2014/main" id="{D004E643-6468-494B-BC88-AF11E194424B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20396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323</xdr:row>
      <xdr:rowOff>0</xdr:rowOff>
    </xdr:from>
    <xdr:ext cx="304800" cy="279400"/>
    <xdr:sp macro="" textlink="">
      <xdr:nvSpPr>
        <xdr:cNvPr id="379" name="AutoShape 3330" descr="note-add">
          <a:extLst>
            <a:ext uri="{FF2B5EF4-FFF2-40B4-BE49-F238E27FC236}">
              <a16:creationId xmlns:a16="http://schemas.microsoft.com/office/drawing/2014/main" id="{E24FFC85-3FC8-FA4A-A8A1-4AB8504B5AA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323</xdr:row>
      <xdr:rowOff>0</xdr:rowOff>
    </xdr:from>
    <xdr:ext cx="304800" cy="279400"/>
    <xdr:sp macro="" textlink="">
      <xdr:nvSpPr>
        <xdr:cNvPr id="380" name="AutoShape 3331" descr="alert toggle">
          <a:extLst>
            <a:ext uri="{FF2B5EF4-FFF2-40B4-BE49-F238E27FC236}">
              <a16:creationId xmlns:a16="http://schemas.microsoft.com/office/drawing/2014/main" id="{D50CD67F-E230-C749-A407-296F8383CC55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323</xdr:row>
      <xdr:rowOff>0</xdr:rowOff>
    </xdr:from>
    <xdr:ext cx="304800" cy="279400"/>
    <xdr:sp macro="" textlink="">
      <xdr:nvSpPr>
        <xdr:cNvPr id="381" name="AutoShape 3334" descr="note-add">
          <a:extLst>
            <a:ext uri="{FF2B5EF4-FFF2-40B4-BE49-F238E27FC236}">
              <a16:creationId xmlns:a16="http://schemas.microsoft.com/office/drawing/2014/main" id="{539D1363-0761-B940-BD44-7DC1B051EEE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323</xdr:row>
      <xdr:rowOff>0</xdr:rowOff>
    </xdr:from>
    <xdr:ext cx="304800" cy="279400"/>
    <xdr:sp macro="" textlink="">
      <xdr:nvSpPr>
        <xdr:cNvPr id="382" name="AutoShape 3335" descr="alert toggle">
          <a:extLst>
            <a:ext uri="{FF2B5EF4-FFF2-40B4-BE49-F238E27FC236}">
              <a16:creationId xmlns:a16="http://schemas.microsoft.com/office/drawing/2014/main" id="{D514CDDE-7D2C-F049-BF4B-3C3BD9B06DF8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597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260</xdr:row>
      <xdr:rowOff>0</xdr:rowOff>
    </xdr:from>
    <xdr:ext cx="304800" cy="279400"/>
    <xdr:sp macro="" textlink="">
      <xdr:nvSpPr>
        <xdr:cNvPr id="383" name="AutoShape 3852" descr="note-add">
          <a:extLst>
            <a:ext uri="{FF2B5EF4-FFF2-40B4-BE49-F238E27FC236}">
              <a16:creationId xmlns:a16="http://schemas.microsoft.com/office/drawing/2014/main" id="{A5544595-73B5-E14F-A3E2-785CCDD40A7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55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260</xdr:row>
      <xdr:rowOff>0</xdr:rowOff>
    </xdr:from>
    <xdr:ext cx="304800" cy="279400"/>
    <xdr:sp macro="" textlink="">
      <xdr:nvSpPr>
        <xdr:cNvPr id="384" name="AutoShape 3853" descr="alert toggle">
          <a:extLst>
            <a:ext uri="{FF2B5EF4-FFF2-40B4-BE49-F238E27FC236}">
              <a16:creationId xmlns:a16="http://schemas.microsoft.com/office/drawing/2014/main" id="{A362E444-571C-5149-AB8C-0C2F5CEAA892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55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261</xdr:row>
      <xdr:rowOff>0</xdr:rowOff>
    </xdr:from>
    <xdr:ext cx="304800" cy="279400"/>
    <xdr:sp macro="" textlink="">
      <xdr:nvSpPr>
        <xdr:cNvPr id="385" name="AutoShape 3856" descr="note-add">
          <a:extLst>
            <a:ext uri="{FF2B5EF4-FFF2-40B4-BE49-F238E27FC236}">
              <a16:creationId xmlns:a16="http://schemas.microsoft.com/office/drawing/2014/main" id="{6A586DE6-2922-4948-AAB1-12596B0DC44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12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261</xdr:row>
      <xdr:rowOff>0</xdr:rowOff>
    </xdr:from>
    <xdr:ext cx="304800" cy="279400"/>
    <xdr:sp macro="" textlink="">
      <xdr:nvSpPr>
        <xdr:cNvPr id="386" name="AutoShape 3857" descr="alert toggle">
          <a:extLst>
            <a:ext uri="{FF2B5EF4-FFF2-40B4-BE49-F238E27FC236}">
              <a16:creationId xmlns:a16="http://schemas.microsoft.com/office/drawing/2014/main" id="{13AF8F2F-AF3F-F947-B8A1-10B2E274F2E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12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263</xdr:row>
      <xdr:rowOff>0</xdr:rowOff>
    </xdr:from>
    <xdr:ext cx="304800" cy="279400"/>
    <xdr:sp macro="" textlink="">
      <xdr:nvSpPr>
        <xdr:cNvPr id="387" name="AutoShape 3860" descr="note-add">
          <a:extLst>
            <a:ext uri="{FF2B5EF4-FFF2-40B4-BE49-F238E27FC236}">
              <a16:creationId xmlns:a16="http://schemas.microsoft.com/office/drawing/2014/main" id="{254ECAFC-E793-3D47-97CB-4230635CB79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2730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263</xdr:row>
      <xdr:rowOff>0</xdr:rowOff>
    </xdr:from>
    <xdr:ext cx="304800" cy="279400"/>
    <xdr:sp macro="" textlink="">
      <xdr:nvSpPr>
        <xdr:cNvPr id="388" name="AutoShape 3861" descr="alert toggle">
          <a:extLst>
            <a:ext uri="{FF2B5EF4-FFF2-40B4-BE49-F238E27FC236}">
              <a16:creationId xmlns:a16="http://schemas.microsoft.com/office/drawing/2014/main" id="{7D31AEC8-2C80-D540-B5A7-1507C4AC6C9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2730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264</xdr:row>
      <xdr:rowOff>0</xdr:rowOff>
    </xdr:from>
    <xdr:ext cx="304800" cy="279400"/>
    <xdr:sp macro="" textlink="">
      <xdr:nvSpPr>
        <xdr:cNvPr id="389" name="AutoShape 3864" descr="note-add">
          <a:extLst>
            <a:ext uri="{FF2B5EF4-FFF2-40B4-BE49-F238E27FC236}">
              <a16:creationId xmlns:a16="http://schemas.microsoft.com/office/drawing/2014/main" id="{30D78987-5A82-9541-9C77-4C11CBB549F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187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264</xdr:row>
      <xdr:rowOff>0</xdr:rowOff>
    </xdr:from>
    <xdr:ext cx="304800" cy="279400"/>
    <xdr:sp macro="" textlink="">
      <xdr:nvSpPr>
        <xdr:cNvPr id="390" name="AutoShape 3865" descr="alert toggle">
          <a:extLst>
            <a:ext uri="{FF2B5EF4-FFF2-40B4-BE49-F238E27FC236}">
              <a16:creationId xmlns:a16="http://schemas.microsoft.com/office/drawing/2014/main" id="{EAF9F584-EC14-3E4A-99CF-D784E877939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187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265</xdr:row>
      <xdr:rowOff>0</xdr:rowOff>
    </xdr:from>
    <xdr:ext cx="304800" cy="279400"/>
    <xdr:sp macro="" textlink="">
      <xdr:nvSpPr>
        <xdr:cNvPr id="391" name="AutoShape 3868" descr="note-add">
          <a:extLst>
            <a:ext uri="{FF2B5EF4-FFF2-40B4-BE49-F238E27FC236}">
              <a16:creationId xmlns:a16="http://schemas.microsoft.com/office/drawing/2014/main" id="{F1664360-34C5-2541-9BBD-E043C543E20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448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265</xdr:row>
      <xdr:rowOff>0</xdr:rowOff>
    </xdr:from>
    <xdr:ext cx="304800" cy="279400"/>
    <xdr:sp macro="" textlink="">
      <xdr:nvSpPr>
        <xdr:cNvPr id="392" name="AutoShape 3869" descr="alert toggle">
          <a:extLst>
            <a:ext uri="{FF2B5EF4-FFF2-40B4-BE49-F238E27FC236}">
              <a16:creationId xmlns:a16="http://schemas.microsoft.com/office/drawing/2014/main" id="{1595C7BE-C98B-3346-B41F-B2237F823AB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448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266</xdr:row>
      <xdr:rowOff>0</xdr:rowOff>
    </xdr:from>
    <xdr:ext cx="304800" cy="279400"/>
    <xdr:sp macro="" textlink="">
      <xdr:nvSpPr>
        <xdr:cNvPr id="393" name="AutoShape 3872" descr="note-add">
          <a:extLst>
            <a:ext uri="{FF2B5EF4-FFF2-40B4-BE49-F238E27FC236}">
              <a16:creationId xmlns:a16="http://schemas.microsoft.com/office/drawing/2014/main" id="{E1343837-6A23-AA4B-8023-EED522929C5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8785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266</xdr:row>
      <xdr:rowOff>0</xdr:rowOff>
    </xdr:from>
    <xdr:ext cx="304800" cy="279400"/>
    <xdr:sp macro="" textlink="">
      <xdr:nvSpPr>
        <xdr:cNvPr id="394" name="AutoShape 3873" descr="alert toggle">
          <a:extLst>
            <a:ext uri="{FF2B5EF4-FFF2-40B4-BE49-F238E27FC236}">
              <a16:creationId xmlns:a16="http://schemas.microsoft.com/office/drawing/2014/main" id="{8274B9F0-4BC6-BB43-8316-939C7072DFB2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8785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267</xdr:row>
      <xdr:rowOff>0</xdr:rowOff>
    </xdr:from>
    <xdr:ext cx="304800" cy="279400"/>
    <xdr:sp macro="" textlink="">
      <xdr:nvSpPr>
        <xdr:cNvPr id="395" name="AutoShape 3876" descr="note-add">
          <a:extLst>
            <a:ext uri="{FF2B5EF4-FFF2-40B4-BE49-F238E27FC236}">
              <a16:creationId xmlns:a16="http://schemas.microsoft.com/office/drawing/2014/main" id="{6535B2F8-1DE9-6542-9D09-12B025AECD7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099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267</xdr:row>
      <xdr:rowOff>0</xdr:rowOff>
    </xdr:from>
    <xdr:ext cx="304800" cy="279400"/>
    <xdr:sp macro="" textlink="">
      <xdr:nvSpPr>
        <xdr:cNvPr id="396" name="AutoShape 3877" descr="alert toggle">
          <a:extLst>
            <a:ext uri="{FF2B5EF4-FFF2-40B4-BE49-F238E27FC236}">
              <a16:creationId xmlns:a16="http://schemas.microsoft.com/office/drawing/2014/main" id="{56D16D79-951B-BF48-BE1C-40A24A2939E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099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268</xdr:row>
      <xdr:rowOff>0</xdr:rowOff>
    </xdr:from>
    <xdr:ext cx="304800" cy="279400"/>
    <xdr:sp macro="" textlink="">
      <xdr:nvSpPr>
        <xdr:cNvPr id="397" name="AutoShape 3880" descr="note-add">
          <a:extLst>
            <a:ext uri="{FF2B5EF4-FFF2-40B4-BE49-F238E27FC236}">
              <a16:creationId xmlns:a16="http://schemas.microsoft.com/office/drawing/2014/main" id="{C2BA8B8B-8A76-BC46-9250-1AE06581343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504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268</xdr:row>
      <xdr:rowOff>0</xdr:rowOff>
    </xdr:from>
    <xdr:ext cx="304800" cy="279400"/>
    <xdr:sp macro="" textlink="">
      <xdr:nvSpPr>
        <xdr:cNvPr id="398" name="AutoShape 3881" descr="alert toggle">
          <a:extLst>
            <a:ext uri="{FF2B5EF4-FFF2-40B4-BE49-F238E27FC236}">
              <a16:creationId xmlns:a16="http://schemas.microsoft.com/office/drawing/2014/main" id="{899D2E19-F19A-9C4A-928A-981A1CC76746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504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269</xdr:row>
      <xdr:rowOff>0</xdr:rowOff>
    </xdr:from>
    <xdr:ext cx="304800" cy="279400"/>
    <xdr:sp macro="" textlink="">
      <xdr:nvSpPr>
        <xdr:cNvPr id="399" name="AutoShape 3884" descr="note-add">
          <a:extLst>
            <a:ext uri="{FF2B5EF4-FFF2-40B4-BE49-F238E27FC236}">
              <a16:creationId xmlns:a16="http://schemas.microsoft.com/office/drawing/2014/main" id="{72185348-BB1A-A949-8D64-37DECBE1C5E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577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269</xdr:row>
      <xdr:rowOff>0</xdr:rowOff>
    </xdr:from>
    <xdr:ext cx="304800" cy="279400"/>
    <xdr:sp macro="" textlink="">
      <xdr:nvSpPr>
        <xdr:cNvPr id="400" name="AutoShape 3885" descr="alert toggle">
          <a:extLst>
            <a:ext uri="{FF2B5EF4-FFF2-40B4-BE49-F238E27FC236}">
              <a16:creationId xmlns:a16="http://schemas.microsoft.com/office/drawing/2014/main" id="{8F084E7C-3202-D54F-A0DD-D248DB8EB822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577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271</xdr:row>
      <xdr:rowOff>0</xdr:rowOff>
    </xdr:from>
    <xdr:ext cx="304800" cy="279400"/>
    <xdr:sp macro="" textlink="">
      <xdr:nvSpPr>
        <xdr:cNvPr id="401" name="AutoShape 3888" descr="note-add">
          <a:extLst>
            <a:ext uri="{FF2B5EF4-FFF2-40B4-BE49-F238E27FC236}">
              <a16:creationId xmlns:a16="http://schemas.microsoft.com/office/drawing/2014/main" id="{CE302184-BE81-3643-BC99-95FBEA585B0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3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271</xdr:row>
      <xdr:rowOff>0</xdr:rowOff>
    </xdr:from>
    <xdr:ext cx="304800" cy="279400"/>
    <xdr:sp macro="" textlink="">
      <xdr:nvSpPr>
        <xdr:cNvPr id="402" name="AutoShape 3889" descr="alert toggle">
          <a:extLst>
            <a:ext uri="{FF2B5EF4-FFF2-40B4-BE49-F238E27FC236}">
              <a16:creationId xmlns:a16="http://schemas.microsoft.com/office/drawing/2014/main" id="{E4EC9396-8061-7B42-BD14-64BDAEAB6E1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3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272</xdr:row>
      <xdr:rowOff>0</xdr:rowOff>
    </xdr:from>
    <xdr:ext cx="304800" cy="279400"/>
    <xdr:sp macro="" textlink="">
      <xdr:nvSpPr>
        <xdr:cNvPr id="403" name="AutoShape 3892" descr="note-add">
          <a:extLst>
            <a:ext uri="{FF2B5EF4-FFF2-40B4-BE49-F238E27FC236}">
              <a16:creationId xmlns:a16="http://schemas.microsoft.com/office/drawing/2014/main" id="{21799FD5-9819-6C41-95C5-81741134B16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9380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272</xdr:row>
      <xdr:rowOff>0</xdr:rowOff>
    </xdr:from>
    <xdr:ext cx="304800" cy="279400"/>
    <xdr:sp macro="" textlink="">
      <xdr:nvSpPr>
        <xdr:cNvPr id="404" name="AutoShape 3893" descr="alert toggle">
          <a:extLst>
            <a:ext uri="{FF2B5EF4-FFF2-40B4-BE49-F238E27FC236}">
              <a16:creationId xmlns:a16="http://schemas.microsoft.com/office/drawing/2014/main" id="{5B90884E-186F-0B4E-839B-0F14D68E777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9380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274</xdr:row>
      <xdr:rowOff>0</xdr:rowOff>
    </xdr:from>
    <xdr:ext cx="304800" cy="279400"/>
    <xdr:sp macro="" textlink="">
      <xdr:nvSpPr>
        <xdr:cNvPr id="405" name="AutoShape 3896" descr="note-add">
          <a:extLst>
            <a:ext uri="{FF2B5EF4-FFF2-40B4-BE49-F238E27FC236}">
              <a16:creationId xmlns:a16="http://schemas.microsoft.com/office/drawing/2014/main" id="{744E9DB5-0575-6249-AC18-8ADD4EBAB57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303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274</xdr:row>
      <xdr:rowOff>0</xdr:rowOff>
    </xdr:from>
    <xdr:ext cx="304800" cy="279400"/>
    <xdr:sp macro="" textlink="">
      <xdr:nvSpPr>
        <xdr:cNvPr id="406" name="AutoShape 3897" descr="alert toggle">
          <a:extLst>
            <a:ext uri="{FF2B5EF4-FFF2-40B4-BE49-F238E27FC236}">
              <a16:creationId xmlns:a16="http://schemas.microsoft.com/office/drawing/2014/main" id="{8654D5AA-34AE-164A-A7C8-355A16B5E72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303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275</xdr:row>
      <xdr:rowOff>0</xdr:rowOff>
    </xdr:from>
    <xdr:ext cx="304800" cy="279400"/>
    <xdr:sp macro="" textlink="">
      <xdr:nvSpPr>
        <xdr:cNvPr id="407" name="AutoShape 3900" descr="note-add">
          <a:extLst>
            <a:ext uri="{FF2B5EF4-FFF2-40B4-BE49-F238E27FC236}">
              <a16:creationId xmlns:a16="http://schemas.microsoft.com/office/drawing/2014/main" id="{2A35355C-C6E4-844C-AB8D-4FBBC42CE8F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661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276</xdr:row>
      <xdr:rowOff>0</xdr:rowOff>
    </xdr:from>
    <xdr:ext cx="304800" cy="279400"/>
    <xdr:sp macro="" textlink="">
      <xdr:nvSpPr>
        <xdr:cNvPr id="408" name="AutoShape 3904" descr="note-add">
          <a:extLst>
            <a:ext uri="{FF2B5EF4-FFF2-40B4-BE49-F238E27FC236}">
              <a16:creationId xmlns:a16="http://schemas.microsoft.com/office/drawing/2014/main" id="{7C461493-1BC8-0D4A-996D-A6A67A52E96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8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304801"/>
    <xdr:sp macro="" textlink="">
      <xdr:nvSpPr>
        <xdr:cNvPr id="409" name="AutoShape 4473" descr="note-add">
          <a:extLst>
            <a:ext uri="{FF2B5EF4-FFF2-40B4-BE49-F238E27FC236}">
              <a16:creationId xmlns:a16="http://schemas.microsoft.com/office/drawing/2014/main" id="{1E4A05CF-F0AA-7D47-B804-0D6B9BADD7E6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11341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57</xdr:row>
      <xdr:rowOff>0</xdr:rowOff>
    </xdr:from>
    <xdr:ext cx="304800" cy="304801"/>
    <xdr:sp macro="" textlink="">
      <xdr:nvSpPr>
        <xdr:cNvPr id="410" name="AutoShape 4474" descr="alert toggle">
          <a:extLst>
            <a:ext uri="{FF2B5EF4-FFF2-40B4-BE49-F238E27FC236}">
              <a16:creationId xmlns:a16="http://schemas.microsoft.com/office/drawing/2014/main" id="{074932E6-56F3-024F-B01A-32C46F1A163F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11341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799"/>
    <xdr:sp macro="" textlink="">
      <xdr:nvSpPr>
        <xdr:cNvPr id="411" name="AutoShape 4477" descr="note-add">
          <a:extLst>
            <a:ext uri="{FF2B5EF4-FFF2-40B4-BE49-F238E27FC236}">
              <a16:creationId xmlns:a16="http://schemas.microsoft.com/office/drawing/2014/main" id="{CC92E166-5A35-714C-A0CD-582550902187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70675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66</xdr:row>
      <xdr:rowOff>0</xdr:rowOff>
    </xdr:from>
    <xdr:ext cx="304800" cy="304799"/>
    <xdr:sp macro="" textlink="">
      <xdr:nvSpPr>
        <xdr:cNvPr id="412" name="AutoShape 4478" descr="alert toggle">
          <a:extLst>
            <a:ext uri="{FF2B5EF4-FFF2-40B4-BE49-F238E27FC236}">
              <a16:creationId xmlns:a16="http://schemas.microsoft.com/office/drawing/2014/main" id="{DEDA337B-A751-FC43-AA18-74730A80316D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70675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799"/>
    <xdr:sp macro="" textlink="">
      <xdr:nvSpPr>
        <xdr:cNvPr id="413" name="AutoShape 4481" descr="note-add">
          <a:extLst>
            <a:ext uri="{FF2B5EF4-FFF2-40B4-BE49-F238E27FC236}">
              <a16:creationId xmlns:a16="http://schemas.microsoft.com/office/drawing/2014/main" id="{81C39E63-3E69-A148-A0A2-26DFAFDB1B75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8108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67</xdr:row>
      <xdr:rowOff>0</xdr:rowOff>
    </xdr:from>
    <xdr:ext cx="304800" cy="304799"/>
    <xdr:sp macro="" textlink="">
      <xdr:nvSpPr>
        <xdr:cNvPr id="414" name="AutoShape 4482" descr="alert toggle">
          <a:extLst>
            <a:ext uri="{FF2B5EF4-FFF2-40B4-BE49-F238E27FC236}">
              <a16:creationId xmlns:a16="http://schemas.microsoft.com/office/drawing/2014/main" id="{4F6ADDBB-6BF8-A042-932B-9FA2A0440B13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8108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1"/>
    <xdr:sp macro="" textlink="">
      <xdr:nvSpPr>
        <xdr:cNvPr id="415" name="AutoShape 4485" descr="note-add">
          <a:extLst>
            <a:ext uri="{FF2B5EF4-FFF2-40B4-BE49-F238E27FC236}">
              <a16:creationId xmlns:a16="http://schemas.microsoft.com/office/drawing/2014/main" id="{BDA76C95-8336-874A-9C01-C243FA3B551B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062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64</xdr:row>
      <xdr:rowOff>0</xdr:rowOff>
    </xdr:from>
    <xdr:ext cx="304800" cy="304801"/>
    <xdr:sp macro="" textlink="">
      <xdr:nvSpPr>
        <xdr:cNvPr id="416" name="AutoShape 4486" descr="alert toggle">
          <a:extLst>
            <a:ext uri="{FF2B5EF4-FFF2-40B4-BE49-F238E27FC236}">
              <a16:creationId xmlns:a16="http://schemas.microsoft.com/office/drawing/2014/main" id="{FB22D761-2E85-8941-A298-B36EBA2EA0DA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062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417" name="AutoShape 4489" descr="note-add">
          <a:extLst>
            <a:ext uri="{FF2B5EF4-FFF2-40B4-BE49-F238E27FC236}">
              <a16:creationId xmlns:a16="http://schemas.microsoft.com/office/drawing/2014/main" id="{CDE8A50D-9C1E-CB4B-AB38-55F197CACA1D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0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64</xdr:row>
      <xdr:rowOff>0</xdr:rowOff>
    </xdr:from>
    <xdr:ext cx="304800" cy="304800"/>
    <xdr:sp macro="" textlink="">
      <xdr:nvSpPr>
        <xdr:cNvPr id="418" name="AutoShape 4490" descr="alert toggle">
          <a:extLst>
            <a:ext uri="{FF2B5EF4-FFF2-40B4-BE49-F238E27FC236}">
              <a16:creationId xmlns:a16="http://schemas.microsoft.com/office/drawing/2014/main" id="{1AB8735F-F654-984F-8976-689D8EC1DBDE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0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66</xdr:row>
      <xdr:rowOff>0</xdr:rowOff>
    </xdr:from>
    <xdr:ext cx="304800" cy="304800"/>
    <xdr:sp macro="" textlink="">
      <xdr:nvSpPr>
        <xdr:cNvPr id="419" name="AutoShape 4493" descr="note-add">
          <a:extLst>
            <a:ext uri="{FF2B5EF4-FFF2-40B4-BE49-F238E27FC236}">
              <a16:creationId xmlns:a16="http://schemas.microsoft.com/office/drawing/2014/main" id="{AD93D87F-0BC5-3A46-AA4A-EFF87CAE24DE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67</xdr:row>
      <xdr:rowOff>0</xdr:rowOff>
    </xdr:from>
    <xdr:ext cx="304800" cy="304799"/>
    <xdr:sp macro="" textlink="">
      <xdr:nvSpPr>
        <xdr:cNvPr id="420" name="AutoShape 4497" descr="note-add">
          <a:extLst>
            <a:ext uri="{FF2B5EF4-FFF2-40B4-BE49-F238E27FC236}">
              <a16:creationId xmlns:a16="http://schemas.microsoft.com/office/drawing/2014/main" id="{320650BA-CFA8-954A-A0B1-A1B212961C78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8108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67</xdr:row>
      <xdr:rowOff>0</xdr:rowOff>
    </xdr:from>
    <xdr:ext cx="304800" cy="304799"/>
    <xdr:sp macro="" textlink="">
      <xdr:nvSpPr>
        <xdr:cNvPr id="421" name="AutoShape 4498" descr="alert toggle">
          <a:extLst>
            <a:ext uri="{FF2B5EF4-FFF2-40B4-BE49-F238E27FC236}">
              <a16:creationId xmlns:a16="http://schemas.microsoft.com/office/drawing/2014/main" id="{DB26A768-E015-4F43-95AB-C970FF71103A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81089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64</xdr:row>
      <xdr:rowOff>0</xdr:rowOff>
    </xdr:from>
    <xdr:ext cx="304800" cy="304800"/>
    <xdr:sp macro="" textlink="">
      <xdr:nvSpPr>
        <xdr:cNvPr id="422" name="AutoShape 4501" descr="note-add">
          <a:extLst>
            <a:ext uri="{FF2B5EF4-FFF2-40B4-BE49-F238E27FC236}">
              <a16:creationId xmlns:a16="http://schemas.microsoft.com/office/drawing/2014/main" id="{DF5437D0-D0A2-4642-B258-59923F516915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0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64</xdr:row>
      <xdr:rowOff>0</xdr:rowOff>
    </xdr:from>
    <xdr:ext cx="304800" cy="304800"/>
    <xdr:sp macro="" textlink="">
      <xdr:nvSpPr>
        <xdr:cNvPr id="423" name="AutoShape 4502" descr="alert toggle">
          <a:extLst>
            <a:ext uri="{FF2B5EF4-FFF2-40B4-BE49-F238E27FC236}">
              <a16:creationId xmlns:a16="http://schemas.microsoft.com/office/drawing/2014/main" id="{0B37FAB4-37A0-344B-A2E5-02F5F2FA5A1C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0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346</xdr:row>
      <xdr:rowOff>0</xdr:rowOff>
    </xdr:from>
    <xdr:ext cx="304800" cy="279400"/>
    <xdr:sp macro="" textlink="">
      <xdr:nvSpPr>
        <xdr:cNvPr id="424" name="AutoShape 3906" descr="note-add">
          <a:extLst>
            <a:ext uri="{FF2B5EF4-FFF2-40B4-BE49-F238E27FC236}">
              <a16:creationId xmlns:a16="http://schemas.microsoft.com/office/drawing/2014/main" id="{CCCD0B11-AD79-1F44-AB9F-ADABB805C050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07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346</xdr:row>
      <xdr:rowOff>0</xdr:rowOff>
    </xdr:from>
    <xdr:ext cx="304800" cy="279400"/>
    <xdr:sp macro="" textlink="">
      <xdr:nvSpPr>
        <xdr:cNvPr id="425" name="AutoShape 3907" descr="alert toggle">
          <a:extLst>
            <a:ext uri="{FF2B5EF4-FFF2-40B4-BE49-F238E27FC236}">
              <a16:creationId xmlns:a16="http://schemas.microsoft.com/office/drawing/2014/main" id="{A83BF58F-075E-BD4C-93DE-B0ACBD31708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07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347</xdr:row>
      <xdr:rowOff>0</xdr:rowOff>
    </xdr:from>
    <xdr:ext cx="304800" cy="279400"/>
    <xdr:sp macro="" textlink="">
      <xdr:nvSpPr>
        <xdr:cNvPr id="426" name="AutoShape 3910" descr="note-add">
          <a:extLst>
            <a:ext uri="{FF2B5EF4-FFF2-40B4-BE49-F238E27FC236}">
              <a16:creationId xmlns:a16="http://schemas.microsoft.com/office/drawing/2014/main" id="{BD86BA53-9BDE-A343-AABA-737E33D73DC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340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347</xdr:row>
      <xdr:rowOff>0</xdr:rowOff>
    </xdr:from>
    <xdr:ext cx="304800" cy="279400"/>
    <xdr:sp macro="" textlink="">
      <xdr:nvSpPr>
        <xdr:cNvPr id="427" name="AutoShape 3911" descr="alert toggle">
          <a:extLst>
            <a:ext uri="{FF2B5EF4-FFF2-40B4-BE49-F238E27FC236}">
              <a16:creationId xmlns:a16="http://schemas.microsoft.com/office/drawing/2014/main" id="{A68C9992-1C23-8A47-9311-F3EC8EB490F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340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344</xdr:row>
      <xdr:rowOff>0</xdr:rowOff>
    </xdr:from>
    <xdr:ext cx="304800" cy="279400"/>
    <xdr:sp macro="" textlink="">
      <xdr:nvSpPr>
        <xdr:cNvPr id="428" name="AutoShape 3914" descr="note-add">
          <a:extLst>
            <a:ext uri="{FF2B5EF4-FFF2-40B4-BE49-F238E27FC236}">
              <a16:creationId xmlns:a16="http://schemas.microsoft.com/office/drawing/2014/main" id="{122B0D44-BF62-A942-95A3-39704FBCC01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5900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344</xdr:row>
      <xdr:rowOff>0</xdr:rowOff>
    </xdr:from>
    <xdr:ext cx="304800" cy="279400"/>
    <xdr:sp macro="" textlink="">
      <xdr:nvSpPr>
        <xdr:cNvPr id="429" name="AutoShape 3915" descr="alert toggle">
          <a:extLst>
            <a:ext uri="{FF2B5EF4-FFF2-40B4-BE49-F238E27FC236}">
              <a16:creationId xmlns:a16="http://schemas.microsoft.com/office/drawing/2014/main" id="{9CB7D8A2-0B52-A446-8385-EBEC72B5AE5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5900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354</xdr:row>
      <xdr:rowOff>0</xdr:rowOff>
    </xdr:from>
    <xdr:ext cx="304800" cy="279400"/>
    <xdr:sp macro="" textlink="">
      <xdr:nvSpPr>
        <xdr:cNvPr id="430" name="AutoShape 3918" descr="note-add">
          <a:extLst>
            <a:ext uri="{FF2B5EF4-FFF2-40B4-BE49-F238E27FC236}">
              <a16:creationId xmlns:a16="http://schemas.microsoft.com/office/drawing/2014/main" id="{5FE05552-6327-7A45-A724-54FD54EDC02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938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354</xdr:row>
      <xdr:rowOff>0</xdr:rowOff>
    </xdr:from>
    <xdr:ext cx="304800" cy="279400"/>
    <xdr:sp macro="" textlink="">
      <xdr:nvSpPr>
        <xdr:cNvPr id="431" name="AutoShape 3919" descr="alert toggle">
          <a:extLst>
            <a:ext uri="{FF2B5EF4-FFF2-40B4-BE49-F238E27FC236}">
              <a16:creationId xmlns:a16="http://schemas.microsoft.com/office/drawing/2014/main" id="{8E11B141-379A-6C41-8F15-F7B8AD9EACF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938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364</xdr:row>
      <xdr:rowOff>0</xdr:rowOff>
    </xdr:from>
    <xdr:ext cx="304800" cy="279400"/>
    <xdr:sp macro="" textlink="">
      <xdr:nvSpPr>
        <xdr:cNvPr id="432" name="AutoShape 3946" descr="note-add">
          <a:extLst>
            <a:ext uri="{FF2B5EF4-FFF2-40B4-BE49-F238E27FC236}">
              <a16:creationId xmlns:a16="http://schemas.microsoft.com/office/drawing/2014/main" id="{0DF9A791-87B9-3744-8283-E1985E93B180}"/>
            </a:ext>
          </a:extLst>
        </xdr:cNvPr>
        <xdr:cNvSpPr>
          <a:spLocks noChangeAspect="1" noChangeArrowheads="1"/>
        </xdr:cNvSpPr>
      </xdr:nvSpPr>
      <xdr:spPr bwMode="auto">
        <a:xfrm>
          <a:off x="49352200" y="3746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317500</xdr:colOff>
      <xdr:row>364</xdr:row>
      <xdr:rowOff>0</xdr:rowOff>
    </xdr:from>
    <xdr:ext cx="304800" cy="279400"/>
    <xdr:sp macro="" textlink="">
      <xdr:nvSpPr>
        <xdr:cNvPr id="433" name="AutoShape 3947" descr="alert toggle">
          <a:extLst>
            <a:ext uri="{FF2B5EF4-FFF2-40B4-BE49-F238E27FC236}">
              <a16:creationId xmlns:a16="http://schemas.microsoft.com/office/drawing/2014/main" id="{93250774-F838-0748-8D6B-1824551707ED}"/>
            </a:ext>
          </a:extLst>
        </xdr:cNvPr>
        <xdr:cNvSpPr>
          <a:spLocks noChangeAspect="1" noChangeArrowheads="1"/>
        </xdr:cNvSpPr>
      </xdr:nvSpPr>
      <xdr:spPr bwMode="auto">
        <a:xfrm>
          <a:off x="49669700" y="3746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376</xdr:row>
      <xdr:rowOff>0</xdr:rowOff>
    </xdr:from>
    <xdr:ext cx="304800" cy="279400"/>
    <xdr:sp macro="" textlink="">
      <xdr:nvSpPr>
        <xdr:cNvPr id="434" name="AutoShape 3962" descr="note-add">
          <a:extLst>
            <a:ext uri="{FF2B5EF4-FFF2-40B4-BE49-F238E27FC236}">
              <a16:creationId xmlns:a16="http://schemas.microsoft.com/office/drawing/2014/main" id="{E943715B-34F3-AC41-9250-55500658172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295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376</xdr:row>
      <xdr:rowOff>0</xdr:rowOff>
    </xdr:from>
    <xdr:ext cx="304800" cy="279400"/>
    <xdr:sp macro="" textlink="">
      <xdr:nvSpPr>
        <xdr:cNvPr id="435" name="AutoShape 3963" descr="alert toggle">
          <a:extLst>
            <a:ext uri="{FF2B5EF4-FFF2-40B4-BE49-F238E27FC236}">
              <a16:creationId xmlns:a16="http://schemas.microsoft.com/office/drawing/2014/main" id="{5C1818E7-4D23-A64A-8DC9-EDDFE62D009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295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378</xdr:row>
      <xdr:rowOff>0</xdr:rowOff>
    </xdr:from>
    <xdr:ext cx="304800" cy="279400"/>
    <xdr:sp macro="" textlink="">
      <xdr:nvSpPr>
        <xdr:cNvPr id="436" name="AutoShape 3966" descr="note-add">
          <a:extLst>
            <a:ext uri="{FF2B5EF4-FFF2-40B4-BE49-F238E27FC236}">
              <a16:creationId xmlns:a16="http://schemas.microsoft.com/office/drawing/2014/main" id="{2C1CA5DE-A5B1-7344-B220-53262C919D8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894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378</xdr:row>
      <xdr:rowOff>0</xdr:rowOff>
    </xdr:from>
    <xdr:ext cx="304800" cy="279400"/>
    <xdr:sp macro="" textlink="">
      <xdr:nvSpPr>
        <xdr:cNvPr id="437" name="AutoShape 3967" descr="alert toggle">
          <a:extLst>
            <a:ext uri="{FF2B5EF4-FFF2-40B4-BE49-F238E27FC236}">
              <a16:creationId xmlns:a16="http://schemas.microsoft.com/office/drawing/2014/main" id="{EF66B10B-79F6-6C4A-9B8C-8EBC087AF15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894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378</xdr:row>
      <xdr:rowOff>0</xdr:rowOff>
    </xdr:from>
    <xdr:ext cx="304800" cy="279400"/>
    <xdr:sp macro="" textlink="">
      <xdr:nvSpPr>
        <xdr:cNvPr id="438" name="AutoShape 3970" descr="note-add">
          <a:extLst>
            <a:ext uri="{FF2B5EF4-FFF2-40B4-BE49-F238E27FC236}">
              <a16:creationId xmlns:a16="http://schemas.microsoft.com/office/drawing/2014/main" id="{E3AAF2D6-DD0E-034F-94D5-3A32C97EC5B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894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378</xdr:row>
      <xdr:rowOff>0</xdr:rowOff>
    </xdr:from>
    <xdr:ext cx="304800" cy="279400"/>
    <xdr:sp macro="" textlink="">
      <xdr:nvSpPr>
        <xdr:cNvPr id="439" name="AutoShape 3971" descr="alert toggle">
          <a:extLst>
            <a:ext uri="{FF2B5EF4-FFF2-40B4-BE49-F238E27FC236}">
              <a16:creationId xmlns:a16="http://schemas.microsoft.com/office/drawing/2014/main" id="{19B45F3E-7A20-ED43-B07C-5ACB5938576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894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403</xdr:row>
      <xdr:rowOff>0</xdr:rowOff>
    </xdr:from>
    <xdr:ext cx="304800" cy="279400"/>
    <xdr:sp macro="" textlink="">
      <xdr:nvSpPr>
        <xdr:cNvPr id="440" name="AutoShape 3986" descr="note-add">
          <a:extLst>
            <a:ext uri="{FF2B5EF4-FFF2-40B4-BE49-F238E27FC236}">
              <a16:creationId xmlns:a16="http://schemas.microsoft.com/office/drawing/2014/main" id="{1E7A6FCF-580F-FB48-AE04-41376A73A55E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42354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317500</xdr:colOff>
      <xdr:row>403</xdr:row>
      <xdr:rowOff>0</xdr:rowOff>
    </xdr:from>
    <xdr:ext cx="304800" cy="279400"/>
    <xdr:sp macro="" textlink="">
      <xdr:nvSpPr>
        <xdr:cNvPr id="441" name="AutoShape 3987" descr="alert toggle">
          <a:extLst>
            <a:ext uri="{FF2B5EF4-FFF2-40B4-BE49-F238E27FC236}">
              <a16:creationId xmlns:a16="http://schemas.microsoft.com/office/drawing/2014/main" id="{69FCFF17-879F-3441-9F9A-357EAFB88339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42354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163</xdr:row>
      <xdr:rowOff>0</xdr:rowOff>
    </xdr:from>
    <xdr:to>
      <xdr:col>18</xdr:col>
      <xdr:colOff>304800</xdr:colOff>
      <xdr:row>164</xdr:row>
      <xdr:rowOff>114299</xdr:rowOff>
    </xdr:to>
    <xdr:sp macro="" textlink="">
      <xdr:nvSpPr>
        <xdr:cNvPr id="442" name="AutoShape 4098" descr="note-add">
          <a:extLst>
            <a:ext uri="{FF2B5EF4-FFF2-40B4-BE49-F238E27FC236}">
              <a16:creationId xmlns:a16="http://schemas.microsoft.com/office/drawing/2014/main" id="{64B54A9B-5C17-4F41-A29A-A52D0B99589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0236100"/>
          <a:ext cx="304800" cy="317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15</xdr:col>
      <xdr:colOff>0</xdr:colOff>
      <xdr:row>81</xdr:row>
      <xdr:rowOff>0</xdr:rowOff>
    </xdr:from>
    <xdr:ext cx="304800" cy="279400"/>
    <xdr:sp macro="" textlink="">
      <xdr:nvSpPr>
        <xdr:cNvPr id="443" name="AutoShape 4181" descr="note-add">
          <a:extLst>
            <a:ext uri="{FF2B5EF4-FFF2-40B4-BE49-F238E27FC236}">
              <a16:creationId xmlns:a16="http://schemas.microsoft.com/office/drawing/2014/main" id="{708C0D95-D100-0F47-9A87-8672DE586CA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109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81</xdr:row>
      <xdr:rowOff>0</xdr:rowOff>
    </xdr:from>
    <xdr:ext cx="304800" cy="279400"/>
    <xdr:sp macro="" textlink="">
      <xdr:nvSpPr>
        <xdr:cNvPr id="444" name="AutoShape 4182" descr="alert toggle">
          <a:extLst>
            <a:ext uri="{FF2B5EF4-FFF2-40B4-BE49-F238E27FC236}">
              <a16:creationId xmlns:a16="http://schemas.microsoft.com/office/drawing/2014/main" id="{39A7DC6A-AE63-D04C-9718-9775D814AA9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109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80</xdr:row>
      <xdr:rowOff>0</xdr:rowOff>
    </xdr:from>
    <xdr:ext cx="304800" cy="279400"/>
    <xdr:sp macro="" textlink="">
      <xdr:nvSpPr>
        <xdr:cNvPr id="445" name="AutoShape 4185" descr="note-add">
          <a:extLst>
            <a:ext uri="{FF2B5EF4-FFF2-40B4-BE49-F238E27FC236}">
              <a16:creationId xmlns:a16="http://schemas.microsoft.com/office/drawing/2014/main" id="{3F1C9040-08AE-6B42-B17D-84A7EA16F84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0020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80</xdr:row>
      <xdr:rowOff>0</xdr:rowOff>
    </xdr:from>
    <xdr:ext cx="304800" cy="279400"/>
    <xdr:sp macro="" textlink="">
      <xdr:nvSpPr>
        <xdr:cNvPr id="446" name="AutoShape 4186" descr="alert toggle">
          <a:extLst>
            <a:ext uri="{FF2B5EF4-FFF2-40B4-BE49-F238E27FC236}">
              <a16:creationId xmlns:a16="http://schemas.microsoft.com/office/drawing/2014/main" id="{3A88E922-3997-934C-9533-05A68C49FE7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0020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279400"/>
    <xdr:sp macro="" textlink="">
      <xdr:nvSpPr>
        <xdr:cNvPr id="447" name="AutoShape 4189" descr="note-add">
          <a:extLst>
            <a:ext uri="{FF2B5EF4-FFF2-40B4-BE49-F238E27FC236}">
              <a16:creationId xmlns:a16="http://schemas.microsoft.com/office/drawing/2014/main" id="{9B4B94F4-F8D6-4C4B-ACCF-173964D3F6D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7828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74</xdr:row>
      <xdr:rowOff>0</xdr:rowOff>
    </xdr:from>
    <xdr:ext cx="304800" cy="279400"/>
    <xdr:sp macro="" textlink="">
      <xdr:nvSpPr>
        <xdr:cNvPr id="448" name="AutoShape 4190" descr="alert toggle">
          <a:extLst>
            <a:ext uri="{FF2B5EF4-FFF2-40B4-BE49-F238E27FC236}">
              <a16:creationId xmlns:a16="http://schemas.microsoft.com/office/drawing/2014/main" id="{890E6C24-2383-4143-A997-AF32E2D61FA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7828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87</xdr:row>
      <xdr:rowOff>0</xdr:rowOff>
    </xdr:from>
    <xdr:ext cx="304800" cy="279400"/>
    <xdr:sp macro="" textlink="">
      <xdr:nvSpPr>
        <xdr:cNvPr id="449" name="AutoShape 4193" descr="note-add">
          <a:extLst>
            <a:ext uri="{FF2B5EF4-FFF2-40B4-BE49-F238E27FC236}">
              <a16:creationId xmlns:a16="http://schemas.microsoft.com/office/drawing/2014/main" id="{79A0D616-9257-8D44-B8C1-EB86F787C55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5539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87</xdr:row>
      <xdr:rowOff>0</xdr:rowOff>
    </xdr:from>
    <xdr:ext cx="304800" cy="279400"/>
    <xdr:sp macro="" textlink="">
      <xdr:nvSpPr>
        <xdr:cNvPr id="450" name="AutoShape 4194" descr="alert toggle">
          <a:extLst>
            <a:ext uri="{FF2B5EF4-FFF2-40B4-BE49-F238E27FC236}">
              <a16:creationId xmlns:a16="http://schemas.microsoft.com/office/drawing/2014/main" id="{B12447ED-6F8F-DF46-BEB0-B84B36DD946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5539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77</xdr:row>
      <xdr:rowOff>0</xdr:rowOff>
    </xdr:from>
    <xdr:ext cx="304800" cy="279400"/>
    <xdr:sp macro="" textlink="">
      <xdr:nvSpPr>
        <xdr:cNvPr id="451" name="AutoShape 4197" descr="note-add">
          <a:extLst>
            <a:ext uri="{FF2B5EF4-FFF2-40B4-BE49-F238E27FC236}">
              <a16:creationId xmlns:a16="http://schemas.microsoft.com/office/drawing/2014/main" id="{52B7219B-593C-794B-B28A-BE5295595DF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369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77</xdr:row>
      <xdr:rowOff>0</xdr:rowOff>
    </xdr:from>
    <xdr:ext cx="304800" cy="279400"/>
    <xdr:sp macro="" textlink="">
      <xdr:nvSpPr>
        <xdr:cNvPr id="452" name="AutoShape 4198" descr="alert toggle">
          <a:extLst>
            <a:ext uri="{FF2B5EF4-FFF2-40B4-BE49-F238E27FC236}">
              <a16:creationId xmlns:a16="http://schemas.microsoft.com/office/drawing/2014/main" id="{3C6E1FAD-F395-2947-A108-A0AAF67E2EE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369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79</xdr:row>
      <xdr:rowOff>0</xdr:rowOff>
    </xdr:from>
    <xdr:ext cx="304800" cy="279400"/>
    <xdr:sp macro="" textlink="">
      <xdr:nvSpPr>
        <xdr:cNvPr id="453" name="AutoShape 4201" descr="note-add">
          <a:extLst>
            <a:ext uri="{FF2B5EF4-FFF2-40B4-BE49-F238E27FC236}">
              <a16:creationId xmlns:a16="http://schemas.microsoft.com/office/drawing/2014/main" id="{60A033B2-E37A-CC4A-9D81-3BDB08C5485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894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79</xdr:row>
      <xdr:rowOff>0</xdr:rowOff>
    </xdr:from>
    <xdr:ext cx="304800" cy="279400"/>
    <xdr:sp macro="" textlink="">
      <xdr:nvSpPr>
        <xdr:cNvPr id="454" name="AutoShape 4202" descr="alert toggle">
          <a:extLst>
            <a:ext uri="{FF2B5EF4-FFF2-40B4-BE49-F238E27FC236}">
              <a16:creationId xmlns:a16="http://schemas.microsoft.com/office/drawing/2014/main" id="{2FCAC903-0CD8-7847-8F0C-522B7406272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894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26</xdr:row>
      <xdr:rowOff>0</xdr:rowOff>
    </xdr:from>
    <xdr:ext cx="304800" cy="279400"/>
    <xdr:sp macro="" textlink="">
      <xdr:nvSpPr>
        <xdr:cNvPr id="455" name="AutoShape 4371" descr="note-add">
          <a:extLst>
            <a:ext uri="{FF2B5EF4-FFF2-40B4-BE49-F238E27FC236}">
              <a16:creationId xmlns:a16="http://schemas.microsoft.com/office/drawing/2014/main" id="{79F4C5DE-BCA9-0944-8D11-3EC72A520B3F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570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26</xdr:row>
      <xdr:rowOff>0</xdr:rowOff>
    </xdr:from>
    <xdr:ext cx="304800" cy="279400"/>
    <xdr:sp macro="" textlink="">
      <xdr:nvSpPr>
        <xdr:cNvPr id="456" name="AutoShape 4372" descr="alert toggle">
          <a:extLst>
            <a:ext uri="{FF2B5EF4-FFF2-40B4-BE49-F238E27FC236}">
              <a16:creationId xmlns:a16="http://schemas.microsoft.com/office/drawing/2014/main" id="{F8D9C6AC-E0F7-1942-B166-8DF807B9F004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570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44</xdr:row>
      <xdr:rowOff>0</xdr:rowOff>
    </xdr:from>
    <xdr:ext cx="304800" cy="304800"/>
    <xdr:sp macro="" textlink="">
      <xdr:nvSpPr>
        <xdr:cNvPr id="457" name="AutoShape 4405" descr="note-add">
          <a:extLst>
            <a:ext uri="{FF2B5EF4-FFF2-40B4-BE49-F238E27FC236}">
              <a16:creationId xmlns:a16="http://schemas.microsoft.com/office/drawing/2014/main" id="{56715220-578D-A34C-93AA-B038DC56A3E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5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44</xdr:row>
      <xdr:rowOff>0</xdr:rowOff>
    </xdr:from>
    <xdr:ext cx="304800" cy="304800"/>
    <xdr:sp macro="" textlink="">
      <xdr:nvSpPr>
        <xdr:cNvPr id="458" name="AutoShape 4406" descr="alert toggle">
          <a:extLst>
            <a:ext uri="{FF2B5EF4-FFF2-40B4-BE49-F238E27FC236}">
              <a16:creationId xmlns:a16="http://schemas.microsoft.com/office/drawing/2014/main" id="{CCCFF7B8-EE19-2546-8403-DB50C27D5FA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5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279400"/>
    <xdr:sp macro="" textlink="">
      <xdr:nvSpPr>
        <xdr:cNvPr id="459" name="AutoShape 4409" descr="note-add">
          <a:extLst>
            <a:ext uri="{FF2B5EF4-FFF2-40B4-BE49-F238E27FC236}">
              <a16:creationId xmlns:a16="http://schemas.microsoft.com/office/drawing/2014/main" id="{71CA59E5-9631-D74A-8EDF-9B4BBF86C31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08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54</xdr:row>
      <xdr:rowOff>0</xdr:rowOff>
    </xdr:from>
    <xdr:ext cx="304800" cy="279400"/>
    <xdr:sp macro="" textlink="">
      <xdr:nvSpPr>
        <xdr:cNvPr id="460" name="AutoShape 4410" descr="alert toggle">
          <a:extLst>
            <a:ext uri="{FF2B5EF4-FFF2-40B4-BE49-F238E27FC236}">
              <a16:creationId xmlns:a16="http://schemas.microsoft.com/office/drawing/2014/main" id="{697677C6-6BAB-D340-BBB8-73FA64FF121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08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51</xdr:row>
      <xdr:rowOff>0</xdr:rowOff>
    </xdr:from>
    <xdr:ext cx="304800" cy="279399"/>
    <xdr:sp macro="" textlink="">
      <xdr:nvSpPr>
        <xdr:cNvPr id="461" name="AutoShape 4413" descr="note-add">
          <a:extLst>
            <a:ext uri="{FF2B5EF4-FFF2-40B4-BE49-F238E27FC236}">
              <a16:creationId xmlns:a16="http://schemas.microsoft.com/office/drawing/2014/main" id="{E6004A77-1894-8246-9DAC-0BA7B3D66963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3233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51</xdr:row>
      <xdr:rowOff>0</xdr:rowOff>
    </xdr:from>
    <xdr:ext cx="304800" cy="279399"/>
    <xdr:sp macro="" textlink="">
      <xdr:nvSpPr>
        <xdr:cNvPr id="462" name="AutoShape 4414" descr="alert toggle">
          <a:extLst>
            <a:ext uri="{FF2B5EF4-FFF2-40B4-BE49-F238E27FC236}">
              <a16:creationId xmlns:a16="http://schemas.microsoft.com/office/drawing/2014/main" id="{B1543EAB-83FB-F149-AF02-C03F53517BE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3233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52</xdr:row>
      <xdr:rowOff>0</xdr:rowOff>
    </xdr:from>
    <xdr:ext cx="304800" cy="279399"/>
    <xdr:sp macro="" textlink="">
      <xdr:nvSpPr>
        <xdr:cNvPr id="463" name="AutoShape 4417" descr="note-add">
          <a:extLst>
            <a:ext uri="{FF2B5EF4-FFF2-40B4-BE49-F238E27FC236}">
              <a16:creationId xmlns:a16="http://schemas.microsoft.com/office/drawing/2014/main" id="{B400C6D1-6CF3-DC40-8A47-B4DEE76A877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52780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52</xdr:row>
      <xdr:rowOff>0</xdr:rowOff>
    </xdr:from>
    <xdr:ext cx="304800" cy="279399"/>
    <xdr:sp macro="" textlink="">
      <xdr:nvSpPr>
        <xdr:cNvPr id="464" name="AutoShape 4418" descr="alert toggle">
          <a:extLst>
            <a:ext uri="{FF2B5EF4-FFF2-40B4-BE49-F238E27FC236}">
              <a16:creationId xmlns:a16="http://schemas.microsoft.com/office/drawing/2014/main" id="{5AE74C1E-2F8F-4B4F-AFD8-9BE29E0EB8B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52780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53</xdr:row>
      <xdr:rowOff>0</xdr:rowOff>
    </xdr:from>
    <xdr:ext cx="304800" cy="279399"/>
    <xdr:sp macro="" textlink="">
      <xdr:nvSpPr>
        <xdr:cNvPr id="465" name="AutoShape 4421" descr="note-add">
          <a:extLst>
            <a:ext uri="{FF2B5EF4-FFF2-40B4-BE49-F238E27FC236}">
              <a16:creationId xmlns:a16="http://schemas.microsoft.com/office/drawing/2014/main" id="{B0CE1DD5-F754-A244-B174-B87003202C2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63575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53</xdr:row>
      <xdr:rowOff>0</xdr:rowOff>
    </xdr:from>
    <xdr:ext cx="304800" cy="279399"/>
    <xdr:sp macro="" textlink="">
      <xdr:nvSpPr>
        <xdr:cNvPr id="466" name="AutoShape 4422" descr="alert toggle">
          <a:extLst>
            <a:ext uri="{FF2B5EF4-FFF2-40B4-BE49-F238E27FC236}">
              <a16:creationId xmlns:a16="http://schemas.microsoft.com/office/drawing/2014/main" id="{13E4E04A-F062-DD49-9BAE-F23E9858AF7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63575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279400"/>
    <xdr:sp macro="" textlink="">
      <xdr:nvSpPr>
        <xdr:cNvPr id="467" name="AutoShape 4425" descr="note-add">
          <a:extLst>
            <a:ext uri="{FF2B5EF4-FFF2-40B4-BE49-F238E27FC236}">
              <a16:creationId xmlns:a16="http://schemas.microsoft.com/office/drawing/2014/main" id="{DBFC57C1-6FB3-C44F-88C9-FA7BC1E9900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08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54</xdr:row>
      <xdr:rowOff>0</xdr:rowOff>
    </xdr:from>
    <xdr:ext cx="304800" cy="279400"/>
    <xdr:sp macro="" textlink="">
      <xdr:nvSpPr>
        <xdr:cNvPr id="468" name="AutoShape 4426" descr="alert toggle">
          <a:extLst>
            <a:ext uri="{FF2B5EF4-FFF2-40B4-BE49-F238E27FC236}">
              <a16:creationId xmlns:a16="http://schemas.microsoft.com/office/drawing/2014/main" id="{45F503CB-9C0A-6548-9903-8C60575C056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08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54</xdr:row>
      <xdr:rowOff>0</xdr:rowOff>
    </xdr:from>
    <xdr:ext cx="304800" cy="279400"/>
    <xdr:sp macro="" textlink="">
      <xdr:nvSpPr>
        <xdr:cNvPr id="469" name="AutoShape 4429" descr="note-add">
          <a:extLst>
            <a:ext uri="{FF2B5EF4-FFF2-40B4-BE49-F238E27FC236}">
              <a16:creationId xmlns:a16="http://schemas.microsoft.com/office/drawing/2014/main" id="{A6411E4E-0103-6D4A-B84D-52ADF19C7D0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08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54</xdr:row>
      <xdr:rowOff>0</xdr:rowOff>
    </xdr:from>
    <xdr:ext cx="304800" cy="279400"/>
    <xdr:sp macro="" textlink="">
      <xdr:nvSpPr>
        <xdr:cNvPr id="470" name="AutoShape 4430" descr="alert toggle">
          <a:extLst>
            <a:ext uri="{FF2B5EF4-FFF2-40B4-BE49-F238E27FC236}">
              <a16:creationId xmlns:a16="http://schemas.microsoft.com/office/drawing/2014/main" id="{0AE25ADA-E37D-6247-AE41-8657552546A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0891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56</xdr:row>
      <xdr:rowOff>0</xdr:rowOff>
    </xdr:from>
    <xdr:ext cx="304800" cy="279400"/>
    <xdr:sp macro="" textlink="">
      <xdr:nvSpPr>
        <xdr:cNvPr id="471" name="AutoShape 4433" descr="note-add">
          <a:extLst>
            <a:ext uri="{FF2B5EF4-FFF2-40B4-BE49-F238E27FC236}">
              <a16:creationId xmlns:a16="http://schemas.microsoft.com/office/drawing/2014/main" id="{F9512CFD-02B8-5843-A18C-2CBD9CC559B3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3210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56</xdr:row>
      <xdr:rowOff>0</xdr:rowOff>
    </xdr:from>
    <xdr:ext cx="304800" cy="279400"/>
    <xdr:sp macro="" textlink="">
      <xdr:nvSpPr>
        <xdr:cNvPr id="472" name="AutoShape 4434" descr="alert toggle">
          <a:extLst>
            <a:ext uri="{FF2B5EF4-FFF2-40B4-BE49-F238E27FC236}">
              <a16:creationId xmlns:a16="http://schemas.microsoft.com/office/drawing/2014/main" id="{1EC3E650-889B-384C-ABD7-E7EAB838794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3210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56</xdr:row>
      <xdr:rowOff>0</xdr:rowOff>
    </xdr:from>
    <xdr:ext cx="304800" cy="279400"/>
    <xdr:sp macro="" textlink="">
      <xdr:nvSpPr>
        <xdr:cNvPr id="473" name="AutoShape 4437" descr="note-add">
          <a:extLst>
            <a:ext uri="{FF2B5EF4-FFF2-40B4-BE49-F238E27FC236}">
              <a16:creationId xmlns:a16="http://schemas.microsoft.com/office/drawing/2014/main" id="{B3E41876-B914-4B40-98FD-7C581204A0B3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3210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56</xdr:row>
      <xdr:rowOff>0</xdr:rowOff>
    </xdr:from>
    <xdr:ext cx="304800" cy="279400"/>
    <xdr:sp macro="" textlink="">
      <xdr:nvSpPr>
        <xdr:cNvPr id="474" name="AutoShape 4438" descr="alert toggle">
          <a:extLst>
            <a:ext uri="{FF2B5EF4-FFF2-40B4-BE49-F238E27FC236}">
              <a16:creationId xmlns:a16="http://schemas.microsoft.com/office/drawing/2014/main" id="{31F89CF8-45F3-EE48-9FE6-70C04C74425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3210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226</xdr:row>
      <xdr:rowOff>0</xdr:rowOff>
    </xdr:from>
    <xdr:ext cx="304800" cy="305547"/>
    <xdr:sp macro="" textlink="">
      <xdr:nvSpPr>
        <xdr:cNvPr id="475" name="AutoShape 979" descr="note-add">
          <a:extLst>
            <a:ext uri="{FF2B5EF4-FFF2-40B4-BE49-F238E27FC236}">
              <a16:creationId xmlns:a16="http://schemas.microsoft.com/office/drawing/2014/main" id="{4336114D-7EA3-0D4C-AEA9-B80EC509ACB1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67437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226</xdr:row>
      <xdr:rowOff>0</xdr:rowOff>
    </xdr:from>
    <xdr:ext cx="304800" cy="305547"/>
    <xdr:sp macro="" textlink="">
      <xdr:nvSpPr>
        <xdr:cNvPr id="476" name="AutoShape 980" descr="alert toggle">
          <a:extLst>
            <a:ext uri="{FF2B5EF4-FFF2-40B4-BE49-F238E27FC236}">
              <a16:creationId xmlns:a16="http://schemas.microsoft.com/office/drawing/2014/main" id="{9ED38CEA-3078-C749-830E-EB9C0B828297}"/>
            </a:ext>
          </a:extLst>
        </xdr:cNvPr>
        <xdr:cNvSpPr>
          <a:spLocks noChangeAspect="1" noChangeArrowheads="1"/>
        </xdr:cNvSpPr>
      </xdr:nvSpPr>
      <xdr:spPr bwMode="auto">
        <a:xfrm>
          <a:off x="35699700" y="67437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57</xdr:row>
      <xdr:rowOff>0</xdr:rowOff>
    </xdr:from>
    <xdr:ext cx="304800" cy="277534"/>
    <xdr:sp macro="" textlink="">
      <xdr:nvSpPr>
        <xdr:cNvPr id="477" name="AutoShape 4405" descr="note-add">
          <a:extLst>
            <a:ext uri="{FF2B5EF4-FFF2-40B4-BE49-F238E27FC236}">
              <a16:creationId xmlns:a16="http://schemas.microsoft.com/office/drawing/2014/main" id="{C52BBB62-58D9-8B49-B13D-499C5AFCDD85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11341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317500</xdr:colOff>
      <xdr:row>57</xdr:row>
      <xdr:rowOff>0</xdr:rowOff>
    </xdr:from>
    <xdr:ext cx="304800" cy="277534"/>
    <xdr:sp macro="" textlink="">
      <xdr:nvSpPr>
        <xdr:cNvPr id="478" name="AutoShape 4406" descr="alert toggle">
          <a:extLst>
            <a:ext uri="{FF2B5EF4-FFF2-40B4-BE49-F238E27FC236}">
              <a16:creationId xmlns:a16="http://schemas.microsoft.com/office/drawing/2014/main" id="{55AC477F-1BD0-F346-A614-CDA72EC7A42A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11341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57</xdr:row>
      <xdr:rowOff>0</xdr:rowOff>
    </xdr:from>
    <xdr:ext cx="304800" cy="277534"/>
    <xdr:sp macro="" textlink="">
      <xdr:nvSpPr>
        <xdr:cNvPr id="479" name="AutoShape 4405" descr="note-add">
          <a:extLst>
            <a:ext uri="{FF2B5EF4-FFF2-40B4-BE49-F238E27FC236}">
              <a16:creationId xmlns:a16="http://schemas.microsoft.com/office/drawing/2014/main" id="{34961A4E-3142-8246-9ED8-6F92417A236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341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57</xdr:row>
      <xdr:rowOff>0</xdr:rowOff>
    </xdr:from>
    <xdr:ext cx="304800" cy="277534"/>
    <xdr:sp macro="" textlink="">
      <xdr:nvSpPr>
        <xdr:cNvPr id="480" name="AutoShape 4406" descr="alert toggle">
          <a:extLst>
            <a:ext uri="{FF2B5EF4-FFF2-40B4-BE49-F238E27FC236}">
              <a16:creationId xmlns:a16="http://schemas.microsoft.com/office/drawing/2014/main" id="{371E9345-A751-4C44-8EBC-C6CBA7E3EBE2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341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57</xdr:row>
      <xdr:rowOff>0</xdr:rowOff>
    </xdr:from>
    <xdr:ext cx="304800" cy="277534"/>
    <xdr:sp macro="" textlink="">
      <xdr:nvSpPr>
        <xdr:cNvPr id="481" name="AutoShape 4405" descr="note-add">
          <a:extLst>
            <a:ext uri="{FF2B5EF4-FFF2-40B4-BE49-F238E27FC236}">
              <a16:creationId xmlns:a16="http://schemas.microsoft.com/office/drawing/2014/main" id="{14BD338D-3053-D244-85A5-BFE011CA3D5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341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57</xdr:row>
      <xdr:rowOff>0</xdr:rowOff>
    </xdr:from>
    <xdr:ext cx="304800" cy="277534"/>
    <xdr:sp macro="" textlink="">
      <xdr:nvSpPr>
        <xdr:cNvPr id="482" name="AutoShape 4406" descr="alert toggle">
          <a:extLst>
            <a:ext uri="{FF2B5EF4-FFF2-40B4-BE49-F238E27FC236}">
              <a16:creationId xmlns:a16="http://schemas.microsoft.com/office/drawing/2014/main" id="{9E83A068-E4D7-C34B-BE12-551D021F8F3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341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57</xdr:row>
      <xdr:rowOff>0</xdr:rowOff>
    </xdr:from>
    <xdr:ext cx="304800" cy="277532"/>
    <xdr:sp macro="" textlink="">
      <xdr:nvSpPr>
        <xdr:cNvPr id="483" name="AutoShape 1051" descr="note-add">
          <a:extLst>
            <a:ext uri="{FF2B5EF4-FFF2-40B4-BE49-F238E27FC236}">
              <a16:creationId xmlns:a16="http://schemas.microsoft.com/office/drawing/2014/main" id="{0EA64498-A4CB-0D42-B5ED-E7AC38C010B2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113411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57</xdr:row>
      <xdr:rowOff>0</xdr:rowOff>
    </xdr:from>
    <xdr:ext cx="304800" cy="277532"/>
    <xdr:sp macro="" textlink="">
      <xdr:nvSpPr>
        <xdr:cNvPr id="484" name="AutoShape 1052" descr="alert toggle">
          <a:extLst>
            <a:ext uri="{FF2B5EF4-FFF2-40B4-BE49-F238E27FC236}">
              <a16:creationId xmlns:a16="http://schemas.microsoft.com/office/drawing/2014/main" id="{F960BC24-985A-BE4A-AB22-D7C98D102BB8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113411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39</xdr:row>
      <xdr:rowOff>0</xdr:rowOff>
    </xdr:from>
    <xdr:to>
      <xdr:col>8</xdr:col>
      <xdr:colOff>469900</xdr:colOff>
      <xdr:row>43</xdr:row>
      <xdr:rowOff>24657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35862A-AF46-C544-2891-7BB68C64F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7937500"/>
          <a:ext cx="7772400" cy="8374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iangichuhi/Downloads/Financial%20Irregularity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4.735152314817" createdVersion="8" refreshedVersion="8" minRefreshableVersion="3" recordCount="495" xr:uid="{1BC64C00-0211-8B43-BEF7-035AD1868454}">
  <cacheSource type="worksheet">
    <worksheetSource ref="A2:S408" sheet="Sheet 1" r:id="rId2"/>
  </cacheSource>
  <cacheFields count="14">
    <cacheField name="Team Name" numFmtId="0">
      <sharedItems count="140">
        <s v="Arsenal"/>
        <s v="Aston Villa"/>
        <s v="Brentford FC"/>
        <s v="Brighton &amp; Hove Albion"/>
        <s v="Burnley"/>
        <s v="Chelsea"/>
        <s v="Crystal Palace"/>
        <s v="Everton"/>
        <s v="Leeds United"/>
        <s v="Leicester City"/>
        <s v="Liverpool"/>
        <s v="Manchester City"/>
        <s v="Manchester United"/>
        <s v="Newcastle United"/>
        <s v="Norwich City"/>
        <s v="Southampton"/>
        <s v="Tottenham Hotspur"/>
        <s v="Watford"/>
        <s v="West Ham United"/>
        <s v="Wolverhampton Wanderers"/>
        <s v="Athletic Bilbao"/>
        <s v="Atlético Madrid"/>
        <s v="Barcelona"/>
        <s v="Cádiz"/>
        <s v="Celta Vigo"/>
        <s v="Deportivo Alavés"/>
        <s v="Elche"/>
        <s v="Espanyol"/>
        <s v="Getafe"/>
        <s v="Granada"/>
        <s v="Levante"/>
        <s v="Mallorca"/>
        <s v="Osasuna"/>
        <s v="Rayo Vallecano"/>
        <s v="Real Betis"/>
        <s v="Real Madrid"/>
        <s v="Real Sociedad"/>
        <s v="Sevilla"/>
        <s v="Valencia"/>
        <s v="Villarreal"/>
        <s v="AC Milan"/>
        <s v="Atalanta"/>
        <s v="Bologna"/>
        <s v="Cagliari"/>
        <s v="Empoli"/>
        <s v="Fiorentina"/>
        <s v="Genoa"/>
        <s v="Inter Milan"/>
        <s v="Juventus"/>
        <s v="Lazio"/>
        <s v="Napoli"/>
        <s v="Roma"/>
        <s v="Salernitana"/>
        <s v="Sampdoria"/>
        <s v="Sassuolo"/>
        <s v="Spezia"/>
        <s v="Torino"/>
        <s v="Udinese"/>
        <s v="Valeria"/>
        <s v="Verona"/>
        <s v="Adana Demirspor"/>
        <s v="Alanyaspor"/>
        <s v="Altay"/>
        <s v="Antalyaspor"/>
        <s v="Beşiktaş"/>
        <s v="Fatih Karagumruk"/>
        <s v="Fenerbahçe"/>
        <s v="Galatasaray"/>
        <s v="Gaziantep FK"/>
        <s v="Giresunspor"/>
        <s v="Göztepe"/>
        <s v="Hatayspor"/>
        <s v="Istanbul Başakşehir"/>
        <s v="Kasımpaşa"/>
        <s v="Kayserispor"/>
        <s v="Konyaspor"/>
        <s v="Rizespor"/>
        <s v="Sivasspor"/>
        <s v="Trabzonspor"/>
        <s v="Yeni Malatyaspor"/>
        <s v="Angers SCO"/>
        <s v="AS Monaco"/>
        <s v="AS Saint-Étienne"/>
        <s v="Clermont Foot"/>
        <s v="Metz"/>
        <s v="Nantes"/>
        <s v="Girondins de Bordeaux"/>
        <s v="Lille OSC"/>
        <s v="Lorient"/>
        <s v="Montpellier HSC"/>
        <s v="OGC Nice"/>
        <s v="Olympique de Marseille"/>
        <s v="Olympique Lyonnais (Lyon)"/>
        <s v="Paris Saint-Germain (PSG)"/>
        <s v="RC Lens"/>
        <s v="RC Strasbourg Alsace"/>
        <s v="Stade Brestois"/>
        <s v="Stade de Reims"/>
        <s v="Stade Rennais"/>
        <s v="Troyes AC"/>
        <s v="Fulham"/>
        <s v="Sheffield United"/>
        <s v="West Bromwich Albion"/>
        <s v="Alavés"/>
        <s v="Eibar"/>
        <s v="Huesca"/>
        <s v="Valladolid"/>
        <s v="Benevento"/>
        <s v="Crotone"/>
        <s v="Parma"/>
        <s v="Ankaragücü"/>
        <s v="BB Erzurumspor"/>
        <s v="Denizlispor"/>
        <s v="Gençlerbirliği"/>
        <s v="Dijon FCO"/>
        <s v="Nîmes Olympique"/>
        <s v="Bournemouth"/>
        <s v="Leganés"/>
        <s v="Brescia"/>
        <s v="Lecce"/>
        <s v="SPAL"/>
        <s v="Amiens SC"/>
        <s v="Toulouse"/>
        <s v="Cardiff City"/>
        <s v="Huddersfield Town"/>
        <s v="Girona"/>
        <s v="Chievo"/>
        <s v="Frosinone"/>
        <s v="Akhisarspor"/>
        <s v="Bursaspor"/>
        <s v="Caen"/>
        <s v="EA Guingamp"/>
        <s v="Stoke City"/>
        <s v="Swansea City"/>
        <s v="Deportivo La Coruña"/>
        <s v="Las Palmas"/>
        <s v="Málaga"/>
        <s v="Akhisar Belediyespor"/>
        <s v="Karabükspor"/>
        <s v="Osmanlispor"/>
      </sharedItems>
    </cacheField>
    <cacheField name="League" numFmtId="0">
      <sharedItems count="5">
        <s v="Premier League(England)"/>
        <s v="La Liga(Spain)"/>
        <s v="Serie A(Italy)"/>
        <s v="Süper Lig(Turkey)"/>
        <s v="Ligue 1(France)"/>
      </sharedItems>
    </cacheField>
    <cacheField name="Season" numFmtId="0">
      <sharedItems/>
    </cacheField>
    <cacheField name="Financial Irregularities(1=yes,0=no)" numFmtId="0">
      <sharedItems containsString="0" containsBlank="1" containsNumber="1" containsInteger="1" minValue="0" maxValue="1"/>
    </cacheField>
    <cacheField name="League Standing" numFmtId="0">
      <sharedItems containsSemiMixedTypes="0" containsString="0" containsNumber="1" containsInteger="1" minValue="1" maxValue="21"/>
    </cacheField>
    <cacheField name="Net profit(000,000s)" numFmtId="164">
      <sharedItems containsBlank="1" containsMixedTypes="1" containsNumber="1" containsInteger="1" minValue="-481318" maxValue="127307"/>
    </cacheField>
    <cacheField name="Number of employees" numFmtId="0">
      <sharedItems containsBlank="1" containsMixedTypes="1" containsNumber="1" containsInteger="1" minValue="12" maxValue="1412"/>
    </cacheField>
    <cacheField name="Debt(Loans and short term debt)(000,000s)" numFmtId="0">
      <sharedItems containsBlank="1" containsMixedTypes="1" containsNumber="1" containsInteger="1" minValue="0" maxValue="511433"/>
    </cacheField>
    <cacheField name="Total Assets(000,000s)" numFmtId="165">
      <sharedItems containsBlank="1" containsMixedTypes="1" containsNumber="1" containsInteger="1" minValue="136" maxValue="2269223"/>
    </cacheField>
    <cacheField name="Operating Revenue(000,000s)" numFmtId="0">
      <sharedItems containsBlank="1" containsMixedTypes="1" containsNumber="1" containsInteger="1" minValue="7540" maxValue="852171"/>
    </cacheField>
    <cacheField name="Total Equity(Shareholders funds)(000,000s)" numFmtId="0">
      <sharedItems containsBlank="1" containsMixedTypes="1" containsNumber="1" containsInteger="1" minValue="-450732" maxValue="843665"/>
    </cacheField>
    <cacheField name="Non Current Liabilities(000,000s)" numFmtId="165">
      <sharedItems containsBlank="1" containsMixedTypes="1" containsNumber="1" containsInteger="1" minValue="0" maxValue="1358642"/>
    </cacheField>
    <cacheField name="Current liabilities(000,000s)" numFmtId="165">
      <sharedItems containsBlank="1" containsMixedTypes="1" containsNumber="1" containsInteger="1" minValue="174" maxValue="970349"/>
    </cacheField>
    <cacheField name="Total Liabilities(000,000s)" numFmtId="165">
      <sharedItems containsBlank="1" containsMixedTypes="1" containsNumber="1" containsInteger="1" minValue="0" maxValue="1962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x v="0"/>
    <x v="0"/>
    <s v="21/22"/>
    <m/>
    <n v="5"/>
    <n v="-53447"/>
    <n v="649"/>
    <n v="0"/>
    <n v="978971"/>
    <n v="437033"/>
    <n v="225966"/>
    <n v="433857"/>
    <n v="319148"/>
    <n v="753005"/>
  </r>
  <r>
    <x v="1"/>
    <x v="0"/>
    <s v="21/22"/>
    <m/>
    <n v="14"/>
    <n v="7606"/>
    <n v="642"/>
    <n v="275311"/>
    <n v="298100"/>
    <n v="192418"/>
    <n v="-26169"/>
    <n v="0"/>
    <n v="324269"/>
    <n v="324269"/>
  </r>
  <r>
    <x v="2"/>
    <x v="0"/>
    <s v="21/22"/>
    <m/>
    <n v="13"/>
    <n v="29922"/>
    <n v="190"/>
    <n v="27324"/>
    <n v="206203"/>
    <n v="164274"/>
    <n v="55124"/>
    <n v="72809"/>
    <n v="78270"/>
    <n v="151079"/>
  </r>
  <r>
    <x v="3"/>
    <x v="0"/>
    <s v="21/22"/>
    <m/>
    <n v="9"/>
    <n v="31937"/>
    <n v="828"/>
    <n v="395201"/>
    <n v="268811"/>
    <n v="195186"/>
    <n v="-246287"/>
    <n v="12695"/>
    <n v="502403"/>
    <n v="515098"/>
  </r>
  <r>
    <x v="4"/>
    <x v="0"/>
    <s v="21/22"/>
    <m/>
    <n v="18"/>
    <n v="37289"/>
    <n v="273"/>
    <n v="20059"/>
    <n v="275120"/>
    <n v="147416"/>
    <n v="129364"/>
    <n v="38369"/>
    <n v="107387"/>
    <n v="145756"/>
  </r>
  <r>
    <x v="5"/>
    <x v="0"/>
    <s v="21/22"/>
    <n v="1"/>
    <n v="3"/>
    <n v="-141389"/>
    <n v="788"/>
    <n v="0"/>
    <n v="1018943"/>
    <n v="561066"/>
    <n v="513909"/>
    <n v="93836"/>
    <n v="411198"/>
    <n v="505034"/>
  </r>
  <r>
    <x v="6"/>
    <x v="0"/>
    <s v="21/22"/>
    <m/>
    <n v="12"/>
    <n v="-27431"/>
    <n v="295"/>
    <n v="30000"/>
    <n v="174732"/>
    <n v="159999"/>
    <n v="-6770"/>
    <n v="63286"/>
    <n v="93961"/>
    <n v="157247"/>
  </r>
  <r>
    <x v="7"/>
    <x v="0"/>
    <s v="21/22"/>
    <m/>
    <n v="16"/>
    <n v="-52148"/>
    <n v="442"/>
    <n v="16825"/>
    <n v="629231"/>
    <n v="211015"/>
    <n v="273219"/>
    <n v="208672"/>
    <n v="147340"/>
    <n v="356012"/>
  </r>
  <r>
    <x v="8"/>
    <x v="0"/>
    <s v="21/22"/>
    <m/>
    <n v="17"/>
    <n v="-42796"/>
    <n v="999"/>
    <n v="58339"/>
    <n v="227263"/>
    <n v="220574"/>
    <n v="-69890"/>
    <n v="106058"/>
    <n v="191094"/>
    <n v="297152"/>
  </r>
  <r>
    <x v="9"/>
    <x v="0"/>
    <s v="21/22"/>
    <m/>
    <n v="8"/>
    <n v="-108693"/>
    <n v="467"/>
    <n v="60426"/>
    <n v="519908"/>
    <n v="252168"/>
    <n v="-52713"/>
    <n v="403931"/>
    <n v="168690"/>
    <n v="572621"/>
  </r>
  <r>
    <x v="10"/>
    <x v="0"/>
    <s v="21/22"/>
    <m/>
    <n v="2"/>
    <n v="2863"/>
    <n v="1005"/>
    <n v="83903"/>
    <n v="795698"/>
    <n v="698336"/>
    <n v="236984"/>
    <n v="174231"/>
    <n v="384483"/>
    <n v="558714"/>
  </r>
  <r>
    <x v="11"/>
    <x v="0"/>
    <s v="21/22"/>
    <m/>
    <n v="1"/>
    <n v="48644"/>
    <n v="549"/>
    <n v="57831"/>
    <n v="1500921"/>
    <n v="714642"/>
    <n v="813751"/>
    <n v="152122"/>
    <n v="535047"/>
    <n v="687169"/>
  </r>
  <r>
    <x v="12"/>
    <x v="0"/>
    <s v="21/22"/>
    <n v="1"/>
    <n v="6"/>
    <n v="-134660"/>
    <n v="1035"/>
    <n v="0"/>
    <n v="1508134"/>
    <n v="679887"/>
    <n v="148647"/>
    <n v="782609"/>
    <n v="576879"/>
    <n v="1359488"/>
  </r>
  <r>
    <x v="13"/>
    <x v="0"/>
    <s v="21/22"/>
    <m/>
    <n v="11"/>
    <n v="-82363"/>
    <n v="289"/>
    <n v="11335"/>
    <n v="339603"/>
    <n v="209825"/>
    <n v="112786"/>
    <n v="56670"/>
    <n v="170147"/>
    <n v="226817"/>
  </r>
  <r>
    <x v="14"/>
    <x v="0"/>
    <s v="21/22"/>
    <m/>
    <n v="20"/>
    <n v="-20823"/>
    <n v="354"/>
    <n v="27370"/>
    <n v="162770"/>
    <n v="156062"/>
    <n v="3156"/>
    <n v="62341"/>
    <n v="97273"/>
    <n v="159614"/>
  </r>
  <r>
    <x v="15"/>
    <x v="0"/>
    <s v="21/22"/>
    <m/>
    <n v="15"/>
    <n v="-5080"/>
    <n v="408"/>
    <n v="91980"/>
    <n v="201373"/>
    <n v="175600"/>
    <n v="-1983"/>
    <n v="41669"/>
    <n v="161687"/>
    <n v="203356"/>
  </r>
  <r>
    <x v="16"/>
    <x v="0"/>
    <s v="21/22"/>
    <m/>
    <n v="4"/>
    <n v="-58426"/>
    <n v="719"/>
    <n v="2376"/>
    <n v="2168768"/>
    <n v="516926"/>
    <n v="206628"/>
    <n v="1358642"/>
    <n v="603497"/>
    <n v="1962139"/>
  </r>
  <r>
    <x v="17"/>
    <x v="0"/>
    <s v="21/22"/>
    <m/>
    <n v="19"/>
    <n v="-20633"/>
    <n v="361"/>
    <n v="41975"/>
    <n v="258762"/>
    <n v="149330"/>
    <n v="-40720"/>
    <n v="146379"/>
    <n v="153102"/>
    <n v="299481"/>
  </r>
  <r>
    <x v="18"/>
    <x v="0"/>
    <s v="21/22"/>
    <m/>
    <n v="7"/>
    <n v="13593"/>
    <n v="725"/>
    <n v="249900"/>
    <n v="319320"/>
    <n v="295883"/>
    <n v="-180247"/>
    <n v="122467"/>
    <n v="377100"/>
    <n v="499567"/>
  </r>
  <r>
    <x v="19"/>
    <x v="0"/>
    <s v="21/22"/>
    <n v="0"/>
    <n v="10"/>
    <n v="-50635"/>
    <n v="424"/>
    <n v="243622"/>
    <n v="336894"/>
    <n v="194668"/>
    <n v="-116786"/>
    <n v="121301"/>
    <n v="332379"/>
    <n v="453680"/>
  </r>
  <r>
    <x v="20"/>
    <x v="1"/>
    <s v="21/22"/>
    <m/>
    <n v="8"/>
    <n v="-10620"/>
    <n v="327"/>
    <n v="1379"/>
    <n v="2307"/>
    <n v="96550"/>
    <n v="103403"/>
    <n v="60877"/>
    <n v="60434"/>
    <n v="121311"/>
  </r>
  <r>
    <x v="21"/>
    <x v="1"/>
    <s v="21/22"/>
    <m/>
    <n v="3"/>
    <n v="-25176"/>
    <n v="1193"/>
    <n v="49911"/>
    <n v="990781"/>
    <n v="428341"/>
    <n v="68510"/>
    <n v="541190"/>
    <n v="381081"/>
    <n v="922271"/>
  </r>
  <r>
    <x v="22"/>
    <x v="1"/>
    <s v="21/22"/>
    <n v="1"/>
    <n v="2"/>
    <n v="97577"/>
    <n v="1392"/>
    <n v="175306"/>
    <n v="1401607"/>
    <n v="638838"/>
    <n v="-353213"/>
    <n v="914154"/>
    <n v="840666"/>
    <n v="1754820"/>
  </r>
  <r>
    <x v="23"/>
    <x v="1"/>
    <s v="21/22"/>
    <m/>
    <n v="17"/>
    <n v="660"/>
    <n v="273"/>
    <n v="946"/>
    <n v="1654"/>
    <n v="53760"/>
    <n v="-39547"/>
    <n v="35433"/>
    <n v="5768"/>
    <n v="41201"/>
  </r>
  <r>
    <x v="24"/>
    <x v="1"/>
    <s v="21/22"/>
    <m/>
    <n v="11"/>
    <n v="-770"/>
    <n v="301"/>
    <n v="1224"/>
    <n v="2774"/>
    <n v="70940"/>
    <n v="-54268"/>
    <n v="54675"/>
    <n v="2367"/>
    <n v="57042"/>
  </r>
  <r>
    <x v="25"/>
    <x v="1"/>
    <s v="21/22"/>
    <m/>
    <n v="20"/>
    <m/>
    <m/>
    <m/>
    <m/>
    <m/>
    <m/>
    <m/>
    <m/>
    <n v="0"/>
  </r>
  <r>
    <x v="26"/>
    <x v="1"/>
    <s v="21/22"/>
    <m/>
    <n v="13"/>
    <n v="11970"/>
    <n v="291"/>
    <n v="965"/>
    <n v="1457"/>
    <n v="53940"/>
    <n v="-144"/>
    <n v="1427"/>
    <n v="174"/>
    <n v="1601"/>
  </r>
  <r>
    <x v="27"/>
    <x v="1"/>
    <s v="21/22"/>
    <m/>
    <n v="14"/>
    <n v="13485"/>
    <n v="324"/>
    <n v="7546"/>
    <n v="287359"/>
    <n v="171946"/>
    <n v="146638"/>
    <n v="93076"/>
    <n v="47645"/>
    <n v="140721"/>
  </r>
  <r>
    <x v="28"/>
    <x v="1"/>
    <s v="21/22"/>
    <m/>
    <n v="15"/>
    <n v="-743"/>
    <n v="394"/>
    <n v="1441"/>
    <n v="267563"/>
    <n v="182958"/>
    <n v="80193"/>
    <n v="81987"/>
    <n v="105382"/>
    <n v="187369"/>
  </r>
  <r>
    <x v="29"/>
    <x v="1"/>
    <s v="21/22"/>
    <m/>
    <n v="18"/>
    <m/>
    <m/>
    <m/>
    <m/>
    <m/>
    <m/>
    <m/>
    <m/>
    <n v="0"/>
  </r>
  <r>
    <x v="30"/>
    <x v="1"/>
    <s v="21/22"/>
    <m/>
    <n v="19"/>
    <m/>
    <m/>
    <m/>
    <m/>
    <m/>
    <m/>
    <m/>
    <m/>
    <n v="0"/>
  </r>
  <r>
    <x v="31"/>
    <x v="1"/>
    <s v="21/22"/>
    <m/>
    <n v="16"/>
    <n v="-920"/>
    <n v="173"/>
    <n v="674"/>
    <n v="179"/>
    <n v="14210"/>
    <n v="-1322"/>
    <n v="645"/>
    <n v="856"/>
    <n v="1501"/>
  </r>
  <r>
    <x v="32"/>
    <x v="1"/>
    <s v="21/22"/>
    <m/>
    <n v="10"/>
    <n v="1340"/>
    <n v="323"/>
    <n v="886"/>
    <n v="2448"/>
    <n v="63820"/>
    <n v="806"/>
    <n v="1178"/>
    <n v="464"/>
    <n v="1642"/>
  </r>
  <r>
    <x v="33"/>
    <x v="1"/>
    <s v="21/22"/>
    <m/>
    <n v="12"/>
    <n v="-7070"/>
    <n v="98"/>
    <n v="476"/>
    <n v="136"/>
    <n v="10430"/>
    <n v="-1261"/>
    <n v="689"/>
    <n v="708"/>
    <n v="1397"/>
  </r>
  <r>
    <x v="34"/>
    <x v="1"/>
    <s v="21/22"/>
    <n v="1"/>
    <n v="5"/>
    <n v="-38239"/>
    <n v="450"/>
    <n v="39946"/>
    <n v="168000"/>
    <n v="122634"/>
    <n v="-70013"/>
    <n v="82885"/>
    <n v="155129"/>
    <n v="238014"/>
  </r>
  <r>
    <x v="35"/>
    <x v="1"/>
    <s v="21/22"/>
    <m/>
    <n v="1"/>
    <n v="12936"/>
    <n v="894"/>
    <n v="38356"/>
    <n v="2269223"/>
    <n v="719778"/>
    <n v="546447"/>
    <n v="1096046"/>
    <n v="626730"/>
    <n v="1722776"/>
  </r>
  <r>
    <x v="36"/>
    <x v="1"/>
    <s v="21/22"/>
    <m/>
    <n v="6"/>
    <m/>
    <m/>
    <m/>
    <m/>
    <m/>
    <m/>
    <m/>
    <m/>
    <n v="0"/>
  </r>
  <r>
    <x v="37"/>
    <x v="1"/>
    <s v="21/22"/>
    <m/>
    <n v="4"/>
    <m/>
    <n v="524"/>
    <n v="95635"/>
    <n v="856765"/>
    <n v="385863"/>
    <n v="118883"/>
    <n v="478007"/>
    <n v="259875"/>
    <n v="737882"/>
  </r>
  <r>
    <x v="38"/>
    <x v="1"/>
    <s v="21/22"/>
    <m/>
    <n v="9"/>
    <n v="-46097"/>
    <n v="413"/>
    <n v="21489"/>
    <n v="381458"/>
    <n v="110179"/>
    <n v="6578"/>
    <n v="192361"/>
    <n v="182519"/>
    <n v="374880"/>
  </r>
  <r>
    <x v="39"/>
    <x v="1"/>
    <s v="21/22"/>
    <m/>
    <n v="7"/>
    <n v="-17890"/>
    <n v="432"/>
    <n v="54678"/>
    <n v="575652"/>
    <n v="128450"/>
    <n v="296284"/>
    <n v="102567"/>
    <n v="176801"/>
    <n v="279368"/>
  </r>
  <r>
    <x v="40"/>
    <x v="2"/>
    <s v="21/22"/>
    <n v="1"/>
    <n v="1"/>
    <n v="-66537"/>
    <n v="427"/>
    <n v="25961"/>
    <n v="502899"/>
    <n v="297592"/>
    <n v="131230"/>
    <n v="139040"/>
    <n v="232629"/>
    <n v="371669"/>
  </r>
  <r>
    <x v="41"/>
    <x v="2"/>
    <s v="21/22"/>
    <m/>
    <n v="8"/>
    <n v="11100"/>
    <n v="187"/>
    <n v="864"/>
    <n v="355940"/>
    <n v="119598"/>
    <n v="177208"/>
    <n v="91148"/>
    <n v="87584"/>
    <n v="178732"/>
  </r>
  <r>
    <x v="42"/>
    <x v="2"/>
    <s v="21/22"/>
    <m/>
    <n v="13"/>
    <n v="-46694"/>
    <n v="204"/>
    <n v="4342"/>
    <n v="110359"/>
    <n v="80380"/>
    <n v="9348"/>
    <n v="36212"/>
    <n v="64799"/>
    <n v="101011"/>
  </r>
  <r>
    <x v="43"/>
    <x v="2"/>
    <s v="21/22"/>
    <m/>
    <n v="18"/>
    <m/>
    <m/>
    <m/>
    <m/>
    <m/>
    <m/>
    <m/>
    <m/>
    <n v="0"/>
  </r>
  <r>
    <x v="44"/>
    <x v="2"/>
    <s v="21/22"/>
    <m/>
    <n v="14"/>
    <n v="-3530"/>
    <n v="192"/>
    <n v="2564"/>
    <n v="254565"/>
    <n v="70910"/>
    <n v="38562"/>
    <n v="275668"/>
    <n v="78589"/>
    <n v="354257"/>
  </r>
  <r>
    <x v="45"/>
    <x v="2"/>
    <s v="21/22"/>
    <m/>
    <n v="7"/>
    <n v="46830"/>
    <n v="246"/>
    <n v="0"/>
    <n v="366000"/>
    <n v="232353"/>
    <n v="218092"/>
    <n v="49512"/>
    <n v="98397"/>
    <n v="147909"/>
  </r>
  <r>
    <x v="46"/>
    <x v="2"/>
    <s v="21/22"/>
    <m/>
    <n v="19"/>
    <n v="-61729"/>
    <n v="185"/>
    <n v="37917"/>
    <n v="307120"/>
    <n v="81016"/>
    <n v="5401"/>
    <n v="134149"/>
    <n v="167570"/>
    <n v="301719"/>
  </r>
  <r>
    <x v="47"/>
    <x v="2"/>
    <s v="21/22"/>
    <n v="1"/>
    <n v="2"/>
    <n v="-140056"/>
    <n v="498"/>
    <n v="52"/>
    <n v="871065"/>
    <n v="439222"/>
    <n v="-86605"/>
    <n v="613642"/>
    <n v="344028"/>
    <n v="957670"/>
  </r>
  <r>
    <x v="48"/>
    <x v="2"/>
    <s v="21/22"/>
    <n v="1"/>
    <n v="4"/>
    <n v="-254313"/>
    <n v="281"/>
    <n v="10058"/>
    <n v="931695"/>
    <n v="444543"/>
    <n v="169434"/>
    <n v="382773"/>
    <n v="379488"/>
    <n v="762261"/>
  </r>
  <r>
    <x v="49"/>
    <x v="2"/>
    <s v="21/22"/>
    <m/>
    <n v="5"/>
    <n v="-22345"/>
    <n v="176"/>
    <n v="1090"/>
    <n v="322649"/>
    <n v="113449"/>
    <n v="58644"/>
    <n v="101049"/>
    <n v="162956"/>
    <n v="264005"/>
  </r>
  <r>
    <x v="50"/>
    <x v="2"/>
    <s v="21/22"/>
    <m/>
    <n v="3"/>
    <n v="-51951"/>
    <n v="113"/>
    <n v="356"/>
    <n v="355181"/>
    <n v="175995"/>
    <n v="68831"/>
    <n v="125968"/>
    <n v="160383"/>
    <n v="286351"/>
  </r>
  <r>
    <x v="51"/>
    <x v="2"/>
    <s v="21/22"/>
    <n v="1"/>
    <n v="6"/>
    <n v="-219291"/>
    <n v="455"/>
    <n v="20531"/>
    <n v="363226"/>
    <n v="205875"/>
    <n v="-340367"/>
    <n v="460299"/>
    <n v="243294"/>
    <n v="703593"/>
  </r>
  <r>
    <x v="52"/>
    <x v="2"/>
    <s v="21/22"/>
    <m/>
    <n v="17"/>
    <n v="-4350"/>
    <n v="103"/>
    <n v="587"/>
    <n v="125465"/>
    <n v="14756"/>
    <n v="-27591"/>
    <n v="90680"/>
    <n v="62376"/>
    <n v="153056"/>
  </r>
  <r>
    <x v="53"/>
    <x v="2"/>
    <s v="21/22"/>
    <m/>
    <n v="15"/>
    <n v="-36748"/>
    <n v="197"/>
    <n v="56552"/>
    <n v="265058"/>
    <n v="77784"/>
    <n v="12756"/>
    <n v="91614"/>
    <n v="160688"/>
    <n v="252302"/>
  </r>
  <r>
    <x v="54"/>
    <x v="2"/>
    <s v="21/22"/>
    <m/>
    <n v="11"/>
    <n v="1384"/>
    <n v="228"/>
    <n v="23893"/>
    <n v="239922"/>
    <n v="138988"/>
    <n v="27714"/>
    <n v="81654"/>
    <n v="130554"/>
    <n v="212208"/>
  </r>
  <r>
    <x v="55"/>
    <x v="2"/>
    <s v="21/22"/>
    <m/>
    <n v="16"/>
    <n v="-17710"/>
    <n v="134"/>
    <n v="10344"/>
    <n v="178089"/>
    <n v="39070"/>
    <n v="42535"/>
    <n v="97889"/>
    <n v="37665"/>
    <n v="135554"/>
  </r>
  <r>
    <x v="56"/>
    <x v="2"/>
    <s v="21/22"/>
    <m/>
    <n v="10"/>
    <n v="-6831"/>
    <n v="172"/>
    <n v="5000"/>
    <n v="185966"/>
    <n v="112700"/>
    <n v="14265"/>
    <n v="95244"/>
    <n v="76457"/>
    <n v="171701"/>
  </r>
  <r>
    <x v="57"/>
    <x v="2"/>
    <s v="21/22"/>
    <m/>
    <n v="12"/>
    <n v="-69053"/>
    <n v="179"/>
    <n v="15942"/>
    <n v="326937"/>
    <n v="78080"/>
    <n v="127228"/>
    <n v="100533"/>
    <n v="99175"/>
    <n v="199708"/>
  </r>
  <r>
    <x v="58"/>
    <x v="2"/>
    <s v="21/22"/>
    <m/>
    <n v="20"/>
    <m/>
    <m/>
    <m/>
    <m/>
    <m/>
    <m/>
    <m/>
    <m/>
    <n v="0"/>
  </r>
  <r>
    <x v="59"/>
    <x v="2"/>
    <s v="21/22"/>
    <m/>
    <n v="9"/>
    <n v="-5061"/>
    <n v="218"/>
    <n v="576"/>
    <n v="256671"/>
    <n v="84550"/>
    <n v="-165566"/>
    <n v="256770"/>
    <n v="165467"/>
    <n v="422237"/>
  </r>
  <r>
    <x v="60"/>
    <x v="3"/>
    <s v="21/22"/>
    <n v="1"/>
    <n v="9"/>
    <n v="-42323"/>
    <n v="134"/>
    <n v="56223"/>
    <n v="107645"/>
    <n v="47463"/>
    <n v="-58949"/>
    <n v="128952"/>
    <n v="37642"/>
    <n v="166594"/>
  </r>
  <r>
    <x v="61"/>
    <x v="3"/>
    <s v="21/22"/>
    <m/>
    <n v="5"/>
    <n v="-89654"/>
    <m/>
    <n v="65489"/>
    <n v="122895"/>
    <n v="87423"/>
    <n v="-46941"/>
    <m/>
    <m/>
    <n v="169836"/>
  </r>
  <r>
    <x v="62"/>
    <x v="3"/>
    <s v="21/22"/>
    <m/>
    <n v="18"/>
    <n v="-45623"/>
    <n v="94"/>
    <n v="26356"/>
    <n v="65234"/>
    <n v="36743"/>
    <n v="-23854"/>
    <n v="62545"/>
    <n v="26543"/>
    <n v="89088"/>
  </r>
  <r>
    <x v="63"/>
    <x v="3"/>
    <s v="21/22"/>
    <m/>
    <n v="7"/>
    <n v="24645"/>
    <m/>
    <n v="74563"/>
    <n v="190445"/>
    <n v="63924"/>
    <n v="-78491"/>
    <m/>
    <m/>
    <n v="268936"/>
  </r>
  <r>
    <x v="64"/>
    <x v="3"/>
    <s v="21/22"/>
    <n v="1"/>
    <n v="6"/>
    <n v="-40875"/>
    <n v="344"/>
    <n v="9533"/>
    <n v="135308"/>
    <n v="65169"/>
    <n v="-137588"/>
    <n v="204231"/>
    <n v="68665"/>
    <n v="272896"/>
  </r>
  <r>
    <x v="65"/>
    <x v="3"/>
    <s v="21/22"/>
    <m/>
    <n v="8"/>
    <n v="5493"/>
    <m/>
    <n v="98754"/>
    <n v="98522"/>
    <n v="36454"/>
    <n v="-88412"/>
    <m/>
    <m/>
    <n v="186934"/>
  </r>
  <r>
    <x v="66"/>
    <x v="3"/>
    <s v="21/22"/>
    <m/>
    <n v="2"/>
    <n v="-16925"/>
    <n v="497"/>
    <n v="39383"/>
    <n v="205736"/>
    <n v="74504"/>
    <n v="-74228"/>
    <n v="195462"/>
    <n v="84503"/>
    <n v="279965"/>
  </r>
  <r>
    <x v="67"/>
    <x v="3"/>
    <s v="21/22"/>
    <m/>
    <n v="13"/>
    <n v="-21524"/>
    <n v="631"/>
    <n v="27922"/>
    <n v="173992"/>
    <n v="69585"/>
    <n v="-64673"/>
    <n v="147776"/>
    <n v="90889"/>
    <n v="238665"/>
  </r>
  <r>
    <x v="68"/>
    <x v="3"/>
    <s v="21/22"/>
    <m/>
    <n v="15"/>
    <m/>
    <m/>
    <m/>
    <m/>
    <m/>
    <m/>
    <m/>
    <m/>
    <n v="0"/>
  </r>
  <r>
    <x v="69"/>
    <x v="3"/>
    <s v="21/22"/>
    <m/>
    <n v="16"/>
    <n v="-53454"/>
    <n v="124"/>
    <n v="5324"/>
    <n v="70135"/>
    <n v="20345"/>
    <n v="-45079"/>
    <n v="89765"/>
    <n v="25449"/>
    <n v="115214"/>
  </r>
  <r>
    <x v="70"/>
    <x v="3"/>
    <s v="21/22"/>
    <m/>
    <n v="19"/>
    <m/>
    <m/>
    <m/>
    <m/>
    <m/>
    <m/>
    <m/>
    <m/>
    <n v="0"/>
  </r>
  <r>
    <x v="71"/>
    <x v="3"/>
    <s v="21/22"/>
    <m/>
    <n v="12"/>
    <n v="-75349"/>
    <m/>
    <n v="54373"/>
    <n v="134953"/>
    <n v="89763"/>
    <n v="300"/>
    <m/>
    <m/>
    <n v="134653"/>
  </r>
  <r>
    <x v="72"/>
    <x v="3"/>
    <s v="21/22"/>
    <n v="1"/>
    <n v="4"/>
    <n v="-65973"/>
    <m/>
    <n v="49567"/>
    <n v="129836"/>
    <n v="89365"/>
    <n v="-54757"/>
    <m/>
    <m/>
    <n v="184593"/>
  </r>
  <r>
    <x v="73"/>
    <x v="3"/>
    <s v="21/22"/>
    <m/>
    <n v="11"/>
    <n v="-57432"/>
    <m/>
    <n v="35684"/>
    <n v="178354"/>
    <n v="45893"/>
    <n v="32710"/>
    <m/>
    <m/>
    <n v="145644"/>
  </r>
  <r>
    <x v="74"/>
    <x v="3"/>
    <s v="21/22"/>
    <m/>
    <n v="14"/>
    <n v="6323"/>
    <m/>
    <n v="64285"/>
    <n v="124536"/>
    <n v="56446"/>
    <n v="9191"/>
    <m/>
    <m/>
    <n v="115345"/>
  </r>
  <r>
    <x v="75"/>
    <x v="3"/>
    <s v="21/22"/>
    <m/>
    <n v="3"/>
    <n v="-17638"/>
    <m/>
    <n v="82976"/>
    <n v="254664"/>
    <n v="89354"/>
    <n v="-9869"/>
    <m/>
    <m/>
    <n v="264533"/>
  </r>
  <r>
    <x v="76"/>
    <x v="3"/>
    <s v="21/22"/>
    <m/>
    <n v="17"/>
    <m/>
    <m/>
    <m/>
    <m/>
    <m/>
    <m/>
    <m/>
    <m/>
    <n v="0"/>
  </r>
  <r>
    <x v="77"/>
    <x v="3"/>
    <s v="21/22"/>
    <m/>
    <n v="10"/>
    <m/>
    <m/>
    <m/>
    <m/>
    <m/>
    <m/>
    <m/>
    <m/>
    <n v="0"/>
  </r>
  <r>
    <x v="78"/>
    <x v="3"/>
    <s v="21/22"/>
    <n v="1"/>
    <n v="1"/>
    <n v="-19116"/>
    <n v="139"/>
    <n v="11593"/>
    <n v="91271"/>
    <n v="44720"/>
    <n v="-45578"/>
    <n v="82754"/>
    <n v="54095"/>
    <n v="136849"/>
  </r>
  <r>
    <x v="79"/>
    <x v="3"/>
    <s v="21/22"/>
    <m/>
    <n v="20"/>
    <m/>
    <m/>
    <m/>
    <m/>
    <m/>
    <m/>
    <m/>
    <m/>
    <n v="0"/>
  </r>
  <r>
    <x v="80"/>
    <x v="4"/>
    <s v="21/22"/>
    <m/>
    <n v="14"/>
    <n v="8715"/>
    <m/>
    <n v="12735"/>
    <n v="32486"/>
    <n v="35202"/>
    <n v="2460"/>
    <m/>
    <m/>
    <n v="30026"/>
  </r>
  <r>
    <x v="81"/>
    <x v="4"/>
    <s v="21/22"/>
    <n v="1"/>
    <n v="3"/>
    <n v="-187"/>
    <m/>
    <m/>
    <n v="319812"/>
    <n v="86216"/>
    <n v="1223"/>
    <m/>
    <m/>
    <n v="318589"/>
  </r>
  <r>
    <x v="82"/>
    <x v="4"/>
    <s v="21/22"/>
    <m/>
    <n v="18"/>
    <n v="-6800"/>
    <m/>
    <m/>
    <n v="68148"/>
    <n v="72221"/>
    <n v="16495"/>
    <m/>
    <m/>
    <n v="51653"/>
  </r>
  <r>
    <x v="83"/>
    <x v="4"/>
    <s v="21/22"/>
    <m/>
    <n v="17"/>
    <n v="126"/>
    <m/>
    <m/>
    <n v="12167"/>
    <n v="25632"/>
    <n v="986"/>
    <m/>
    <m/>
    <n v="11181"/>
  </r>
  <r>
    <x v="84"/>
    <x v="4"/>
    <s v="21/22"/>
    <m/>
    <n v="19"/>
    <n v="-12691"/>
    <m/>
    <m/>
    <n v="56833"/>
    <n v="35603"/>
    <n v="18881"/>
    <m/>
    <m/>
    <n v="37952"/>
  </r>
  <r>
    <x v="85"/>
    <x v="4"/>
    <s v="21/22"/>
    <m/>
    <n v="9"/>
    <n v="120"/>
    <m/>
    <m/>
    <n v="65710"/>
    <n v="51528"/>
    <n v="447"/>
    <m/>
    <m/>
    <n v="65263"/>
  </r>
  <r>
    <x v="86"/>
    <x v="4"/>
    <s v="21/22"/>
    <m/>
    <n v="20"/>
    <n v="-1959"/>
    <s v="n.a."/>
    <n v="3779"/>
    <n v="311978"/>
    <n v="20598"/>
    <n v="45174"/>
    <n v="121871"/>
    <n v="144933"/>
    <n v="266804"/>
  </r>
  <r>
    <x v="87"/>
    <x v="4"/>
    <s v="21/22"/>
    <n v="0"/>
    <n v="10"/>
    <n v="22007"/>
    <n v="164"/>
    <n v="15975"/>
    <n v="164273"/>
    <n v="165068"/>
    <n v="-61237"/>
    <n v="54015"/>
    <n v="171494"/>
    <n v="225510"/>
  </r>
  <r>
    <x v="88"/>
    <x v="4"/>
    <s v="21/22"/>
    <m/>
    <n v="16"/>
    <n v="-2841"/>
    <m/>
    <m/>
    <n v="46299"/>
    <n v="33584"/>
    <n v="6695"/>
    <m/>
    <m/>
    <n v="39604"/>
  </r>
  <r>
    <x v="89"/>
    <x v="4"/>
    <s v="21/22"/>
    <m/>
    <n v="13"/>
    <n v="3044"/>
    <m/>
    <m/>
    <n v="53494"/>
    <n v="38565"/>
    <n v="14162"/>
    <m/>
    <m/>
    <n v="39332"/>
  </r>
  <r>
    <x v="90"/>
    <x v="4"/>
    <s v="21/22"/>
    <m/>
    <n v="5"/>
    <n v="-59643"/>
    <s v="n.a."/>
    <s v="n.a."/>
    <n v="67586"/>
    <n v="78434"/>
    <n v="14111"/>
    <s v="n.a."/>
    <s v="n.a."/>
    <n v="53475"/>
  </r>
  <r>
    <x v="91"/>
    <x v="4"/>
    <s v="21/22"/>
    <n v="1"/>
    <n v="2"/>
    <n v="-31000"/>
    <s v="n.a."/>
    <s v="n.a."/>
    <n v="244651"/>
    <n v="237549"/>
    <n v="24639"/>
    <s v="n.a."/>
    <s v="n.a."/>
    <n v="220012"/>
  </r>
  <r>
    <x v="92"/>
    <x v="4"/>
    <s v="21/22"/>
    <m/>
    <n v="8"/>
    <n v="-46027"/>
    <s v="n.a."/>
    <n v="30132"/>
    <n v="549113"/>
    <n v="191006"/>
    <n v="2246"/>
    <n v="394875"/>
    <n v="151991"/>
    <n v="546867"/>
  </r>
  <r>
    <x v="93"/>
    <x v="4"/>
    <s v="21/22"/>
    <n v="1"/>
    <n v="1"/>
    <n v="-360423"/>
    <s v="n.a."/>
    <s v="n.a."/>
    <n v="1023476"/>
    <n v="669616"/>
    <n v="151904"/>
    <s v="n.a."/>
    <s v="n.a."/>
    <n v="871572"/>
  </r>
  <r>
    <x v="94"/>
    <x v="4"/>
    <s v="21/22"/>
    <m/>
    <n v="7"/>
    <n v="1640"/>
    <m/>
    <m/>
    <n v="152003"/>
    <n v="47472"/>
    <n v="38115"/>
    <m/>
    <m/>
    <n v="113888"/>
  </r>
  <r>
    <x v="95"/>
    <x v="4"/>
    <s v="21/22"/>
    <m/>
    <n v="6"/>
    <n v="2102"/>
    <m/>
    <m/>
    <n v="50391"/>
    <n v="57472"/>
    <n v="10063"/>
    <m/>
    <m/>
    <n v="40328"/>
  </r>
  <r>
    <x v="96"/>
    <x v="4"/>
    <s v="21/22"/>
    <m/>
    <n v="11"/>
    <n v="12213"/>
    <m/>
    <m/>
    <n v="46794"/>
    <n v="44362"/>
    <n v="11148"/>
    <m/>
    <m/>
    <n v="35646"/>
  </r>
  <r>
    <x v="97"/>
    <x v="4"/>
    <s v="21/22"/>
    <m/>
    <n v="12"/>
    <n v="1132"/>
    <m/>
    <m/>
    <n v="67586"/>
    <n v="36416"/>
    <n v="14111"/>
    <m/>
    <m/>
    <n v="53475"/>
  </r>
  <r>
    <x v="98"/>
    <x v="4"/>
    <s v="21/22"/>
    <m/>
    <n v="4"/>
    <n v="-12210"/>
    <s v="n.a."/>
    <s v="n.a."/>
    <n v="219997"/>
    <n v="83497"/>
    <n v="47631"/>
    <s v="n.a."/>
    <s v="n.a."/>
    <n v="172366"/>
  </r>
  <r>
    <x v="99"/>
    <x v="4"/>
    <s v="21/22"/>
    <m/>
    <n v="15"/>
    <n v="-31078"/>
    <m/>
    <m/>
    <n v="46474"/>
    <n v="26287"/>
    <n v="26142"/>
    <m/>
    <m/>
    <n v="20332"/>
  </r>
  <r>
    <x v="0"/>
    <x v="0"/>
    <s v="20/21"/>
    <m/>
    <n v="8"/>
    <n v="-124210"/>
    <n v="634"/>
    <n v="0"/>
    <n v="912120"/>
    <n v="379980"/>
    <n v="275247"/>
    <n v="381014"/>
    <n v="255859"/>
    <m/>
  </r>
  <r>
    <x v="1"/>
    <x v="0"/>
    <s v="20/21"/>
    <m/>
    <n v="11"/>
    <n v="-37147"/>
    <n v="663"/>
    <n v="248030"/>
    <n v="243993"/>
    <n v="203324"/>
    <n v="-33274"/>
    <n v="0"/>
    <n v="277267"/>
    <n v="277267"/>
  </r>
  <r>
    <x v="3"/>
    <x v="0"/>
    <s v="20/21"/>
    <m/>
    <n v="16"/>
    <n v="-57807"/>
    <n v="821"/>
    <n v="350810"/>
    <n v="167044"/>
    <n v="163000"/>
    <n v="-278401"/>
    <n v="13485"/>
    <n v="431960"/>
    <n v="445445"/>
  </r>
  <r>
    <x v="4"/>
    <x v="0"/>
    <s v="20/21"/>
    <m/>
    <n v="17"/>
    <n v="-3017"/>
    <n v="267"/>
    <n v="607"/>
    <n v="188195"/>
    <n v="135206"/>
    <n v="87262"/>
    <n v="16185"/>
    <n v="84749"/>
    <n v="100934"/>
  </r>
  <r>
    <x v="5"/>
    <x v="0"/>
    <s v="20/21"/>
    <m/>
    <n v="4"/>
    <n v="-178971"/>
    <n v="817"/>
    <n v="34471"/>
    <n v="960469"/>
    <n v="507279"/>
    <n v="467414"/>
    <n v="70307"/>
    <n v="422748"/>
    <n v="493055"/>
  </r>
  <r>
    <x v="6"/>
    <x v="0"/>
    <s v="20/21"/>
    <m/>
    <n v="14"/>
    <n v="-42681"/>
    <n v="297"/>
    <n v="0"/>
    <n v="111035"/>
    <n v="134383"/>
    <n v="-20497"/>
    <n v="27291"/>
    <n v="87482"/>
    <n v="114773"/>
  </r>
  <r>
    <x v="7"/>
    <x v="0"/>
    <s v="20/21"/>
    <m/>
    <n v="10"/>
    <n v="-141073"/>
    <n v="450"/>
    <n v="3957"/>
    <n v="394023"/>
    <n v="225306"/>
    <n v="58034"/>
    <n v="193919"/>
    <n v="142071"/>
    <n v="335990"/>
  </r>
  <r>
    <x v="100"/>
    <x v="0"/>
    <s v="20/21"/>
    <m/>
    <n v="18"/>
    <n v="-108499"/>
    <n v="194"/>
    <n v="787"/>
    <n v="388724"/>
    <n v="135447"/>
    <n v="286208"/>
    <n v="16258"/>
    <n v="86258"/>
    <n v="102516"/>
  </r>
  <r>
    <x v="8"/>
    <x v="0"/>
    <s v="20/21"/>
    <m/>
    <n v="9"/>
    <n v="30236"/>
    <n v="428"/>
    <n v="39959"/>
    <n v="229608"/>
    <n v="199508"/>
    <n v="-14786"/>
    <n v="74872"/>
    <n v="169523"/>
    <n v="244395"/>
  </r>
  <r>
    <x v="9"/>
    <x v="0"/>
    <s v="20/21"/>
    <m/>
    <n v="5"/>
    <n v="-36126"/>
    <n v="435"/>
    <n v="124514"/>
    <n v="542443"/>
    <n v="261874"/>
    <n v="45693"/>
    <n v="250590"/>
    <n v="246160"/>
    <n v="496750"/>
  </r>
  <r>
    <x v="10"/>
    <x v="0"/>
    <s v="20/21"/>
    <m/>
    <n v="3"/>
    <n v="-11039"/>
    <n v="964"/>
    <n v="82659"/>
    <n v="802791"/>
    <n v="564218"/>
    <n v="230658"/>
    <n v="253384"/>
    <n v="318748"/>
    <n v="572132"/>
  </r>
  <r>
    <x v="11"/>
    <x v="0"/>
    <s v="20/21"/>
    <m/>
    <n v="1"/>
    <n v="2761"/>
    <n v="509"/>
    <n v="34502"/>
    <n v="1374132"/>
    <n v="664744"/>
    <n v="765595"/>
    <n v="150098"/>
    <n v="458439"/>
    <n v="608537"/>
  </r>
  <r>
    <x v="12"/>
    <x v="0"/>
    <s v="20/21"/>
    <m/>
    <n v="2"/>
    <n v="-107572"/>
    <n v="983"/>
    <n v="0"/>
    <n v="1470185"/>
    <n v="576401"/>
    <n v="317892"/>
    <n v="704309"/>
    <n v="447983"/>
    <n v="1152292"/>
  </r>
  <r>
    <x v="13"/>
    <x v="0"/>
    <s v="20/21"/>
    <m/>
    <n v="12"/>
    <n v="-14222"/>
    <n v="291"/>
    <n v="137287"/>
    <n v="216265"/>
    <n v="163538"/>
    <n v="-1389"/>
    <n v="11122"/>
    <n v="206532"/>
    <n v="217654"/>
  </r>
  <r>
    <x v="101"/>
    <x v="0"/>
    <s v="20/21"/>
    <m/>
    <n v="20"/>
    <m/>
    <m/>
    <m/>
    <m/>
    <m/>
    <m/>
    <m/>
    <m/>
    <n v="0"/>
  </r>
  <r>
    <x v="15"/>
    <x v="0"/>
    <s v="20/21"/>
    <m/>
    <n v="15"/>
    <n v="-11754"/>
    <n v="385"/>
    <n v="103501"/>
    <n v="209759"/>
    <n v="183311"/>
    <n v="3099"/>
    <n v="31284"/>
    <n v="175376"/>
    <n v="206660"/>
  </r>
  <r>
    <x v="16"/>
    <x v="0"/>
    <s v="20/21"/>
    <m/>
    <n v="7"/>
    <n v="-97756"/>
    <n v="672"/>
    <n v="2293"/>
    <n v="2033196"/>
    <n v="420422"/>
    <n v="298639"/>
    <n v="1347378"/>
    <n v="387179"/>
    <n v="1734557"/>
  </r>
  <r>
    <x v="102"/>
    <x v="0"/>
    <s v="20/21"/>
    <m/>
    <n v="19"/>
    <m/>
    <m/>
    <m/>
    <m/>
    <m/>
    <m/>
    <m/>
    <m/>
    <n v="0"/>
  </r>
  <r>
    <x v="18"/>
    <x v="0"/>
    <s v="20/21"/>
    <m/>
    <n v="6"/>
    <n v="-29794"/>
    <n v="652"/>
    <n v="115505"/>
    <n v="230080"/>
    <n v="222388"/>
    <n v="-190966"/>
    <n v="161292"/>
    <n v="259754"/>
    <n v="421046"/>
  </r>
  <r>
    <x v="19"/>
    <x v="0"/>
    <s v="20/21"/>
    <n v="1"/>
    <n v="13"/>
    <n v="24439"/>
    <n v="379"/>
    <n v="184220"/>
    <n v="390149"/>
    <n v="224703"/>
    <n v="-65171"/>
    <n v="134866"/>
    <n v="320454"/>
    <n v="455320"/>
  </r>
  <r>
    <x v="103"/>
    <x v="1"/>
    <s v="20/21"/>
    <m/>
    <n v="16"/>
    <m/>
    <m/>
    <m/>
    <m/>
    <m/>
    <m/>
    <m/>
    <m/>
    <n v="0"/>
  </r>
  <r>
    <x v="20"/>
    <x v="1"/>
    <s v="20/21"/>
    <m/>
    <n v="10"/>
    <n v="-25421"/>
    <n v="341"/>
    <n v="0"/>
    <n v="245481"/>
    <n v="101851"/>
    <n v="112455"/>
    <n v="82173"/>
    <n v="50853"/>
    <n v="133026"/>
  </r>
  <r>
    <x v="21"/>
    <x v="1"/>
    <s v="20/21"/>
    <n v="1"/>
    <n v="1"/>
    <n v="-107369"/>
    <n v="1020"/>
    <n v="82010"/>
    <n v="970576"/>
    <n v="362859"/>
    <n v="-27741"/>
    <n v="415150"/>
    <n v="583167"/>
    <n v="998317"/>
  </r>
  <r>
    <x v="22"/>
    <x v="1"/>
    <s v="20/21"/>
    <m/>
    <n v="3"/>
    <n v="-481318"/>
    <n v="1289"/>
    <n v="188172"/>
    <n v="1030948"/>
    <n v="590177"/>
    <n v="-450732"/>
    <n v="669060"/>
    <n v="812620"/>
    <n v="1481680"/>
  </r>
  <r>
    <x v="23"/>
    <x v="1"/>
    <s v="20/21"/>
    <m/>
    <n v="12"/>
    <n v="-2490"/>
    <n v="254"/>
    <n v="876"/>
    <n v="1546"/>
    <n v="53760"/>
    <n v="-27444"/>
    <n v="26456"/>
    <n v="2534"/>
    <n v="28990"/>
  </r>
  <r>
    <x v="24"/>
    <x v="1"/>
    <s v="20/21"/>
    <m/>
    <n v="8"/>
    <n v="-9580"/>
    <n v="285"/>
    <n v="1742"/>
    <n v="7243"/>
    <n v="66840"/>
    <n v="-3755"/>
    <n v="4566"/>
    <n v="6432"/>
    <n v="10998"/>
  </r>
  <r>
    <x v="104"/>
    <x v="1"/>
    <s v="20/21"/>
    <m/>
    <n v="20"/>
    <n v="-11407"/>
    <n v="269"/>
    <n v="5940"/>
    <n v="205760"/>
    <n v="49766"/>
    <n v="126672"/>
    <n v="6729"/>
    <n v="72359"/>
    <n v="79088"/>
  </r>
  <r>
    <x v="26"/>
    <x v="1"/>
    <s v="20/21"/>
    <m/>
    <n v="17"/>
    <n v="11970"/>
    <n v="275"/>
    <n v="1714"/>
    <n v="10356"/>
    <n v="53940"/>
    <n v="-25947"/>
    <n v="8467"/>
    <n v="27836"/>
    <n v="36303"/>
  </r>
  <r>
    <x v="28"/>
    <x v="1"/>
    <s v="20/21"/>
    <m/>
    <n v="15"/>
    <n v="-14205"/>
    <n v="334"/>
    <n v="0"/>
    <n v="198029"/>
    <n v="128446"/>
    <n v="80936"/>
    <n v="29431"/>
    <n v="87662"/>
    <n v="117093"/>
  </r>
  <r>
    <x v="29"/>
    <x v="1"/>
    <s v="20/21"/>
    <m/>
    <n v="9"/>
    <m/>
    <m/>
    <m/>
    <m/>
    <m/>
    <m/>
    <m/>
    <m/>
    <n v="0"/>
  </r>
  <r>
    <x v="105"/>
    <x v="1"/>
    <s v="20/21"/>
    <m/>
    <n v="18"/>
    <m/>
    <m/>
    <m/>
    <m/>
    <m/>
    <m/>
    <m/>
    <m/>
    <n v="0"/>
  </r>
  <r>
    <x v="30"/>
    <x v="1"/>
    <s v="20/21"/>
    <m/>
    <n v="14"/>
    <m/>
    <m/>
    <m/>
    <m/>
    <m/>
    <m/>
    <m/>
    <m/>
    <n v="0"/>
  </r>
  <r>
    <x v="32"/>
    <x v="1"/>
    <s v="20/21"/>
    <m/>
    <n v="11"/>
    <n v="-1050"/>
    <n v="354"/>
    <n v="54761"/>
    <n v="95677"/>
    <n v="63820"/>
    <n v="1465"/>
    <n v="56644"/>
    <n v="37568"/>
    <n v="94212"/>
  </r>
  <r>
    <x v="34"/>
    <x v="1"/>
    <s v="20/21"/>
    <m/>
    <n v="6"/>
    <n v="-36684"/>
    <n v="384"/>
    <n v="37024"/>
    <n v="134458"/>
    <n v="87681"/>
    <n v="-31314"/>
    <n v="31067"/>
    <n v="134705"/>
    <n v="165772"/>
  </r>
  <r>
    <x v="35"/>
    <x v="1"/>
    <s v="20/21"/>
    <m/>
    <n v="2"/>
    <n v="874"/>
    <n v="861"/>
    <n v="237237"/>
    <n v="1585567"/>
    <n v="640700"/>
    <n v="533655"/>
    <n v="456682"/>
    <n v="671687"/>
    <n v="1128369"/>
  </r>
  <r>
    <x v="36"/>
    <x v="1"/>
    <s v="20/21"/>
    <m/>
    <n v="5"/>
    <m/>
    <m/>
    <m/>
    <m/>
    <m/>
    <m/>
    <m/>
    <m/>
    <n v="0"/>
  </r>
  <r>
    <x v="37"/>
    <x v="1"/>
    <s v="20/21"/>
    <m/>
    <n v="4"/>
    <n v="-41359"/>
    <n v="397"/>
    <n v="12949"/>
    <n v="263704"/>
    <n v="173439"/>
    <n v="56502"/>
    <n v="61193"/>
    <n v="146009"/>
    <n v="207202"/>
  </r>
  <r>
    <x v="38"/>
    <x v="1"/>
    <s v="20/21"/>
    <m/>
    <n v="13"/>
    <n v="-31207"/>
    <n v="407"/>
    <n v="14609"/>
    <n v="400274"/>
    <n v="109611"/>
    <n v="8997"/>
    <n v="174727"/>
    <n v="216550"/>
    <n v="391277"/>
  </r>
  <r>
    <x v="106"/>
    <x v="1"/>
    <s v="20/21"/>
    <m/>
    <n v="19"/>
    <m/>
    <m/>
    <m/>
    <m/>
    <m/>
    <m/>
    <m/>
    <m/>
    <n v="0"/>
  </r>
  <r>
    <x v="39"/>
    <x v="1"/>
    <s v="20/21"/>
    <m/>
    <n v="7"/>
    <n v="-30"/>
    <n v="385"/>
    <n v="87678"/>
    <n v="678978"/>
    <n v="97750"/>
    <n v="67454"/>
    <n v="467846"/>
    <n v="143678"/>
    <n v="611524"/>
  </r>
  <r>
    <x v="40"/>
    <x v="2"/>
    <s v="20/21"/>
    <m/>
    <n v="2"/>
    <n v="-96416"/>
    <n v="411"/>
    <n v="71684"/>
    <n v="405740"/>
    <n v="246107"/>
    <n v="67294"/>
    <n v="104256"/>
    <n v="234190"/>
    <n v="338446"/>
  </r>
  <r>
    <x v="41"/>
    <x v="2"/>
    <s v="20/21"/>
    <m/>
    <n v="3"/>
    <n v="35227"/>
    <n v="171"/>
    <n v="852"/>
    <n v="347587"/>
    <n v="240030"/>
    <n v="166109"/>
    <n v="72572"/>
    <n v="108906"/>
    <n v="181478"/>
  </r>
  <r>
    <x v="107"/>
    <x v="2"/>
    <s v="20/21"/>
    <m/>
    <n v="18"/>
    <m/>
    <m/>
    <m/>
    <m/>
    <m/>
    <m/>
    <m/>
    <m/>
    <n v="0"/>
  </r>
  <r>
    <x v="42"/>
    <x v="2"/>
    <s v="20/21"/>
    <m/>
    <n v="12"/>
    <n v="-30846"/>
    <n v="183"/>
    <n v="6528"/>
    <n v="121478"/>
    <n v="79856"/>
    <n v="16139"/>
    <n v="27562"/>
    <n v="77778"/>
    <n v="105340"/>
  </r>
  <r>
    <x v="43"/>
    <x v="2"/>
    <s v="20/21"/>
    <m/>
    <n v="16"/>
    <m/>
    <m/>
    <m/>
    <m/>
    <m/>
    <m/>
    <m/>
    <m/>
    <n v="0"/>
  </r>
  <r>
    <x v="108"/>
    <x v="2"/>
    <s v="20/21"/>
    <m/>
    <n v="19"/>
    <m/>
    <m/>
    <m/>
    <m/>
    <m/>
    <m/>
    <m/>
    <m/>
    <n v="0"/>
  </r>
  <r>
    <x v="45"/>
    <x v="2"/>
    <s v="20/21"/>
    <m/>
    <n v="13"/>
    <n v="-10373"/>
    <n v="247"/>
    <n v="0"/>
    <n v="296422"/>
    <n v="160692"/>
    <n v="153012"/>
    <n v="39146"/>
    <n v="104264"/>
    <n v="143410"/>
  </r>
  <r>
    <x v="46"/>
    <x v="2"/>
    <s v="20/21"/>
    <m/>
    <n v="11"/>
    <n v="-42730"/>
    <n v="196"/>
    <n v="42892"/>
    <n v="292838"/>
    <n v="74514"/>
    <n v="4682"/>
    <n v="125009"/>
    <n v="163146"/>
    <n v="288155"/>
  </r>
  <r>
    <x v="47"/>
    <x v="2"/>
    <s v="20/21"/>
    <m/>
    <n v="1"/>
    <n v="-245579"/>
    <n v="520"/>
    <n v="9321"/>
    <n v="953305"/>
    <n v="362608"/>
    <n v="53451"/>
    <n v="581891"/>
    <n v="317963"/>
    <n v="899854"/>
  </r>
  <r>
    <x v="48"/>
    <x v="2"/>
    <s v="20/21"/>
    <m/>
    <n v="4"/>
    <n v="-209885"/>
    <n v="270"/>
    <n v="48416"/>
    <n v="907811"/>
    <n v="480712"/>
    <n v="28439"/>
    <n v="499212"/>
    <n v="380160"/>
    <n v="879372"/>
  </r>
  <r>
    <x v="49"/>
    <x v="2"/>
    <s v="20/21"/>
    <m/>
    <n v="6"/>
    <n v="-25650"/>
    <n v="183"/>
    <n v="25675"/>
    <n v="334648"/>
    <n v="148451"/>
    <n v="74884"/>
    <n v="84582"/>
    <n v="175182"/>
    <n v="259764"/>
  </r>
  <r>
    <x v="50"/>
    <x v="2"/>
    <s v="20/21"/>
    <m/>
    <n v="5"/>
    <n v="-58942"/>
    <n v="110"/>
    <n v="0"/>
    <n v="417779"/>
    <n v="222931"/>
    <n v="140259"/>
    <n v="82783"/>
    <n v="194737"/>
    <n v="277520"/>
  </r>
  <r>
    <x v="109"/>
    <x v="2"/>
    <s v="20/21"/>
    <m/>
    <n v="20"/>
    <m/>
    <m/>
    <m/>
    <m/>
    <m/>
    <m/>
    <m/>
    <m/>
    <n v="0"/>
  </r>
  <r>
    <x v="51"/>
    <x v="2"/>
    <s v="20/21"/>
    <m/>
    <n v="7"/>
    <n v="-185317"/>
    <n v="403"/>
    <n v="22968"/>
    <n v="375299"/>
    <n v="226537"/>
    <n v="-273245"/>
    <n v="389087"/>
    <n v="259457"/>
    <n v="648544"/>
  </r>
  <r>
    <x v="53"/>
    <x v="2"/>
    <s v="20/21"/>
    <m/>
    <n v="9"/>
    <n v="-24421"/>
    <n v="201"/>
    <n v="76784"/>
    <n v="359673"/>
    <n v="76314"/>
    <n v="130"/>
    <n v="254067"/>
    <n v="105476"/>
    <n v="359543"/>
  </r>
  <r>
    <x v="54"/>
    <x v="2"/>
    <s v="20/21"/>
    <m/>
    <n v="8"/>
    <n v="-13851"/>
    <n v="181"/>
    <n v="40997"/>
    <n v="222278"/>
    <n v="116933"/>
    <n v="12480"/>
    <n v="58908"/>
    <n v="150890"/>
    <n v="209798"/>
  </r>
  <r>
    <x v="55"/>
    <x v="2"/>
    <s v="20/21"/>
    <m/>
    <n v="15"/>
    <n v="-16963"/>
    <n v="94"/>
    <n v="124"/>
    <n v="166775"/>
    <n v="39072"/>
    <n v="39395"/>
    <n v="28890"/>
    <n v="98490"/>
    <n v="127380"/>
  </r>
  <r>
    <x v="56"/>
    <x v="2"/>
    <s v="20/21"/>
    <m/>
    <n v="17"/>
    <n v="-37796"/>
    <n v="180"/>
    <n v="1250"/>
    <n v="148209"/>
    <n v="83718"/>
    <n v="20352"/>
    <n v="60382"/>
    <n v="67475"/>
    <n v="127857"/>
  </r>
  <r>
    <x v="57"/>
    <x v="2"/>
    <s v="20/21"/>
    <m/>
    <n v="14"/>
    <n v="-36886"/>
    <n v="175"/>
    <n v="8169"/>
    <n v="389704"/>
    <n v="78904"/>
    <n v="196282"/>
    <n v="101229"/>
    <n v="92193"/>
    <n v="193422"/>
  </r>
  <r>
    <x v="59"/>
    <x v="2"/>
    <s v="20/21"/>
    <m/>
    <n v="10"/>
    <n v="-24415"/>
    <n v="160"/>
    <n v="39683"/>
    <n v="298868"/>
    <n v="99204"/>
    <n v="49504"/>
    <n v="102661"/>
    <n v="146703"/>
    <n v="249364"/>
  </r>
  <r>
    <x v="61"/>
    <x v="3"/>
    <s v="20/21"/>
    <m/>
    <n v="7"/>
    <n v="78534"/>
    <m/>
    <n v="98672"/>
    <n v="189456"/>
    <n v="189134"/>
    <n v="-1778"/>
    <m/>
    <m/>
    <n v="191234"/>
  </r>
  <r>
    <x v="110"/>
    <x v="3"/>
    <s v="20/21"/>
    <m/>
    <n v="19"/>
    <n v="-97542"/>
    <m/>
    <n v="81234"/>
    <n v="129834"/>
    <n v="89125"/>
    <n v="-59409"/>
    <m/>
    <m/>
    <n v="189243"/>
  </r>
  <r>
    <x v="63"/>
    <x v="3"/>
    <s v="20/21"/>
    <m/>
    <n v="16"/>
    <n v="-76634"/>
    <m/>
    <n v="125688"/>
    <n v="267596"/>
    <n v="189646"/>
    <n v="21939"/>
    <m/>
    <m/>
    <n v="245657"/>
  </r>
  <r>
    <x v="111"/>
    <x v="3"/>
    <s v="20/21"/>
    <m/>
    <n v="18"/>
    <n v="-8543"/>
    <m/>
    <n v="58276"/>
    <n v="138453"/>
    <n v="53423"/>
    <n v="-605"/>
    <m/>
    <m/>
    <n v="139058"/>
  </r>
  <r>
    <x v="64"/>
    <x v="3"/>
    <s v="20/21"/>
    <m/>
    <n v="1"/>
    <n v="-38232"/>
    <n v="265"/>
    <n v="19"/>
    <n v="208377"/>
    <n v="51596"/>
    <n v="-162095"/>
    <n v="291339"/>
    <n v="79133"/>
    <n v="370472"/>
  </r>
  <r>
    <x v="112"/>
    <x v="3"/>
    <s v="20/21"/>
    <m/>
    <n v="21"/>
    <n v="-5437"/>
    <m/>
    <n v="12937"/>
    <n v="89043"/>
    <n v="30533"/>
    <n v="-66927"/>
    <m/>
    <m/>
    <n v="79864"/>
  </r>
  <r>
    <x v="65"/>
    <x v="3"/>
    <s v="20/21"/>
    <m/>
    <n v="8"/>
    <n v="34523"/>
    <m/>
    <n v="53497"/>
    <n v="69145"/>
    <n v="79782"/>
    <n v="31902"/>
    <m/>
    <m/>
    <n v="37243"/>
  </r>
  <r>
    <x v="66"/>
    <x v="3"/>
    <s v="20/21"/>
    <m/>
    <n v="3"/>
    <n v="-19325"/>
    <n v="502"/>
    <n v="268088"/>
    <n v="262112"/>
    <n v="66277"/>
    <n v="-96095"/>
    <n v="28668"/>
    <n v="329539"/>
    <n v="358207"/>
  </r>
  <r>
    <x v="67"/>
    <x v="3"/>
    <s v="20/21"/>
    <n v="1"/>
    <n v="2"/>
    <n v="-41620"/>
    <n v="583"/>
    <n v="0"/>
    <n v="217671"/>
    <n v="61755"/>
    <n v="-72305"/>
    <n v="234369"/>
    <n v="55607"/>
    <n v="289976"/>
  </r>
  <r>
    <x v="68"/>
    <x v="3"/>
    <s v="20/21"/>
    <m/>
    <n v="9"/>
    <m/>
    <m/>
    <m/>
    <m/>
    <m/>
    <m/>
    <m/>
    <m/>
    <n v="0"/>
  </r>
  <r>
    <x v="113"/>
    <x v="3"/>
    <s v="20/21"/>
    <m/>
    <n v="20"/>
    <m/>
    <m/>
    <m/>
    <m/>
    <m/>
    <m/>
    <m/>
    <m/>
    <n v="0"/>
  </r>
  <r>
    <x v="70"/>
    <x v="3"/>
    <s v="20/21"/>
    <m/>
    <n v="10"/>
    <m/>
    <m/>
    <m/>
    <m/>
    <m/>
    <m/>
    <m/>
    <m/>
    <n v="0"/>
  </r>
  <r>
    <x v="71"/>
    <x v="3"/>
    <s v="20/21"/>
    <m/>
    <n v="6"/>
    <n v="-75348"/>
    <m/>
    <n v="52341"/>
    <n v="102345"/>
    <n v="85973"/>
    <n v="-33058"/>
    <m/>
    <m/>
    <n v="135403"/>
  </r>
  <r>
    <x v="72"/>
    <x v="3"/>
    <s v="20/21"/>
    <n v="1"/>
    <n v="12"/>
    <n v="-54385"/>
    <m/>
    <n v="135749"/>
    <n v="215345"/>
    <n v="187674"/>
    <n v="-30500"/>
    <m/>
    <m/>
    <n v="245845"/>
  </r>
  <r>
    <x v="73"/>
    <x v="3"/>
    <s v="20/21"/>
    <m/>
    <n v="14"/>
    <n v="-54322"/>
    <m/>
    <n v="195043"/>
    <n v="95643"/>
    <n v="90786"/>
    <n v="-60847"/>
    <m/>
    <m/>
    <n v="156490"/>
  </r>
  <r>
    <x v="74"/>
    <x v="3"/>
    <s v="20/21"/>
    <m/>
    <n v="17"/>
    <n v="-76813"/>
    <m/>
    <n v="126539"/>
    <n v="129544"/>
    <n v="67589"/>
    <n v="-4959"/>
    <m/>
    <m/>
    <n v="134503"/>
  </r>
  <r>
    <x v="75"/>
    <x v="3"/>
    <s v="20/21"/>
    <m/>
    <n v="11"/>
    <n v="-12349"/>
    <m/>
    <n v="134943"/>
    <n v="85434"/>
    <n v="26354"/>
    <n v="-13000"/>
    <m/>
    <m/>
    <n v="98434"/>
  </r>
  <r>
    <x v="76"/>
    <x v="3"/>
    <s v="20/21"/>
    <m/>
    <n v="13"/>
    <m/>
    <m/>
    <m/>
    <m/>
    <m/>
    <m/>
    <m/>
    <m/>
    <n v="0"/>
  </r>
  <r>
    <x v="77"/>
    <x v="3"/>
    <s v="20/21"/>
    <m/>
    <n v="5"/>
    <m/>
    <m/>
    <m/>
    <m/>
    <m/>
    <m/>
    <m/>
    <m/>
    <n v="0"/>
  </r>
  <r>
    <x v="78"/>
    <x v="3"/>
    <s v="20/21"/>
    <n v="1"/>
    <n v="4"/>
    <n v="-22113"/>
    <n v="119"/>
    <n v="4285"/>
    <n v="79504"/>
    <n v="38585"/>
    <n v="-58549"/>
    <n v="107900"/>
    <n v="30154"/>
    <n v="138054"/>
  </r>
  <r>
    <x v="79"/>
    <x v="3"/>
    <s v="20/21"/>
    <m/>
    <n v="15"/>
    <m/>
    <m/>
    <m/>
    <m/>
    <m/>
    <m/>
    <m/>
    <m/>
    <n v="0"/>
  </r>
  <r>
    <x v="80"/>
    <x v="4"/>
    <s v="20/21"/>
    <m/>
    <n v="13"/>
    <m/>
    <m/>
    <n v="7969"/>
    <n v="36429"/>
    <n v="12397"/>
    <n v="-6248"/>
    <m/>
    <m/>
    <n v="42677"/>
  </r>
  <r>
    <x v="81"/>
    <x v="4"/>
    <s v="20/21"/>
    <m/>
    <n v="3"/>
    <n v="-116"/>
    <m/>
    <m/>
    <n v="315307"/>
    <m/>
    <n v="1410"/>
    <m/>
    <m/>
    <n v="313897"/>
  </r>
  <r>
    <x v="82"/>
    <x v="4"/>
    <s v="20/21"/>
    <m/>
    <n v="11"/>
    <n v="62"/>
    <m/>
    <m/>
    <n v="102981"/>
    <m/>
    <n v="23198"/>
    <m/>
    <m/>
    <n v="79783"/>
  </r>
  <r>
    <x v="114"/>
    <x v="4"/>
    <s v="20/21"/>
    <m/>
    <n v="20"/>
    <n v="951"/>
    <m/>
    <m/>
    <n v="48059"/>
    <m/>
    <n v="16932"/>
    <m/>
    <m/>
    <n v="31127"/>
  </r>
  <r>
    <x v="86"/>
    <x v="4"/>
    <s v="20/21"/>
    <m/>
    <n v="12"/>
    <n v="-1064"/>
    <s v="n.a."/>
    <n v="3332"/>
    <n v="322286"/>
    <n v="16294"/>
    <n v="49633"/>
    <n v="253831"/>
    <n v="18821"/>
    <n v="272653"/>
  </r>
  <r>
    <x v="87"/>
    <x v="4"/>
    <s v="20/21"/>
    <n v="1"/>
    <n v="1"/>
    <n v="-23522"/>
    <n v="210"/>
    <n v="2387"/>
    <n v="185655"/>
    <n v="87430"/>
    <n v="-83244"/>
    <n v="133608"/>
    <n v="135291"/>
    <n v="268899"/>
  </r>
  <r>
    <x v="88"/>
    <x v="4"/>
    <s v="20/21"/>
    <m/>
    <n v="16"/>
    <n v="-2177"/>
    <n v="14"/>
    <n v="3730"/>
    <n v="339020"/>
    <n v="17991"/>
    <n v="21454"/>
    <n v="285057"/>
    <n v="32509"/>
    <n v="317566"/>
  </r>
  <r>
    <x v="84"/>
    <x v="4"/>
    <s v="20/21"/>
    <m/>
    <n v="10"/>
    <n v="-10388"/>
    <m/>
    <m/>
    <n v="66167"/>
    <m/>
    <n v="27649"/>
    <m/>
    <m/>
    <n v="38518"/>
  </r>
  <r>
    <x v="89"/>
    <x v="4"/>
    <s v="20/21"/>
    <m/>
    <n v="8"/>
    <n v="-15184"/>
    <m/>
    <m/>
    <n v="58877"/>
    <m/>
    <n v="11206"/>
    <m/>
    <m/>
    <n v="47671"/>
  </r>
  <r>
    <x v="85"/>
    <x v="4"/>
    <s v="20/21"/>
    <m/>
    <n v="18"/>
    <n v="-1044"/>
    <m/>
    <m/>
    <n v="89550"/>
    <m/>
    <n v="69550"/>
    <m/>
    <m/>
    <n v="20000"/>
  </r>
  <r>
    <x v="115"/>
    <x v="4"/>
    <s v="20/21"/>
    <m/>
    <n v="19"/>
    <n v="-7760"/>
    <m/>
    <m/>
    <n v="34352"/>
    <m/>
    <n v="1362"/>
    <m/>
    <m/>
    <n v="32990"/>
  </r>
  <r>
    <x v="90"/>
    <x v="4"/>
    <s v="20/21"/>
    <m/>
    <n v="9"/>
    <n v="-30161"/>
    <m/>
    <m/>
    <n v="139653"/>
    <m/>
    <n v="72228"/>
    <m/>
    <m/>
    <n v="67425"/>
  </r>
  <r>
    <x v="91"/>
    <x v="4"/>
    <s v="20/21"/>
    <n v="1"/>
    <n v="5"/>
    <n v="-76392"/>
    <s v="n.a."/>
    <s v="n.a."/>
    <n v="163142"/>
    <s v="n.a."/>
    <n v="-4361"/>
    <s v="n.a."/>
    <s v="n.a."/>
    <n v="167503"/>
  </r>
  <r>
    <x v="92"/>
    <x v="4"/>
    <s v="20/21"/>
    <m/>
    <n v="4"/>
    <n v="-100514"/>
    <s v="n.a."/>
    <n v="9062"/>
    <n v="660374"/>
    <n v="161741"/>
    <n v="48274"/>
    <n v="446853"/>
    <n v="165247"/>
    <n v="612100"/>
  </r>
  <r>
    <x v="93"/>
    <x v="4"/>
    <s v="20/21"/>
    <m/>
    <n v="2"/>
    <n v="-177636"/>
    <n v="643"/>
    <n v="68444"/>
    <n v="972492"/>
    <n v="544873"/>
    <n v="315281"/>
    <n v="151626"/>
    <n v="505585"/>
    <n v="657211"/>
  </r>
  <r>
    <x v="94"/>
    <x v="4"/>
    <s v="20/21"/>
    <m/>
    <n v="7"/>
    <n v="-23888"/>
    <m/>
    <m/>
    <n v="104001"/>
    <m/>
    <n v="39489"/>
    <m/>
    <m/>
    <n v="64512"/>
  </r>
  <r>
    <x v="95"/>
    <x v="4"/>
    <s v="20/21"/>
    <m/>
    <n v="15"/>
    <n v="-7434"/>
    <m/>
    <m/>
    <n v="57892"/>
    <m/>
    <n v="7973"/>
    <m/>
    <m/>
    <n v="49919"/>
  </r>
  <r>
    <x v="96"/>
    <x v="4"/>
    <s v="20/21"/>
    <m/>
    <n v="17"/>
    <n v="-4528"/>
    <m/>
    <m/>
    <n v="41069"/>
    <m/>
    <n v="-864"/>
    <m/>
    <m/>
    <n v="41933"/>
  </r>
  <r>
    <x v="97"/>
    <x v="4"/>
    <s v="20/21"/>
    <m/>
    <n v="14"/>
    <n v="2217"/>
    <m/>
    <m/>
    <n v="68015"/>
    <m/>
    <n v="14487"/>
    <m/>
    <m/>
    <n v="53528"/>
  </r>
  <r>
    <x v="98"/>
    <x v="4"/>
    <s v="20/21"/>
    <m/>
    <n v="6"/>
    <n v="-9170"/>
    <n v="221"/>
    <n v="152653"/>
    <n v="274966"/>
    <n v="81489"/>
    <n v="-4219"/>
    <n v="14389"/>
    <n v="264795"/>
    <n v="279185"/>
  </r>
  <r>
    <x v="0"/>
    <x v="0"/>
    <s v="19/20"/>
    <m/>
    <n v="8"/>
    <n v="-12884"/>
    <n v="394"/>
    <n v="274396"/>
    <n v="1194438"/>
    <n v="384349"/>
    <n v="553077"/>
    <n v="154444"/>
    <n v="486917"/>
    <n v="641361"/>
  </r>
  <r>
    <x v="1"/>
    <x v="0"/>
    <s v="19/20"/>
    <m/>
    <n v="17"/>
    <n v="-100590"/>
    <n v="658"/>
    <n v="238020"/>
    <n v="187829"/>
    <n v="119371"/>
    <n v="-103645"/>
    <n v="0"/>
    <n v="291474"/>
    <n v="291474"/>
  </r>
  <r>
    <x v="116"/>
    <x v="0"/>
    <s v="19/20"/>
    <m/>
    <n v="18"/>
    <n v="-60090"/>
    <n v="622"/>
    <n v="36625"/>
    <n v="166518"/>
    <n v="95380"/>
    <n v="-117964"/>
    <n v="72634"/>
    <n v="211753"/>
    <n v="284387"/>
  </r>
  <r>
    <x v="3"/>
    <x v="0"/>
    <s v="19/20"/>
    <m/>
    <n v="15"/>
    <n v="-68711"/>
    <n v="979"/>
    <n v="269058"/>
    <n v="184991"/>
    <n v="135099"/>
    <n v="-207215"/>
    <n v="14635"/>
    <n v="377570"/>
    <n v="392205"/>
  </r>
  <r>
    <x v="4"/>
    <x v="0"/>
    <s v="19/20"/>
    <m/>
    <n v="10"/>
    <n v="621"/>
    <n v="225"/>
    <n v="573"/>
    <n v="171019"/>
    <n v="148382"/>
    <n v="85222"/>
    <n v="1532"/>
    <n v="84265"/>
    <n v="85797"/>
  </r>
  <r>
    <x v="5"/>
    <x v="0"/>
    <s v="19/20"/>
    <m/>
    <n v="4"/>
    <n v="35583"/>
    <n v="808"/>
    <n v="51039"/>
    <n v="965037"/>
    <n v="446421"/>
    <n v="560221"/>
    <n v="44961"/>
    <n v="359855"/>
    <n v="404816"/>
  </r>
  <r>
    <x v="6"/>
    <x v="0"/>
    <s v="19/20"/>
    <m/>
    <n v="14"/>
    <n v="-60738"/>
    <n v="279"/>
    <n v="37437"/>
    <n v="168899"/>
    <n v="142347"/>
    <n v="-6966"/>
    <n v="15947"/>
    <n v="86547"/>
    <n v="102494"/>
  </r>
  <r>
    <x v="7"/>
    <x v="0"/>
    <s v="19/20"/>
    <m/>
    <n v="12"/>
    <n v="-153265"/>
    <n v="452"/>
    <n v="64330"/>
    <n v="411025"/>
    <n v="203685"/>
    <n v="77726"/>
    <n v="59039"/>
    <n v="274260"/>
    <n v="333299"/>
  </r>
  <r>
    <x v="9"/>
    <x v="0"/>
    <s v="19/20"/>
    <m/>
    <n v="5"/>
    <n v="-2704"/>
    <n v="178"/>
    <n v="1327"/>
    <n v="75718"/>
    <n v="17212"/>
    <n v="41817"/>
    <n v="13802"/>
    <n v="13610"/>
    <n v="27412"/>
  </r>
  <r>
    <x v="10"/>
    <x v="0"/>
    <s v="19/20"/>
    <m/>
    <n v="1"/>
    <n v="-43661"/>
    <n v="880"/>
    <n v="79017"/>
    <n v="828872"/>
    <n v="542119"/>
    <n v="231047"/>
    <n v="249593"/>
    <n v="419476"/>
    <n v="669069"/>
  </r>
  <r>
    <x v="11"/>
    <x v="0"/>
    <s v="19/20"/>
    <m/>
    <n v="2"/>
    <n v="-138083"/>
    <n v="477"/>
    <n v="33643"/>
    <n v="1204921"/>
    <n v="524174"/>
    <n v="691114"/>
    <n v="94331"/>
    <n v="436496"/>
    <n v="530827"/>
  </r>
  <r>
    <x v="12"/>
    <x v="0"/>
    <s v="19/20"/>
    <m/>
    <n v="3"/>
    <n v="-25458"/>
    <n v="992"/>
    <n v="0"/>
    <n v="1515969"/>
    <n v="557795"/>
    <n v="384872"/>
    <n v="694602"/>
    <n v="233031"/>
    <n v="927633"/>
  </r>
  <r>
    <x v="13"/>
    <x v="0"/>
    <s v="19/20"/>
    <m/>
    <n v="13"/>
    <n v="-25002"/>
    <n v="292"/>
    <n v="125233"/>
    <n v="261072"/>
    <n v="169244"/>
    <n v="12199"/>
    <n v="15843"/>
    <n v="104134"/>
    <n v="119977"/>
  </r>
  <r>
    <x v="14"/>
    <x v="0"/>
    <s v="19/20"/>
    <m/>
    <n v="20"/>
    <n v="2180"/>
    <n v="327"/>
    <n v="12187"/>
    <n v="126865"/>
    <n v="132347"/>
    <n v="5368"/>
    <n v="17363"/>
    <n v="216609"/>
    <n v="233972"/>
  </r>
  <r>
    <x v="101"/>
    <x v="0"/>
    <s v="19/20"/>
    <m/>
    <n v="9"/>
    <m/>
    <m/>
    <m/>
    <m/>
    <m/>
    <m/>
    <m/>
    <m/>
    <n v="0"/>
  </r>
  <r>
    <x v="15"/>
    <x v="0"/>
    <s v="19/20"/>
    <m/>
    <n v="11"/>
    <n v="-67982"/>
    <n v="431"/>
    <n v="106340"/>
    <n v="264106"/>
    <n v="138596"/>
    <n v="13953"/>
    <n v="33545"/>
    <n v="348232"/>
    <n v="381777"/>
  </r>
  <r>
    <x v="16"/>
    <x v="0"/>
    <s v="19/20"/>
    <m/>
    <n v="6"/>
    <n v="-70038"/>
    <n v="647"/>
    <n v="193252"/>
    <n v="2052421"/>
    <n v="429393"/>
    <n v="372354"/>
    <n v="1075416"/>
    <n v="604651"/>
    <n v="1680067"/>
  </r>
  <r>
    <x v="17"/>
    <x v="0"/>
    <s v="19/20"/>
    <m/>
    <n v="19"/>
    <n v="-34621"/>
    <n v="328"/>
    <n v="24296"/>
    <n v="265332"/>
    <n v="131477"/>
    <n v="10195"/>
    <n v="133327"/>
    <n v="121810"/>
    <n v="255137"/>
  </r>
  <r>
    <x v="18"/>
    <x v="0"/>
    <s v="19/20"/>
    <m/>
    <n v="16"/>
    <n v="-71651"/>
    <n v="582"/>
    <n v="146844"/>
    <n v="247297"/>
    <n v="153410"/>
    <n v="-158073"/>
    <n v="119329"/>
    <n v="286041"/>
    <n v="405370"/>
  </r>
  <r>
    <x v="19"/>
    <x v="0"/>
    <s v="19/20"/>
    <n v="1"/>
    <n v="7"/>
    <n v="-40583"/>
    <n v="380"/>
    <n v="178425"/>
    <n v="310040"/>
    <n v="146756"/>
    <n v="-85662"/>
    <n v="80459"/>
    <n v="315243"/>
    <n v="395702"/>
  </r>
  <r>
    <x v="103"/>
    <x v="1"/>
    <s v="19/20"/>
    <m/>
    <n v="16"/>
    <m/>
    <m/>
    <m/>
    <m/>
    <m/>
    <m/>
    <m/>
    <m/>
    <n v="0"/>
  </r>
  <r>
    <x v="20"/>
    <x v="1"/>
    <s v="19/20"/>
    <m/>
    <n v="11"/>
    <n v="-20847"/>
    <n v="337"/>
    <n v="0"/>
    <n v="308431"/>
    <n v="103827"/>
    <n v="137147"/>
    <n v="102195"/>
    <n v="69089"/>
    <n v="171284"/>
  </r>
  <r>
    <x v="21"/>
    <x v="1"/>
    <s v="19/20"/>
    <n v="1"/>
    <n v="3"/>
    <n v="1807"/>
    <n v="1061"/>
    <n v="56005"/>
    <n v="1096196"/>
    <n v="360269"/>
    <n v="81349"/>
    <n v="517275"/>
    <n v="497571"/>
    <n v="1014846"/>
  </r>
  <r>
    <x v="22"/>
    <x v="1"/>
    <s v="19/20"/>
    <m/>
    <n v="2"/>
    <n v="-97339"/>
    <n v="1412"/>
    <n v="268474"/>
    <n v="1474027"/>
    <n v="728783"/>
    <n v="35187"/>
    <n v="468491"/>
    <n v="970349"/>
    <n v="1438840"/>
  </r>
  <r>
    <x v="24"/>
    <x v="1"/>
    <s v="19/20"/>
    <m/>
    <n v="17"/>
    <n v="2620"/>
    <n v="235"/>
    <n v="38565"/>
    <n v="147689"/>
    <n v="70590"/>
    <n v="16327"/>
    <n v="84575"/>
    <n v="46787"/>
    <n v="131362"/>
  </r>
  <r>
    <x v="104"/>
    <x v="1"/>
    <s v="19/20"/>
    <m/>
    <n v="14"/>
    <m/>
    <m/>
    <m/>
    <m/>
    <m/>
    <m/>
    <m/>
    <m/>
    <n v="0"/>
  </r>
  <r>
    <x v="27"/>
    <x v="1"/>
    <s v="19/20"/>
    <m/>
    <n v="20"/>
    <n v="9126"/>
    <n v="289"/>
    <n v="9669"/>
    <n v="215661"/>
    <n v="102083"/>
    <n v="102301"/>
    <n v="25882"/>
    <n v="87478"/>
    <n v="113360"/>
  </r>
  <r>
    <x v="28"/>
    <x v="1"/>
    <s v="19/20"/>
    <m/>
    <n v="8"/>
    <n v="16640"/>
    <n v="284"/>
    <n v="76548"/>
    <n v="367967"/>
    <n v="88070"/>
    <n v="124525"/>
    <n v="164567"/>
    <n v="78875"/>
    <n v="243442"/>
  </r>
  <r>
    <x v="29"/>
    <x v="1"/>
    <s v="19/20"/>
    <m/>
    <n v="7"/>
    <m/>
    <m/>
    <m/>
    <m/>
    <m/>
    <m/>
    <m/>
    <m/>
    <n v="0"/>
  </r>
  <r>
    <x v="117"/>
    <x v="1"/>
    <s v="19/20"/>
    <m/>
    <n v="18"/>
    <m/>
    <m/>
    <m/>
    <m/>
    <m/>
    <m/>
    <m/>
    <m/>
    <n v="0"/>
  </r>
  <r>
    <x v="30"/>
    <x v="1"/>
    <s v="19/20"/>
    <m/>
    <n v="12"/>
    <m/>
    <m/>
    <m/>
    <m/>
    <m/>
    <m/>
    <m/>
    <m/>
    <n v="0"/>
  </r>
  <r>
    <x v="31"/>
    <x v="1"/>
    <s v="19/20"/>
    <m/>
    <n v="19"/>
    <n v="17040"/>
    <n v="134"/>
    <n v="67488"/>
    <n v="109752"/>
    <n v="59570"/>
    <n v="-46549"/>
    <n v="88766"/>
    <n v="67535"/>
    <n v="156301"/>
  </r>
  <r>
    <x v="32"/>
    <x v="1"/>
    <s v="19/20"/>
    <m/>
    <n v="10"/>
    <n v="2170"/>
    <n v="185"/>
    <n v="83467"/>
    <n v="290364"/>
    <n v="57540"/>
    <n v="44734"/>
    <n v="98753"/>
    <n v="146877"/>
    <n v="245630"/>
  </r>
  <r>
    <x v="34"/>
    <x v="1"/>
    <s v="19/20"/>
    <m/>
    <n v="15"/>
    <n v="1418"/>
    <n v="400"/>
    <n v="13452"/>
    <n v="176216"/>
    <n v="102398"/>
    <n v="13134"/>
    <n v="35768"/>
    <n v="127314"/>
    <n v="163082"/>
  </r>
  <r>
    <x v="35"/>
    <x v="1"/>
    <s v="19/20"/>
    <m/>
    <n v="1"/>
    <n v="313"/>
    <n v="777"/>
    <n v="511433"/>
    <n v="1322457"/>
    <n v="691800"/>
    <n v="423664"/>
    <n v="397465"/>
    <n v="501328"/>
    <n v="898793"/>
  </r>
  <r>
    <x v="36"/>
    <x v="1"/>
    <s v="19/20"/>
    <m/>
    <n v="6"/>
    <m/>
    <m/>
    <m/>
    <m/>
    <m/>
    <m/>
    <m/>
    <m/>
    <n v="0"/>
  </r>
  <r>
    <x v="37"/>
    <x v="1"/>
    <s v="19/20"/>
    <m/>
    <n v="4"/>
    <n v="1183"/>
    <n v="423"/>
    <n v="12815"/>
    <n v="340800"/>
    <n v="152340"/>
    <n v="98353"/>
    <n v="78752"/>
    <n v="163695"/>
    <n v="242447"/>
  </r>
  <r>
    <x v="38"/>
    <x v="1"/>
    <s v="19/20"/>
    <m/>
    <n v="9"/>
    <n v="-8022"/>
    <n v="432"/>
    <n v="31095"/>
    <n v="498858"/>
    <n v="173247"/>
    <n v="40291"/>
    <n v="246179"/>
    <n v="212388"/>
    <n v="458567"/>
  </r>
  <r>
    <x v="106"/>
    <x v="1"/>
    <s v="19/20"/>
    <m/>
    <n v="13"/>
    <m/>
    <m/>
    <m/>
    <m/>
    <m/>
    <m/>
    <m/>
    <m/>
    <n v="0"/>
  </r>
  <r>
    <x v="39"/>
    <x v="1"/>
    <s v="19/20"/>
    <m/>
    <n v="5"/>
    <n v="-994"/>
    <n v="304"/>
    <n v="0"/>
    <n v="217093"/>
    <n v="97752"/>
    <n v="95141"/>
    <n v="39987"/>
    <n v="81965"/>
    <n v="121952"/>
  </r>
  <r>
    <x v="40"/>
    <x v="2"/>
    <s v="19/20"/>
    <m/>
    <n v="6"/>
    <n v="-194616"/>
    <n v="407"/>
    <n v="96517"/>
    <n v="380588"/>
    <n v="188879"/>
    <n v="34124"/>
    <n v="45702"/>
    <n v="300762"/>
    <n v="346464"/>
  </r>
  <r>
    <x v="41"/>
    <x v="2"/>
    <s v="19/20"/>
    <m/>
    <n v="3"/>
    <n v="52667"/>
    <n v="175"/>
    <n v="830"/>
    <n v="325998"/>
    <n v="240980"/>
    <n v="130882"/>
    <n v="76340"/>
    <n v="118777"/>
    <n v="195117"/>
  </r>
  <r>
    <x v="42"/>
    <x v="2"/>
    <s v="19/20"/>
    <m/>
    <n v="12"/>
    <n v="-39518"/>
    <n v="198"/>
    <n v="8416"/>
    <n v="137397"/>
    <n v="71991"/>
    <n v="30032"/>
    <n v="25010"/>
    <n v="82355"/>
    <n v="107365"/>
  </r>
  <r>
    <x v="118"/>
    <x v="2"/>
    <s v="19/20"/>
    <m/>
    <n v="19"/>
    <m/>
    <m/>
    <m/>
    <m/>
    <m/>
    <m/>
    <m/>
    <m/>
    <n v="0"/>
  </r>
  <r>
    <x v="43"/>
    <x v="2"/>
    <s v="19/20"/>
    <m/>
    <n v="14"/>
    <m/>
    <m/>
    <m/>
    <m/>
    <m/>
    <m/>
    <m/>
    <m/>
    <n v="0"/>
  </r>
  <r>
    <x v="45"/>
    <x v="2"/>
    <s v="19/20"/>
    <m/>
    <n v="10"/>
    <n v="-29821"/>
    <n v="282"/>
    <n v="0"/>
    <n v="238903"/>
    <n v="34714"/>
    <n v="87536"/>
    <n v="49246"/>
    <n v="102121"/>
    <n v="151367"/>
  </r>
  <r>
    <x v="46"/>
    <x v="2"/>
    <s v="19/20"/>
    <m/>
    <n v="17"/>
    <n v="-33435"/>
    <n v="195"/>
    <n v="23868"/>
    <n v="281557"/>
    <n v="65094"/>
    <n v="14389"/>
    <n v="136346"/>
    <n v="130822"/>
    <n v="267168"/>
  </r>
  <r>
    <x v="47"/>
    <x v="2"/>
    <s v="19/20"/>
    <m/>
    <n v="2"/>
    <n v="-102394"/>
    <n v="483"/>
    <n v="32278"/>
    <n v="915224"/>
    <n v="372370"/>
    <n v="-36949"/>
    <n v="594912"/>
    <n v="357260"/>
    <n v="952172"/>
  </r>
  <r>
    <x v="48"/>
    <x v="2"/>
    <s v="19/20"/>
    <m/>
    <n v="1"/>
    <n v="-89682"/>
    <n v="270"/>
    <n v="127598"/>
    <n v="1176876"/>
    <n v="573424"/>
    <n v="239205"/>
    <n v="502738"/>
    <n v="434933"/>
    <n v="937671"/>
  </r>
  <r>
    <x v="49"/>
    <x v="2"/>
    <s v="19/20"/>
    <m/>
    <n v="4"/>
    <n v="-15876"/>
    <n v="245"/>
    <n v="36535"/>
    <n v="288696"/>
    <n v="106259"/>
    <n v="26956"/>
    <n v="99204"/>
    <n v="162536"/>
    <n v="261740"/>
  </r>
  <r>
    <x v="119"/>
    <x v="2"/>
    <s v="19/20"/>
    <m/>
    <n v="18"/>
    <n v="-1101"/>
    <n v="154"/>
    <n v="4535"/>
    <n v="298465"/>
    <n v="39680"/>
    <n v="117052"/>
    <n v="78979"/>
    <n v="102434"/>
    <n v="181413"/>
  </r>
  <r>
    <x v="50"/>
    <x v="2"/>
    <s v="19/20"/>
    <m/>
    <n v="7"/>
    <n v="-18972"/>
    <n v="112"/>
    <n v="0"/>
    <n v="436910"/>
    <n v="271944"/>
    <n v="126451"/>
    <n v="106054"/>
    <n v="204405"/>
    <n v="310459"/>
  </r>
  <r>
    <x v="109"/>
    <x v="2"/>
    <s v="19/20"/>
    <m/>
    <n v="11"/>
    <s v="n.a."/>
    <s v="n.a."/>
    <s v="n.a."/>
    <s v="n.a."/>
    <s v="n.a."/>
    <s v="n.a."/>
    <s v="n.a."/>
    <s v="n.a."/>
    <e v="#VALUE!"/>
  </r>
  <r>
    <x v="51"/>
    <x v="2"/>
    <s v="19/20"/>
    <m/>
    <n v="5"/>
    <n v="-204028"/>
    <n v="424"/>
    <n v="22886"/>
    <n v="465969"/>
    <n v="173811"/>
    <n v="-242450"/>
    <n v="386910"/>
    <n v="321509"/>
    <n v="708419"/>
  </r>
  <r>
    <x v="53"/>
    <x v="2"/>
    <s v="19/20"/>
    <m/>
    <n v="15"/>
    <n v="-14704"/>
    <n v="169"/>
    <n v="21520"/>
    <n v="305207"/>
    <n v="70265"/>
    <n v="73919"/>
    <n v="109859"/>
    <n v="121429"/>
    <n v="231288"/>
  </r>
  <r>
    <x v="54"/>
    <x v="2"/>
    <s v="19/20"/>
    <m/>
    <n v="8"/>
    <n v="-1746"/>
    <n v="182"/>
    <n v="5893"/>
    <n v="243823"/>
    <n v="121289"/>
    <n v="26330"/>
    <n v="91905"/>
    <n v="125588"/>
    <n v="217493"/>
  </r>
  <r>
    <x v="120"/>
    <x v="2"/>
    <s v="19/20"/>
    <m/>
    <n v="20"/>
    <m/>
    <m/>
    <m/>
    <m/>
    <m/>
    <m/>
    <m/>
    <m/>
    <n v="0"/>
  </r>
  <r>
    <x v="56"/>
    <x v="2"/>
    <s v="19/20"/>
    <m/>
    <n v="16"/>
    <n v="-19070"/>
    <n v="166"/>
    <n v="0"/>
    <n v="209759"/>
    <n v="80561"/>
    <n v="72987"/>
    <n v="61677"/>
    <n v="75096"/>
    <n v="136773"/>
  </r>
  <r>
    <x v="57"/>
    <x v="2"/>
    <s v="19/20"/>
    <m/>
    <n v="13"/>
    <n v="-10033"/>
    <n v="194"/>
    <n v="3106"/>
    <n v="362654"/>
    <n v="67571"/>
    <n v="233167"/>
    <n v="51700"/>
    <n v="77787"/>
    <n v="129487"/>
  </r>
  <r>
    <x v="59"/>
    <x v="2"/>
    <s v="19/20"/>
    <m/>
    <n v="9"/>
    <n v="-14543"/>
    <n v="172"/>
    <n v="2655"/>
    <n v="245569"/>
    <n v="65590"/>
    <n v="92236"/>
    <n v="85686"/>
    <n v="67647"/>
    <n v="153333"/>
  </r>
  <r>
    <x v="61"/>
    <x v="3"/>
    <s v="19/20"/>
    <m/>
    <n v="5"/>
    <n v="65345"/>
    <m/>
    <n v="53472"/>
    <n v="135646"/>
    <n v="116346"/>
    <n v="-28298"/>
    <m/>
    <m/>
    <n v="163944"/>
  </r>
  <r>
    <x v="110"/>
    <x v="3"/>
    <s v="19/20"/>
    <m/>
    <n v="18"/>
    <n v="-3758"/>
    <m/>
    <n v="8791"/>
    <n v="56283"/>
    <n v="89354"/>
    <n v="-16057"/>
    <m/>
    <m/>
    <n v="72340"/>
  </r>
  <r>
    <x v="63"/>
    <x v="3"/>
    <s v="19/20"/>
    <m/>
    <n v="9"/>
    <n v="86753"/>
    <m/>
    <n v="65824"/>
    <n v="162546"/>
    <n v="63425"/>
    <n v="-6357"/>
    <m/>
    <m/>
    <n v="168903"/>
  </r>
  <r>
    <x v="64"/>
    <x v="3"/>
    <s v="19/20"/>
    <n v="1"/>
    <n v="3"/>
    <n v="-62900"/>
    <n v="286"/>
    <n v="42062"/>
    <n v="185600"/>
    <n v="65689"/>
    <n v="-170229"/>
    <n v="200417"/>
    <n v="155412"/>
    <n v="355829"/>
  </r>
  <r>
    <x v="112"/>
    <x v="3"/>
    <s v="19/20"/>
    <m/>
    <n v="14"/>
    <n v="-75682"/>
    <m/>
    <n v="34523"/>
    <n v="83453"/>
    <n v="45455"/>
    <n v="10108"/>
    <m/>
    <m/>
    <n v="73345"/>
  </r>
  <r>
    <x v="66"/>
    <x v="3"/>
    <s v="19/20"/>
    <m/>
    <n v="7"/>
    <n v="-20383"/>
    <n v="515"/>
    <n v="178779"/>
    <n v="275331"/>
    <n v="72103"/>
    <n v="-105571"/>
    <n v="129305"/>
    <n v="251597"/>
    <n v="380902"/>
  </r>
  <r>
    <x v="67"/>
    <x v="3"/>
    <s v="19/20"/>
    <n v="1"/>
    <n v="6"/>
    <n v="-6146"/>
    <n v="679"/>
    <n v="44200"/>
    <n v="236189"/>
    <n v="120616"/>
    <n v="-42104"/>
    <n v="158415"/>
    <n v="119878"/>
    <n v="278293"/>
  </r>
  <r>
    <x v="68"/>
    <x v="3"/>
    <s v="19/20"/>
    <m/>
    <n v="8"/>
    <m/>
    <m/>
    <m/>
    <m/>
    <m/>
    <m/>
    <m/>
    <m/>
    <n v="0"/>
  </r>
  <r>
    <x v="113"/>
    <x v="3"/>
    <s v="19/20"/>
    <m/>
    <n v="12"/>
    <m/>
    <m/>
    <m/>
    <m/>
    <m/>
    <m/>
    <m/>
    <m/>
    <n v="0"/>
  </r>
  <r>
    <x v="70"/>
    <x v="3"/>
    <s v="19/20"/>
    <m/>
    <n v="11"/>
    <m/>
    <m/>
    <m/>
    <m/>
    <m/>
    <m/>
    <m/>
    <m/>
    <n v="0"/>
  </r>
  <r>
    <x v="72"/>
    <x v="3"/>
    <s v="19/20"/>
    <n v="1"/>
    <n v="1"/>
    <n v="-54378"/>
    <m/>
    <n v="53791"/>
    <n v="286544"/>
    <n v="143589"/>
    <n v="118108"/>
    <m/>
    <m/>
    <n v="168436"/>
  </r>
  <r>
    <x v="73"/>
    <x v="3"/>
    <s v="19/20"/>
    <m/>
    <n v="10"/>
    <m/>
    <m/>
    <m/>
    <m/>
    <m/>
    <m/>
    <m/>
    <m/>
    <n v="0"/>
  </r>
  <r>
    <x v="74"/>
    <x v="3"/>
    <s v="19/20"/>
    <m/>
    <n v="17"/>
    <m/>
    <m/>
    <m/>
    <m/>
    <m/>
    <m/>
    <m/>
    <m/>
    <n v="0"/>
  </r>
  <r>
    <x v="75"/>
    <x v="3"/>
    <s v="19/20"/>
    <m/>
    <n v="13"/>
    <m/>
    <m/>
    <m/>
    <m/>
    <m/>
    <m/>
    <m/>
    <m/>
    <n v="0"/>
  </r>
  <r>
    <x v="76"/>
    <x v="3"/>
    <s v="19/20"/>
    <m/>
    <n v="15"/>
    <m/>
    <m/>
    <m/>
    <m/>
    <m/>
    <m/>
    <m/>
    <m/>
    <n v="0"/>
  </r>
  <r>
    <x v="77"/>
    <x v="3"/>
    <s v="19/20"/>
    <m/>
    <n v="4"/>
    <m/>
    <m/>
    <m/>
    <m/>
    <m/>
    <m/>
    <m/>
    <m/>
    <n v="0"/>
  </r>
  <r>
    <x v="78"/>
    <x v="3"/>
    <s v="19/20"/>
    <n v="1"/>
    <n v="2"/>
    <n v="-1539"/>
    <n v="108"/>
    <n v="11185"/>
    <n v="87676"/>
    <n v="54363"/>
    <n v="-70933"/>
    <n v="116331"/>
    <n v="42278"/>
    <n v="158609"/>
  </r>
  <r>
    <x v="79"/>
    <x v="3"/>
    <s v="19/20"/>
    <m/>
    <n v="16"/>
    <m/>
    <m/>
    <m/>
    <m/>
    <m/>
    <m/>
    <m/>
    <m/>
    <n v="0"/>
  </r>
  <r>
    <x v="121"/>
    <x v="4"/>
    <s v="19/20"/>
    <m/>
    <n v="19"/>
    <n v="4011"/>
    <m/>
    <m/>
    <n v="53697"/>
    <n v="25680"/>
    <n v="14476"/>
    <m/>
    <m/>
    <n v="39221"/>
  </r>
  <r>
    <x v="80"/>
    <x v="4"/>
    <s v="19/20"/>
    <m/>
    <n v="11"/>
    <n v="7998"/>
    <m/>
    <m/>
    <n v="62838"/>
    <n v="27412"/>
    <n v="13406"/>
    <m/>
    <m/>
    <n v="49432"/>
  </r>
  <r>
    <x v="81"/>
    <x v="4"/>
    <s v="19/20"/>
    <m/>
    <n v="9"/>
    <n v="-2"/>
    <m/>
    <m/>
    <n v="371972"/>
    <n v="62332"/>
    <n v="1526"/>
    <m/>
    <m/>
    <n v="370446"/>
  </r>
  <r>
    <x v="82"/>
    <x v="4"/>
    <s v="19/20"/>
    <m/>
    <n v="17"/>
    <n v="406"/>
    <m/>
    <m/>
    <n v="93490"/>
    <n v="103844"/>
    <n v="12614"/>
    <m/>
    <m/>
    <n v="80876"/>
  </r>
  <r>
    <x v="114"/>
    <x v="4"/>
    <s v="19/20"/>
    <m/>
    <n v="16"/>
    <n v="3541"/>
    <m/>
    <m/>
    <n v="41442"/>
    <n v="27563"/>
    <n v="16010"/>
    <m/>
    <m/>
    <n v="25432"/>
  </r>
  <r>
    <x v="86"/>
    <x v="4"/>
    <s v="19/20"/>
    <m/>
    <n v="12"/>
    <n v="-1188"/>
    <n v="12"/>
    <n v="3237"/>
    <n v="333886"/>
    <n v="14156"/>
    <n v="53197"/>
    <n v="263207"/>
    <n v="17482"/>
    <n v="280689"/>
  </r>
  <r>
    <x v="87"/>
    <x v="4"/>
    <s v="19/20"/>
    <n v="1"/>
    <n v="4"/>
    <n v="22250"/>
    <s v="n.a."/>
    <s v="n.a."/>
    <n v="184045"/>
    <n v="95465"/>
    <n v="-46812"/>
    <s v="n.a."/>
    <s v="n.a."/>
    <n v="230857"/>
  </r>
  <r>
    <x v="84"/>
    <x v="4"/>
    <s v="19/20"/>
    <m/>
    <n v="15"/>
    <n v="-10275"/>
    <m/>
    <m/>
    <n v="48159"/>
    <n v="27710"/>
    <n v="21903"/>
    <m/>
    <m/>
    <n v="26256"/>
  </r>
  <r>
    <x v="89"/>
    <x v="4"/>
    <s v="19/20"/>
    <m/>
    <n v="8"/>
    <n v="2764"/>
    <m/>
    <m/>
    <n v="63145"/>
    <n v="35836"/>
    <n v="26474"/>
    <m/>
    <m/>
    <n v="36671"/>
  </r>
  <r>
    <x v="85"/>
    <x v="4"/>
    <s v="19/20"/>
    <m/>
    <n v="13"/>
    <n v="-1157"/>
    <m/>
    <m/>
    <n v="71030"/>
    <n v="36717"/>
    <n v="1411"/>
    <m/>
    <m/>
    <n v="69619"/>
  </r>
  <r>
    <x v="115"/>
    <x v="4"/>
    <s v="19/20"/>
    <m/>
    <n v="18"/>
    <n v="8462"/>
    <m/>
    <m/>
    <n v="42474"/>
    <n v="20900"/>
    <n v="9274"/>
    <m/>
    <m/>
    <n v="33200"/>
  </r>
  <r>
    <x v="90"/>
    <x v="4"/>
    <s v="19/20"/>
    <m/>
    <n v="5"/>
    <n v="-2207"/>
    <s v="n.a."/>
    <n v="0"/>
    <n v="337777"/>
    <n v="17641"/>
    <n v="25817"/>
    <n v="122129"/>
    <n v="189831"/>
    <n v="311960"/>
  </r>
  <r>
    <x v="91"/>
    <x v="4"/>
    <s v="19/20"/>
    <n v="1"/>
    <n v="2"/>
    <n v="-97843"/>
    <s v="n.a."/>
    <s v="n.a."/>
    <n v="225876"/>
    <n v="118882"/>
    <n v="-55133"/>
    <s v="n.a."/>
    <s v="n.a."/>
    <n v="281009"/>
  </r>
  <r>
    <x v="92"/>
    <x v="4"/>
    <s v="19/20"/>
    <m/>
    <n v="7"/>
    <n v="-39334"/>
    <s v="n.a."/>
    <n v="16689"/>
    <n v="666934"/>
    <n v="210178"/>
    <n v="148788"/>
    <n v="346812"/>
    <n v="171334"/>
    <n v="518146"/>
  </r>
  <r>
    <x v="93"/>
    <x v="4"/>
    <s v="19/20"/>
    <m/>
    <n v="1"/>
    <n v="-174971"/>
    <s v="n.a."/>
    <n v="197494"/>
    <n v="1087390"/>
    <n v="518752"/>
    <n v="323861"/>
    <n v="97947"/>
    <n v="665582"/>
    <n v="763529"/>
  </r>
  <r>
    <x v="95"/>
    <x v="4"/>
    <s v="19/20"/>
    <m/>
    <n v="10"/>
    <n v="2327"/>
    <m/>
    <m/>
    <n v="80149"/>
    <n v="37826"/>
    <n v="15442"/>
    <m/>
    <m/>
    <n v="64707"/>
  </r>
  <r>
    <x v="96"/>
    <x v="4"/>
    <s v="19/20"/>
    <m/>
    <n v="14"/>
    <n v="2927"/>
    <m/>
    <m/>
    <n v="17566"/>
    <n v="28528"/>
    <n v="3878"/>
    <m/>
    <m/>
    <n v="13688"/>
  </r>
  <r>
    <x v="97"/>
    <x v="4"/>
    <s v="19/20"/>
    <m/>
    <n v="6"/>
    <n v="1964"/>
    <m/>
    <m/>
    <n v="65805"/>
    <n v="34175"/>
    <n v="65805"/>
    <m/>
    <m/>
    <n v="0"/>
  </r>
  <r>
    <x v="98"/>
    <x v="4"/>
    <s v="19/20"/>
    <m/>
    <n v="3"/>
    <n v="-1935"/>
    <s v="n.a."/>
    <s v="n.a."/>
    <n v="130050"/>
    <n v="61203"/>
    <n v="14603"/>
    <s v="n.a."/>
    <s v="n.a."/>
    <n v="115447"/>
  </r>
  <r>
    <x v="122"/>
    <x v="4"/>
    <s v="19/20"/>
    <m/>
    <n v="20"/>
    <n v="-4871"/>
    <m/>
    <m/>
    <n v="51168"/>
    <n v="36124"/>
    <n v="5697"/>
    <m/>
    <m/>
    <n v="45471"/>
  </r>
  <r>
    <x v="0"/>
    <x v="0"/>
    <s v="18/19 "/>
    <m/>
    <n v="5"/>
    <n v="-30545"/>
    <n v="724"/>
    <n v="10172"/>
    <n v="1040298"/>
    <n v="446268"/>
    <n v="443214"/>
    <n v="319195"/>
    <n v="277889"/>
    <n v="597084"/>
  </r>
  <r>
    <x v="116"/>
    <x v="0"/>
    <s v="18/19 "/>
    <m/>
    <n v="14"/>
    <n v="-32421"/>
    <n v="621"/>
    <n v="39600"/>
    <n v="166462"/>
    <n v="131134"/>
    <n v="-58686"/>
    <n v="120739"/>
    <n v="104282"/>
    <n v="225021"/>
  </r>
  <r>
    <x v="3"/>
    <x v="0"/>
    <s v="18/19 "/>
    <m/>
    <n v="17"/>
    <n v="-17861"/>
    <n v="954"/>
    <n v="243646"/>
    <n v="164027"/>
    <n v="159577"/>
    <n v="-140921"/>
    <n v="9758"/>
    <n v="295190"/>
    <n v="304948"/>
  </r>
  <r>
    <x v="4"/>
    <x v="0"/>
    <s v="18/19 "/>
    <m/>
    <n v="15"/>
    <n v="5036"/>
    <n v="255"/>
    <n v="576"/>
    <n v="146733"/>
    <n v="153623"/>
    <n v="85060"/>
    <n v="9989"/>
    <n v="51683"/>
    <n v="61672"/>
  </r>
  <r>
    <x v="123"/>
    <x v="0"/>
    <s v="18/19 "/>
    <m/>
    <n v="18"/>
    <m/>
    <m/>
    <m/>
    <m/>
    <m/>
    <m/>
    <m/>
    <m/>
    <n v="0"/>
  </r>
  <r>
    <x v="5"/>
    <x v="0"/>
    <s v="18/19 "/>
    <n v="1"/>
    <n v="3"/>
    <n v="-107667"/>
    <n v="798"/>
    <n v="79395"/>
    <n v="977142"/>
    <n v="498070"/>
    <n v="516956"/>
    <n v="43274"/>
    <n v="416913"/>
    <n v="460187"/>
  </r>
  <r>
    <x v="6"/>
    <x v="0"/>
    <s v="18/19 "/>
    <m/>
    <n v="12"/>
    <n v="2609"/>
    <n v="236"/>
    <n v="24375"/>
    <n v="203432"/>
    <n v="155404"/>
    <n v="33297"/>
    <n v="26101"/>
    <n v="69460"/>
    <n v="95561"/>
  </r>
  <r>
    <x v="7"/>
    <x v="0"/>
    <s v="18/19 "/>
    <m/>
    <n v="8"/>
    <n v="-124662"/>
    <n v="456"/>
    <n v="19999"/>
    <n v="443162"/>
    <n v="209226"/>
    <n v="179277"/>
    <n v="77885"/>
    <n v="185999"/>
    <n v="263884"/>
  </r>
  <r>
    <x v="100"/>
    <x v="0"/>
    <s v="18/19 "/>
    <m/>
    <n v="19"/>
    <n v="-22499"/>
    <n v="266"/>
    <n v="370"/>
    <n v="273019"/>
    <n v="153575"/>
    <n v="161781"/>
    <n v="54814"/>
    <n v="56424"/>
    <n v="111238"/>
  </r>
  <r>
    <x v="124"/>
    <x v="0"/>
    <s v="18/19 "/>
    <m/>
    <n v="20"/>
    <m/>
    <m/>
    <m/>
    <m/>
    <m/>
    <m/>
    <m/>
    <m/>
    <n v="0"/>
  </r>
  <r>
    <x v="9"/>
    <x v="0"/>
    <s v="18/19 "/>
    <m/>
    <n v="9"/>
    <n v="3958"/>
    <n v="171"/>
    <n v="9195"/>
    <n v="79730"/>
    <n v="20021"/>
    <n v="44990"/>
    <n v="17136"/>
    <n v="11335"/>
    <n v="28471"/>
  </r>
  <r>
    <x v="10"/>
    <x v="0"/>
    <s v="18/19 "/>
    <m/>
    <n v="2"/>
    <n v="37673"/>
    <n v="853"/>
    <n v="89466"/>
    <n v="839985"/>
    <n v="601353"/>
    <n v="280049"/>
    <n v="148748"/>
    <n v="411189"/>
    <n v="559937"/>
  </r>
  <r>
    <x v="11"/>
    <x v="0"/>
    <s v="18/19 "/>
    <n v="1"/>
    <n v="1"/>
    <n v="11237"/>
    <n v="463"/>
    <n v="10966"/>
    <n v="1318038"/>
    <n v="596658"/>
    <n v="843665"/>
    <n v="96437"/>
    <n v="377936"/>
    <n v="474373"/>
  </r>
  <r>
    <x v="12"/>
    <x v="0"/>
    <s v="18/19 "/>
    <m/>
    <n v="6"/>
    <n v="21050"/>
    <n v="940"/>
    <n v="0"/>
    <n v="1668469"/>
    <n v="699175"/>
    <n v="462907"/>
    <n v="727446"/>
    <n v="478116"/>
    <n v="1205562"/>
  </r>
  <r>
    <x v="13"/>
    <x v="0"/>
    <s v="18/19 "/>
    <m/>
    <n v="13"/>
    <n v="38729"/>
    <n v="274"/>
    <n v="2092"/>
    <n v="241463"/>
    <n v="196721"/>
    <n v="37403"/>
    <n v="161592"/>
    <n v="42469"/>
    <n v="204061"/>
  </r>
  <r>
    <x v="15"/>
    <x v="0"/>
    <s v="18/19 "/>
    <m/>
    <n v="16"/>
    <n v="-38170"/>
    <n v="385"/>
    <n v="48907"/>
    <n v="267409"/>
    <n v="161269"/>
    <n v="66550"/>
    <n v="58405"/>
    <n v="142454"/>
    <n v="200859"/>
  </r>
  <r>
    <x v="16"/>
    <x v="0"/>
    <s v="18/19 "/>
    <m/>
    <n v="4"/>
    <n v="76428"/>
    <n v="561"/>
    <n v="796"/>
    <n v="1889190"/>
    <n v="513627"/>
    <n v="450110"/>
    <n v="991585"/>
    <n v="447496"/>
    <n v="1439081"/>
  </r>
  <r>
    <x v="17"/>
    <x v="0"/>
    <s v="18/19 "/>
    <m/>
    <n v="11"/>
    <n v="10886"/>
    <n v="297"/>
    <n v="19997"/>
    <n v="210986"/>
    <n v="164627"/>
    <n v="-19444"/>
    <n v="114941"/>
    <n v="115489"/>
    <n v="230430"/>
  </r>
  <r>
    <x v="18"/>
    <x v="0"/>
    <s v="18/19 "/>
    <m/>
    <n v="10"/>
    <n v="-30749"/>
    <n v="542"/>
    <n v="101356"/>
    <n v="242669"/>
    <n v="215141"/>
    <n v="-88102"/>
    <n v="115735"/>
    <n v="215036"/>
    <n v="330771"/>
  </r>
  <r>
    <x v="19"/>
    <x v="0"/>
    <s v="18/19 "/>
    <m/>
    <n v="7"/>
    <n v="24413"/>
    <n v="365"/>
    <n v="184525"/>
    <n v="255686"/>
    <n v="194572"/>
    <n v="-45955"/>
    <n v="27792"/>
    <n v="273849"/>
    <n v="301641"/>
  </r>
  <r>
    <x v="20"/>
    <x v="1"/>
    <s v="18/19 "/>
    <m/>
    <n v="8"/>
    <n v="-17300"/>
    <n v="324"/>
    <n v="2307"/>
    <n v="224715"/>
    <n v="104850"/>
    <n v="112455"/>
    <n v="82173"/>
    <n v="50853"/>
    <n v="133026"/>
  </r>
  <r>
    <x v="21"/>
    <x v="1"/>
    <s v="18/19 "/>
    <m/>
    <n v="2"/>
    <n v="46700"/>
    <n v="1044"/>
    <n v="48543"/>
    <n v="944562"/>
    <n v="368000"/>
    <n v="-9883"/>
    <n v="539867"/>
    <n v="414578"/>
    <n v="954445"/>
  </r>
  <r>
    <x v="24"/>
    <x v="1"/>
    <s v="18/19 "/>
    <m/>
    <n v="17"/>
    <n v="15410"/>
    <n v="235"/>
    <n v="45456"/>
    <n v="276567"/>
    <n v="67970"/>
    <n v="39203"/>
    <n v="179699"/>
    <n v="57665"/>
    <n v="237364"/>
  </r>
  <r>
    <x v="25"/>
    <x v="1"/>
    <s v="18/19 "/>
    <m/>
    <n v="11"/>
    <m/>
    <m/>
    <m/>
    <m/>
    <m/>
    <m/>
    <m/>
    <m/>
    <n v="0"/>
  </r>
  <r>
    <x v="104"/>
    <x v="1"/>
    <s v="18/19 "/>
    <m/>
    <n v="12"/>
    <m/>
    <m/>
    <m/>
    <m/>
    <m/>
    <m/>
    <m/>
    <m/>
    <n v="0"/>
  </r>
  <r>
    <x v="27"/>
    <x v="1"/>
    <s v="18/19 "/>
    <m/>
    <n v="7"/>
    <n v="1826"/>
    <n v="365"/>
    <n v="25781"/>
    <n v="198304"/>
    <n v="86783"/>
    <n v="43142"/>
    <n v="66651"/>
    <n v="88510"/>
    <n v="155161"/>
  </r>
  <r>
    <x v="22"/>
    <x v="1"/>
    <s v="18/19 "/>
    <m/>
    <n v="1"/>
    <n v="4527"/>
    <n v="1338"/>
    <n v="11935"/>
    <n v="1358998"/>
    <n v="852171"/>
    <n v="132607"/>
    <n v="539226"/>
    <n v="687165"/>
    <n v="1226391"/>
  </r>
  <r>
    <x v="28"/>
    <x v="1"/>
    <s v="18/19 "/>
    <m/>
    <n v="5"/>
    <n v="6780"/>
    <n v="216"/>
    <n v="84678"/>
    <n v="183467"/>
    <n v="58070"/>
    <n v="55520"/>
    <n v="78857"/>
    <n v="49090"/>
    <n v="127947"/>
  </r>
  <r>
    <x v="125"/>
    <x v="1"/>
    <s v="18/19 "/>
    <m/>
    <n v="18"/>
    <n v="-20"/>
    <n v="168"/>
    <n v="57878"/>
    <n v="129647"/>
    <n v="60580"/>
    <n v="55178"/>
    <n v="50773"/>
    <n v="23696"/>
    <n v="74469"/>
  </r>
  <r>
    <x v="117"/>
    <x v="1"/>
    <s v="18/19 "/>
    <m/>
    <n v="13"/>
    <m/>
    <m/>
    <m/>
    <m/>
    <m/>
    <m/>
    <m/>
    <m/>
    <n v="0"/>
  </r>
  <r>
    <x v="30"/>
    <x v="1"/>
    <s v="18/19 "/>
    <m/>
    <n v="15"/>
    <m/>
    <m/>
    <m/>
    <m/>
    <m/>
    <m/>
    <m/>
    <m/>
    <n v="0"/>
  </r>
  <r>
    <x v="33"/>
    <x v="1"/>
    <s v="18/19 "/>
    <m/>
    <n v="20"/>
    <n v="10130"/>
    <n v="156"/>
    <n v="785"/>
    <n v="6805"/>
    <n v="7540"/>
    <n v="-262"/>
    <n v="6809"/>
    <n v="258"/>
    <n v="7067"/>
  </r>
  <r>
    <x v="34"/>
    <x v="1"/>
    <s v="18/19 "/>
    <m/>
    <n v="10"/>
    <n v="6159"/>
    <n v="408"/>
    <n v="17508"/>
    <n v="185583"/>
    <n v="108893"/>
    <n v="11736"/>
    <n v="57276"/>
    <n v="116571"/>
    <n v="173847"/>
  </r>
  <r>
    <x v="35"/>
    <x v="1"/>
    <s v="18/19 "/>
    <m/>
    <n v="3"/>
    <n v="38394"/>
    <n v="817"/>
    <n v="27588"/>
    <n v="1138283"/>
    <n v="602354"/>
    <n v="533676"/>
    <n v="132868"/>
    <n v="472759"/>
    <n v="605627"/>
  </r>
  <r>
    <x v="36"/>
    <x v="1"/>
    <s v="18/19 "/>
    <m/>
    <n v="9"/>
    <m/>
    <m/>
    <m/>
    <m/>
    <m/>
    <m/>
    <m/>
    <m/>
    <n v="0"/>
  </r>
  <r>
    <x v="105"/>
    <x v="1"/>
    <s v="18/19 "/>
    <m/>
    <n v="19"/>
    <m/>
    <m/>
    <m/>
    <m/>
    <m/>
    <m/>
    <m/>
    <m/>
    <n v="0"/>
  </r>
  <r>
    <x v="37"/>
    <x v="1"/>
    <s v="18/19 "/>
    <m/>
    <n v="6"/>
    <n v="2476"/>
    <n v="444"/>
    <n v="1141"/>
    <n v="263540"/>
    <n v="142449"/>
    <n v="101805"/>
    <n v="40636"/>
    <n v="121099"/>
    <n v="161735"/>
  </r>
  <r>
    <x v="38"/>
    <x v="1"/>
    <s v="18/19 "/>
    <m/>
    <n v="4"/>
    <n v="1475"/>
    <n v="408"/>
    <n v="14579"/>
    <n v="578098"/>
    <n v="187823"/>
    <n v="48400"/>
    <n v="323517"/>
    <n v="206181"/>
    <n v="529698"/>
  </r>
  <r>
    <x v="106"/>
    <x v="1"/>
    <s v="18/19 "/>
    <m/>
    <n v="16"/>
    <m/>
    <m/>
    <m/>
    <m/>
    <m/>
    <m/>
    <m/>
    <m/>
    <n v="0"/>
  </r>
  <r>
    <x v="39"/>
    <x v="1"/>
    <s v="18/19 "/>
    <m/>
    <n v="14"/>
    <n v="11819"/>
    <n v="379"/>
    <n v="0"/>
    <n v="203761"/>
    <n v="122301"/>
    <n v="96135"/>
    <n v="29639"/>
    <n v="77987"/>
    <n v="107626"/>
  </r>
  <r>
    <x v="40"/>
    <x v="2"/>
    <s v="18/19 "/>
    <n v="1"/>
    <n v="5"/>
    <n v="-145985"/>
    <n v="382"/>
    <n v="95543"/>
    <n v="455954"/>
    <n v="227739"/>
    <n v="83286"/>
    <n v="26664"/>
    <n v="346004"/>
    <n v="372668"/>
  </r>
  <r>
    <x v="41"/>
    <x v="2"/>
    <s v="18/19 "/>
    <m/>
    <n v="3"/>
    <n v="26582"/>
    <n v="176"/>
    <n v="740"/>
    <n v="207309"/>
    <n v="188002"/>
    <n v="78214"/>
    <n v="48469"/>
    <n v="80626"/>
    <n v="129095"/>
  </r>
  <r>
    <x v="42"/>
    <x v="2"/>
    <s v="18/19 "/>
    <m/>
    <n v="10"/>
    <n v="-21716"/>
    <n v="200"/>
    <n v="14482"/>
    <n v="144464"/>
    <n v="81140"/>
    <n v="26257"/>
    <n v="40899"/>
    <n v="77307"/>
    <n v="118206"/>
  </r>
  <r>
    <x v="43"/>
    <x v="2"/>
    <s v="18/19 "/>
    <m/>
    <n v="15"/>
    <m/>
    <m/>
    <m/>
    <m/>
    <m/>
    <m/>
    <m/>
    <m/>
    <n v="0"/>
  </r>
  <r>
    <x v="126"/>
    <x v="2"/>
    <s v="18/19 "/>
    <m/>
    <n v="20"/>
    <m/>
    <m/>
    <m/>
    <m/>
    <m/>
    <m/>
    <m/>
    <m/>
    <n v="0"/>
  </r>
  <r>
    <x v="44"/>
    <x v="2"/>
    <s v="18/19 "/>
    <m/>
    <n v="18"/>
    <n v="-7674"/>
    <n v="102"/>
    <n v="453"/>
    <n v="75684"/>
    <n v="29831"/>
    <n v="46552"/>
    <n v="27565"/>
    <n v="1567"/>
    <n v="29132"/>
  </r>
  <r>
    <x v="45"/>
    <x v="2"/>
    <s v="18/19 "/>
    <m/>
    <n v="16"/>
    <n v="-27683"/>
    <n v="216"/>
    <n v="7500"/>
    <n v="231005"/>
    <n v="105493"/>
    <n v="62179"/>
    <n v="36192"/>
    <n v="132633"/>
    <n v="168825"/>
  </r>
  <r>
    <x v="127"/>
    <x v="2"/>
    <s v="18/19 "/>
    <m/>
    <n v="19"/>
    <m/>
    <m/>
    <m/>
    <m/>
    <m/>
    <m/>
    <m/>
    <m/>
    <n v="0"/>
  </r>
  <r>
    <x v="46"/>
    <x v="2"/>
    <s v="18/19 "/>
    <m/>
    <n v="17"/>
    <n v="10231"/>
    <n v="171"/>
    <n v="17749"/>
    <n v="210189"/>
    <n v="154104"/>
    <n v="-5472"/>
    <n v="77071"/>
    <n v="138589"/>
    <n v="215660"/>
  </r>
  <r>
    <x v="47"/>
    <x v="2"/>
    <s v="18/19 "/>
    <n v="1"/>
    <n v="4"/>
    <n v="-48387"/>
    <n v="463"/>
    <n v="6717"/>
    <n v="829508"/>
    <n v="395390"/>
    <n v="-4555"/>
    <n v="604718"/>
    <n v="229345"/>
    <n v="834063"/>
  </r>
  <r>
    <x v="48"/>
    <x v="2"/>
    <s v="18/19 "/>
    <m/>
    <n v="1"/>
    <n v="-39895"/>
    <n v="250"/>
    <n v="41832"/>
    <n v="941760"/>
    <n v="621456"/>
    <n v="31242"/>
    <n v="519951"/>
    <n v="390567"/>
    <n v="910518"/>
  </r>
  <r>
    <x v="49"/>
    <x v="2"/>
    <s v="18/19 "/>
    <m/>
    <n v="8"/>
    <n v="-13161"/>
    <n v="233"/>
    <n v="0"/>
    <n v="253874"/>
    <n v="150080"/>
    <n v="42886"/>
    <n v="95883"/>
    <n v="115105"/>
    <n v="210988"/>
  </r>
  <r>
    <x v="50"/>
    <x v="2"/>
    <s v="18/19 "/>
    <m/>
    <n v="2"/>
    <n v="29164"/>
    <n v="110"/>
    <n v="0"/>
    <n v="339952"/>
    <n v="299862"/>
    <n v="145423"/>
    <n v="95980"/>
    <n v="98549"/>
    <n v="194529"/>
  </r>
  <r>
    <x v="109"/>
    <x v="2"/>
    <s v="18/19 "/>
    <m/>
    <n v="14"/>
    <s v="n.a."/>
    <s v="n.a."/>
    <s v="n.a."/>
    <s v="n.a."/>
    <s v="n.a."/>
    <s v="n.a."/>
    <s v="n.a."/>
    <s v="n.a."/>
    <e v="#VALUE!"/>
  </r>
  <r>
    <x v="51"/>
    <x v="2"/>
    <s v="18/19 "/>
    <n v="1"/>
    <n v="6"/>
    <n v="-24294"/>
    <n v="406"/>
    <n v="38952"/>
    <n v="442949"/>
    <n v="379646"/>
    <n v="-127452"/>
    <n v="317098"/>
    <n v="253303"/>
    <n v="570401"/>
  </r>
  <r>
    <x v="53"/>
    <x v="2"/>
    <s v="18/19 "/>
    <m/>
    <n v="9"/>
    <n v="-13064"/>
    <n v="167"/>
    <n v="26410"/>
    <n v="257279"/>
    <n v="124529"/>
    <n v="31940"/>
    <n v="82621"/>
    <n v="142718"/>
    <n v="225339"/>
  </r>
  <r>
    <x v="54"/>
    <x v="2"/>
    <s v="18/19 "/>
    <m/>
    <n v="11"/>
    <n v="843"/>
    <n v="180"/>
    <n v="25930"/>
    <n v="256812"/>
    <n v="68955"/>
    <n v="28076"/>
    <n v="106410"/>
    <n v="122326"/>
    <n v="228736"/>
  </r>
  <r>
    <x v="120"/>
    <x v="2"/>
    <s v="18/19 "/>
    <m/>
    <n v="13"/>
    <m/>
    <m/>
    <m/>
    <m/>
    <m/>
    <m/>
    <m/>
    <m/>
    <n v="0"/>
  </r>
  <r>
    <x v="56"/>
    <x v="2"/>
    <s v="18/19 "/>
    <m/>
    <n v="7"/>
    <n v="-13971"/>
    <n v="167"/>
    <n v="0"/>
    <n v="141147"/>
    <n v="96333"/>
    <n v="34249"/>
    <n v="33882"/>
    <n v="73015"/>
    <n v="106897"/>
  </r>
  <r>
    <x v="57"/>
    <x v="2"/>
    <s v="18/19 "/>
    <m/>
    <n v="12"/>
    <n v="1182"/>
    <n v="158"/>
    <n v="9978"/>
    <n v="180408"/>
    <n v="113195"/>
    <n v="17181"/>
    <n v="76493"/>
    <n v="86735"/>
    <n v="163228"/>
  </r>
  <r>
    <x v="128"/>
    <x v="3"/>
    <s v="18/19 "/>
    <m/>
    <n v="18"/>
    <n v="-42379"/>
    <n v="201"/>
    <n v="52374"/>
    <n v="95638"/>
    <n v="84354"/>
    <n v="-13365"/>
    <n v="45547"/>
    <n v="63456"/>
    <n v="109003"/>
  </r>
  <r>
    <x v="61"/>
    <x v="3"/>
    <s v="18/19 "/>
    <m/>
    <n v="9"/>
    <n v="-34689"/>
    <m/>
    <n v="38645"/>
    <n v="89654"/>
    <n v="196384"/>
    <n v="3397"/>
    <m/>
    <m/>
    <n v="86257"/>
  </r>
  <r>
    <x v="110"/>
    <x v="3"/>
    <s v="18/19 "/>
    <m/>
    <n v="13"/>
    <n v="-68423"/>
    <m/>
    <n v="77231"/>
    <n v="93421"/>
    <n v="143212"/>
    <n v="2597"/>
    <m/>
    <m/>
    <n v="90824"/>
  </r>
  <r>
    <x v="63"/>
    <x v="3"/>
    <s v="18/19 "/>
    <m/>
    <n v="7"/>
    <n v="-75245"/>
    <m/>
    <n v="45679"/>
    <n v="186954"/>
    <n v="190346"/>
    <n v="47499"/>
    <m/>
    <m/>
    <n v="139455"/>
  </r>
  <r>
    <x v="111"/>
    <x v="3"/>
    <s v="18/19 "/>
    <m/>
    <n v="17"/>
    <n v="-58423"/>
    <m/>
    <n v="51276"/>
    <n v="152742"/>
    <n v="51824"/>
    <n v="2448"/>
    <m/>
    <m/>
    <n v="150294"/>
  </r>
  <r>
    <x v="64"/>
    <x v="3"/>
    <s v="18/19 "/>
    <n v="1"/>
    <n v="3"/>
    <n v="-46241"/>
    <n v="344"/>
    <n v="151295"/>
    <n v="174145"/>
    <n v="106562"/>
    <n v="-123300"/>
    <n v="54089"/>
    <n v="243356"/>
    <n v="297445"/>
  </r>
  <r>
    <x v="129"/>
    <x v="3"/>
    <s v="18/19 "/>
    <m/>
    <n v="16"/>
    <n v="-34221"/>
    <m/>
    <n v="79324"/>
    <n v="89543"/>
    <n v="185434"/>
    <n v="2596"/>
    <m/>
    <m/>
    <n v="86947"/>
  </r>
  <r>
    <x v="66"/>
    <x v="3"/>
    <s v="18/19 "/>
    <n v="1"/>
    <n v="6"/>
    <n v="-31158"/>
    <n v="564"/>
    <n v="145967"/>
    <n v="299547"/>
    <n v="135357"/>
    <n v="-98119"/>
    <n v="180174"/>
    <n v="217492"/>
    <n v="397666"/>
  </r>
  <r>
    <x v="67"/>
    <x v="3"/>
    <s v="18/19 "/>
    <n v="1"/>
    <n v="1"/>
    <n v="4618"/>
    <n v="534"/>
    <n v="93734"/>
    <n v="216949"/>
    <n v="165860"/>
    <n v="-41331"/>
    <n v="63205"/>
    <n v="195075"/>
    <n v="258280"/>
  </r>
  <r>
    <x v="70"/>
    <x v="3"/>
    <s v="18/19 "/>
    <m/>
    <n v="15"/>
    <m/>
    <m/>
    <m/>
    <m/>
    <m/>
    <m/>
    <m/>
    <m/>
    <n v="0"/>
  </r>
  <r>
    <x v="72"/>
    <x v="3"/>
    <s v="18/19 "/>
    <m/>
    <n v="2"/>
    <n v="32342"/>
    <m/>
    <n v="62839"/>
    <n v="190345"/>
    <n v="174053"/>
    <n v="46755"/>
    <m/>
    <m/>
    <n v="143590"/>
  </r>
  <r>
    <x v="73"/>
    <x v="3"/>
    <s v="18/19 "/>
    <m/>
    <n v="14"/>
    <n v="-34521"/>
    <m/>
    <n v="54376"/>
    <n v="158234"/>
    <n v="198065"/>
    <n v="-40501"/>
    <m/>
    <m/>
    <n v="198735"/>
  </r>
  <r>
    <x v="74"/>
    <x v="3"/>
    <s v="18/19 "/>
    <m/>
    <n v="12"/>
    <n v="12534"/>
    <m/>
    <n v="98072"/>
    <n v="134534"/>
    <n v="113829"/>
    <n v="-50808"/>
    <m/>
    <m/>
    <n v="185342"/>
  </r>
  <r>
    <x v="75"/>
    <x v="3"/>
    <s v="18/19 "/>
    <m/>
    <n v="8"/>
    <n v="-75234"/>
    <m/>
    <n v="98523"/>
    <n v="153089"/>
    <n v="190853"/>
    <n v="-25564"/>
    <m/>
    <m/>
    <n v="178653"/>
  </r>
  <r>
    <x v="76"/>
    <x v="3"/>
    <s v="18/19 "/>
    <m/>
    <n v="10"/>
    <m/>
    <m/>
    <m/>
    <m/>
    <m/>
    <m/>
    <m/>
    <m/>
    <m/>
  </r>
  <r>
    <x v="77"/>
    <x v="3"/>
    <s v="18/19 "/>
    <m/>
    <n v="11"/>
    <m/>
    <m/>
    <m/>
    <m/>
    <m/>
    <m/>
    <m/>
    <m/>
    <n v="0"/>
  </r>
  <r>
    <x v="78"/>
    <x v="3"/>
    <s v="18/19 "/>
    <n v="1"/>
    <n v="4"/>
    <n v="-9985"/>
    <n v="86"/>
    <n v="43034"/>
    <n v="87761"/>
    <n v="62453"/>
    <n v="-78702"/>
    <n v="71931"/>
    <n v="94532"/>
    <n v="166463"/>
  </r>
  <r>
    <x v="79"/>
    <x v="3"/>
    <s v="18/19 "/>
    <m/>
    <n v="5"/>
    <m/>
    <m/>
    <m/>
    <m/>
    <m/>
    <m/>
    <m/>
    <m/>
    <n v="0"/>
  </r>
  <r>
    <x v="121"/>
    <x v="4"/>
    <s v="18/19 "/>
    <m/>
    <n v="15"/>
    <n v="3323"/>
    <m/>
    <m/>
    <n v="39016"/>
    <n v="32431"/>
    <n v="10465"/>
    <m/>
    <m/>
    <n v="28551"/>
  </r>
  <r>
    <x v="80"/>
    <x v="4"/>
    <s v="18/19 "/>
    <m/>
    <n v="13"/>
    <n v="-11333"/>
    <m/>
    <m/>
    <n v="22555"/>
    <n v="34653"/>
    <n v="5408"/>
    <m/>
    <m/>
    <n v="17147"/>
  </r>
  <r>
    <x v="81"/>
    <x v="4"/>
    <s v="18/19 "/>
    <m/>
    <n v="17"/>
    <n v="3"/>
    <m/>
    <m/>
    <n v="479032"/>
    <n v="111647"/>
    <n v="1528"/>
    <m/>
    <m/>
    <n v="477504"/>
  </r>
  <r>
    <x v="82"/>
    <x v="4"/>
    <s v="18/19 "/>
    <m/>
    <n v="4"/>
    <n v="536"/>
    <m/>
    <m/>
    <n v="82829"/>
    <n v="74374"/>
    <n v="12412"/>
    <m/>
    <m/>
    <n v="70417"/>
  </r>
  <r>
    <x v="130"/>
    <x v="4"/>
    <s v="18/19 "/>
    <m/>
    <n v="19"/>
    <n v="698"/>
    <m/>
    <m/>
    <n v="35250"/>
    <n v="36205"/>
    <n v="12677"/>
    <m/>
    <m/>
    <n v="22573"/>
  </r>
  <r>
    <x v="114"/>
    <x v="4"/>
    <s v="18/19 "/>
    <m/>
    <n v="18"/>
    <n v="1389"/>
    <m/>
    <m/>
    <n v="31538"/>
    <n v="34129"/>
    <n v="12583"/>
    <m/>
    <m/>
    <n v="18955"/>
  </r>
  <r>
    <x v="131"/>
    <x v="4"/>
    <s v="18/19"/>
    <m/>
    <n v="20"/>
    <n v="423"/>
    <m/>
    <m/>
    <n v="31677"/>
    <n v="39124"/>
    <n v="13236"/>
    <m/>
    <m/>
    <n v="18441"/>
  </r>
  <r>
    <x v="86"/>
    <x v="4"/>
    <s v="18/19 "/>
    <m/>
    <n v="14"/>
    <n v="-2782"/>
    <s v="n.a."/>
    <n v="3500"/>
    <n v="345427"/>
    <n v="21673"/>
    <n v="56885"/>
    <n v="271835"/>
    <n v="16707"/>
    <n v="288542"/>
  </r>
  <r>
    <x v="87"/>
    <x v="4"/>
    <s v="18/19 "/>
    <m/>
    <n v="2"/>
    <n v="-66587"/>
    <s v="n.a."/>
    <s v="n.a."/>
    <n v="154454"/>
    <n v="64235"/>
    <n v="-69061"/>
    <s v="n.a."/>
    <s v="n.a."/>
    <n v="223515"/>
  </r>
  <r>
    <x v="89"/>
    <x v="4"/>
    <s v="18/19 "/>
    <m/>
    <n v="6"/>
    <n v="3472"/>
    <m/>
    <m/>
    <n v="52336"/>
    <n v="51078"/>
    <n v="23729"/>
    <m/>
    <m/>
    <n v="28607"/>
  </r>
  <r>
    <x v="85"/>
    <x v="4"/>
    <s v="18/19"/>
    <m/>
    <n v="12"/>
    <n v="516"/>
    <m/>
    <m/>
    <n v="60402"/>
    <n v="51096"/>
    <n v="2602"/>
    <m/>
    <m/>
    <n v="57800"/>
  </r>
  <r>
    <x v="115"/>
    <x v="4"/>
    <s v="18/19 "/>
    <m/>
    <n v="9"/>
    <n v="3206"/>
    <m/>
    <m/>
    <n v="22660"/>
    <n v="32264"/>
    <n v="666"/>
    <m/>
    <m/>
    <n v="21994"/>
  </r>
  <r>
    <x v="90"/>
    <x v="4"/>
    <s v="18/19 "/>
    <m/>
    <n v="7"/>
    <n v="-1515"/>
    <n v="15"/>
    <n v="4356"/>
    <n v="358910"/>
    <n v="20807"/>
    <n v="30217"/>
    <n v="301995"/>
    <n v="26698"/>
    <n v="328693"/>
  </r>
  <r>
    <x v="91"/>
    <x v="4"/>
    <s v="18/19 "/>
    <n v="1"/>
    <n v="5"/>
    <n v="-91418"/>
    <s v="n.a."/>
    <s v="n.a."/>
    <n v="231253"/>
    <n v="129574"/>
    <n v="42710"/>
    <s v="n.a."/>
    <s v="n.a."/>
    <n v="188543"/>
  </r>
  <r>
    <x v="92"/>
    <x v="4"/>
    <s v="18/19 "/>
    <m/>
    <n v="3"/>
    <n v="2917"/>
    <n v="171"/>
    <n v="8983"/>
    <n v="616484"/>
    <n v="251075"/>
    <n v="188122"/>
    <n v="311671"/>
    <n v="116692"/>
    <n v="428362"/>
  </r>
  <r>
    <x v="93"/>
    <x v="4"/>
    <s v="18/19 "/>
    <n v="1"/>
    <n v="1"/>
    <n v="27627"/>
    <s v="n.a."/>
    <s v="n.a."/>
    <n v="985144"/>
    <n v="658677"/>
    <n v="467569"/>
    <s v="n.a."/>
    <s v="n.a."/>
    <n v="517575"/>
  </r>
  <r>
    <x v="95"/>
    <x v="4"/>
    <s v="18/19 "/>
    <m/>
    <n v="11"/>
    <n v="4927"/>
    <m/>
    <m/>
    <n v="39999"/>
    <n v="48667"/>
    <n v="13155"/>
    <m/>
    <m/>
    <n v="26844"/>
  </r>
  <r>
    <x v="97"/>
    <x v="4"/>
    <s v="18/19 "/>
    <m/>
    <n v="8"/>
    <n v="103"/>
    <m/>
    <m/>
    <n v="37312"/>
    <n v="41443"/>
    <n v="9106"/>
    <m/>
    <m/>
    <n v="28206"/>
  </r>
  <r>
    <x v="98"/>
    <x v="4"/>
    <s v="18/19 "/>
    <m/>
    <n v="10"/>
    <n v="8841"/>
    <n v="208"/>
    <n v="43160"/>
    <n v="154235"/>
    <n v="75894"/>
    <n v="31766"/>
    <n v="11501"/>
    <n v="110968"/>
    <n v="122469"/>
  </r>
  <r>
    <x v="122"/>
    <x v="4"/>
    <s v="18/19 "/>
    <m/>
    <n v="16"/>
    <n v="10274"/>
    <m/>
    <m/>
    <n v="51640"/>
    <n v="36648"/>
    <n v="10418"/>
    <m/>
    <m/>
    <n v="41222"/>
  </r>
  <r>
    <x v="0"/>
    <x v="0"/>
    <s v="17/18"/>
    <m/>
    <n v="6"/>
    <n v="64419"/>
    <n v="733"/>
    <n v="9687"/>
    <n v="1172168"/>
    <n v="459352"/>
    <n v="478314"/>
    <n v="413739"/>
    <n v="280115"/>
    <n v="693854"/>
  </r>
  <r>
    <x v="116"/>
    <x v="0"/>
    <s v="17/18"/>
    <m/>
    <n v="12"/>
    <n v="-10550"/>
    <n v="582"/>
    <n v="16700"/>
    <n v="117710"/>
    <n v="134861"/>
    <n v="-37801"/>
    <n v="32644"/>
    <n v="122852"/>
    <n v="155496"/>
  </r>
  <r>
    <x v="3"/>
    <x v="0"/>
    <s v="17/18"/>
    <m/>
    <n v="15"/>
    <n v="19115"/>
    <n v="294"/>
    <n v="180048"/>
    <n v="115216"/>
    <n v="156839"/>
    <n v="-124405"/>
    <n v="10241"/>
    <n v="229380"/>
    <n v="239621"/>
  </r>
  <r>
    <x v="4"/>
    <x v="0"/>
    <s v="17/18"/>
    <m/>
    <n v="7"/>
    <n v="41833"/>
    <n v="184"/>
    <n v="669"/>
    <n v="151116"/>
    <n v="156661"/>
    <n v="80898"/>
    <n v="11834"/>
    <n v="58383"/>
    <n v="70217"/>
  </r>
  <r>
    <x v="5"/>
    <x v="0"/>
    <s v="17/18"/>
    <m/>
    <n v="5"/>
    <n v="69916"/>
    <n v="756"/>
    <n v="0"/>
    <n v="851335"/>
    <n v="499802"/>
    <n v="442518"/>
    <n v="51190"/>
    <n v="357628"/>
    <n v="408818"/>
  </r>
  <r>
    <x v="6"/>
    <x v="0"/>
    <s v="17/18"/>
    <m/>
    <n v="11"/>
    <n v="-35867"/>
    <n v="227"/>
    <n v="25689"/>
    <n v="205939"/>
    <n v="150346"/>
    <n v="30688"/>
    <n v="25689"/>
    <n v="105458"/>
    <n v="131147"/>
  </r>
  <r>
    <x v="7"/>
    <x v="0"/>
    <s v="17/18"/>
    <m/>
    <n v="8"/>
    <n v="-14917"/>
    <n v="427"/>
    <n v="85645"/>
    <n v="435832"/>
    <n v="215466"/>
    <n v="140524"/>
    <n v="65149"/>
    <n v="230159"/>
    <n v="295308"/>
  </r>
  <r>
    <x v="124"/>
    <x v="0"/>
    <s v="17/18"/>
    <m/>
    <n v="16"/>
    <m/>
    <m/>
    <m/>
    <m/>
    <m/>
    <m/>
    <m/>
    <m/>
    <n v="0"/>
  </r>
  <r>
    <x v="9"/>
    <x v="0"/>
    <s v="17/18"/>
    <m/>
    <n v="9"/>
    <n v="-1178"/>
    <n v="167"/>
    <n v="10200"/>
    <n v="58190"/>
    <n v="20411"/>
    <n v="35633"/>
    <n v="8712"/>
    <n v="9680"/>
    <n v="18392"/>
  </r>
  <r>
    <x v="10"/>
    <x v="0"/>
    <s v="17/18"/>
    <m/>
    <n v="4"/>
    <n v="120748"/>
    <n v="837"/>
    <n v="113815"/>
    <n v="758923"/>
    <n v="518379"/>
    <n v="237172"/>
    <n v="140346"/>
    <n v="381406"/>
    <n v="521752"/>
  </r>
  <r>
    <x v="11"/>
    <x v="0"/>
    <s v="17/18"/>
    <n v="1"/>
    <n v="1"/>
    <n v="11764"/>
    <n v="449"/>
    <n v="14797"/>
    <n v="1360008"/>
    <n v="564054"/>
    <n v="841525"/>
    <n v="125666"/>
    <n v="392817"/>
    <n v="518483"/>
  </r>
  <r>
    <x v="12"/>
    <x v="0"/>
    <s v="17/18"/>
    <m/>
    <n v="2"/>
    <n v="-42411"/>
    <n v="922"/>
    <n v="4227"/>
    <n v="1742177"/>
    <n v="664704"/>
    <n v="481380"/>
    <n v="740699"/>
    <n v="520098"/>
    <n v="1260797"/>
  </r>
  <r>
    <x v="13"/>
    <x v="0"/>
    <s v="17/18"/>
    <m/>
    <n v="10"/>
    <n v="21014"/>
    <n v="271"/>
    <n v="39386"/>
    <n v="282591"/>
    <n v="201178"/>
    <n v="-1341"/>
    <n v="169957"/>
    <n v="113975"/>
    <n v="283932"/>
  </r>
  <r>
    <x v="15"/>
    <x v="0"/>
    <s v="17/18"/>
    <m/>
    <n v="17"/>
    <n v="31201"/>
    <n v="385"/>
    <n v="46366"/>
    <n v="287632"/>
    <n v="167287"/>
    <n v="105864"/>
    <n v="57193"/>
    <n v="124575"/>
    <n v="181768"/>
  </r>
  <r>
    <x v="132"/>
    <x v="0"/>
    <s v="17/18"/>
    <m/>
    <n v="19"/>
    <m/>
    <m/>
    <m/>
    <m/>
    <m/>
    <m/>
    <m/>
    <m/>
    <n v="0"/>
  </r>
  <r>
    <x v="133"/>
    <x v="0"/>
    <s v="17/18"/>
    <m/>
    <n v="18"/>
    <m/>
    <m/>
    <m/>
    <m/>
    <m/>
    <m/>
    <m/>
    <m/>
    <n v="0"/>
  </r>
  <r>
    <x v="16"/>
    <x v="0"/>
    <s v="17/18"/>
    <m/>
    <n v="3"/>
    <n v="127307"/>
    <n v="485"/>
    <n v="639"/>
    <n v="1464493"/>
    <n v="429076"/>
    <n v="377766"/>
    <n v="768549"/>
    <n v="318178"/>
    <n v="1086727"/>
  </r>
  <r>
    <x v="17"/>
    <x v="0"/>
    <s v="17/18"/>
    <m/>
    <n v="14"/>
    <n v="-34631"/>
    <n v="292"/>
    <n v="26531"/>
    <n v="215084"/>
    <n v="144516"/>
    <n v="-31408"/>
    <n v="107005"/>
    <n v="139487"/>
    <n v="246492"/>
  </r>
  <r>
    <x v="102"/>
    <x v="0"/>
    <s v="17/18"/>
    <m/>
    <n v="20"/>
    <m/>
    <m/>
    <m/>
    <m/>
    <m/>
    <m/>
    <m/>
    <m/>
    <n v="0"/>
  </r>
  <r>
    <x v="18"/>
    <x v="0"/>
    <s v="17/18"/>
    <m/>
    <n v="13"/>
    <n v="20826"/>
    <n v="435"/>
    <n v="89518"/>
    <n v="209815"/>
    <n v="199732"/>
    <n v="-57906"/>
    <n v="88784"/>
    <n v="178937"/>
    <n v="267721"/>
  </r>
  <r>
    <x v="103"/>
    <x v="1"/>
    <s v="17/18"/>
    <m/>
    <n v="14"/>
    <n v="-21540"/>
    <m/>
    <m/>
    <m/>
    <m/>
    <m/>
    <m/>
    <m/>
    <n v="0"/>
  </r>
  <r>
    <x v="20"/>
    <x v="1"/>
    <s v="17/18"/>
    <m/>
    <n v="16"/>
    <n v="-5896"/>
    <n v="324"/>
    <n v="20034"/>
    <n v="266783"/>
    <n v="98504"/>
    <n v="137909"/>
    <n v="89890"/>
    <n v="38984"/>
    <n v="128874"/>
  </r>
  <r>
    <x v="21"/>
    <x v="1"/>
    <s v="17/18"/>
    <m/>
    <n v="2"/>
    <n v="33580"/>
    <n v="964"/>
    <n v="41534"/>
    <n v="896455"/>
    <n v="389654"/>
    <n v="55708"/>
    <n v="95053"/>
    <n v="745694"/>
    <n v="840747"/>
  </r>
  <r>
    <x v="22"/>
    <x v="1"/>
    <s v="17/18"/>
    <m/>
    <n v="1"/>
    <n v="13120"/>
    <n v="1194"/>
    <n v="148434"/>
    <n v="964575"/>
    <n v="732432"/>
    <n v="32413"/>
    <n v="454343"/>
    <n v="245676"/>
    <n v="700019"/>
  </r>
  <r>
    <x v="24"/>
    <x v="1"/>
    <s v="17/18"/>
    <m/>
    <n v="13"/>
    <n v="12980"/>
    <n v="201"/>
    <n v="20925"/>
    <n v="367587"/>
    <n v="62070"/>
    <n v="-43555"/>
    <n v="268467"/>
    <n v="142675"/>
    <n v="411142"/>
  </r>
  <r>
    <x v="134"/>
    <x v="1"/>
    <s v="17/18"/>
    <m/>
    <n v="18"/>
    <s v="n.a."/>
    <n v="281"/>
    <n v="0"/>
    <n v="307341"/>
    <n v="132739"/>
    <n v="133803"/>
    <n v="82643"/>
    <n v="90895"/>
    <n v="173538"/>
  </r>
  <r>
    <x v="104"/>
    <x v="1"/>
    <s v="17/18"/>
    <m/>
    <n v="9"/>
    <m/>
    <m/>
    <m/>
    <m/>
    <m/>
    <m/>
    <m/>
    <m/>
    <n v="0"/>
  </r>
  <r>
    <x v="27"/>
    <x v="1"/>
    <s v="17/18"/>
    <m/>
    <n v="11"/>
    <n v="6377"/>
    <n v="340"/>
    <n v="0"/>
    <n v="191228"/>
    <n v="79557"/>
    <n v="43014"/>
    <n v="70628"/>
    <n v="77586"/>
    <n v="148214"/>
  </r>
  <r>
    <x v="28"/>
    <x v="1"/>
    <s v="17/18"/>
    <m/>
    <n v="8"/>
    <n v="4430"/>
    <n v="281"/>
    <n v="61534"/>
    <n v="103453"/>
    <n v="50420"/>
    <n v="-51042"/>
    <n v="56786"/>
    <n v="97709"/>
    <n v="154495"/>
  </r>
  <r>
    <x v="125"/>
    <x v="1"/>
    <s v="17/18"/>
    <m/>
    <n v="10"/>
    <n v="-543"/>
    <n v="234"/>
    <n v="9674"/>
    <n v="174467"/>
    <n v="58945"/>
    <n v="52367"/>
    <n v="46735"/>
    <n v="75365"/>
    <n v="122100"/>
  </r>
  <r>
    <x v="135"/>
    <x v="1"/>
    <s v="17/18"/>
    <m/>
    <n v="19"/>
    <m/>
    <m/>
    <m/>
    <m/>
    <m/>
    <m/>
    <m/>
    <m/>
    <n v="0"/>
  </r>
  <r>
    <x v="117"/>
    <x v="1"/>
    <s v="17/18"/>
    <m/>
    <n v="17"/>
    <m/>
    <m/>
    <m/>
    <m/>
    <m/>
    <m/>
    <m/>
    <m/>
    <n v="0"/>
  </r>
  <r>
    <x v="30"/>
    <x v="1"/>
    <s v="17/18"/>
    <m/>
    <n v="15"/>
    <m/>
    <m/>
    <m/>
    <m/>
    <m/>
    <m/>
    <m/>
    <m/>
    <n v="0"/>
  </r>
  <r>
    <x v="136"/>
    <x v="1"/>
    <s v="17/18"/>
    <m/>
    <n v="20"/>
    <m/>
    <m/>
    <m/>
    <m/>
    <m/>
    <m/>
    <m/>
    <m/>
    <n v="0"/>
  </r>
  <r>
    <x v="34"/>
    <x v="1"/>
    <s v="17/18"/>
    <m/>
    <n v="6"/>
    <n v="538"/>
    <n v="243"/>
    <n v="9542"/>
    <n v="124218"/>
    <n v="77373"/>
    <n v="5826"/>
    <n v="38102"/>
    <n v="80290"/>
    <n v="118392"/>
  </r>
  <r>
    <x v="35"/>
    <x v="1"/>
    <s v="17/18"/>
    <m/>
    <n v="3"/>
    <n v="31174"/>
    <n v="811"/>
    <n v="107564"/>
    <n v="1089025"/>
    <n v="748042"/>
    <n v="494566"/>
    <n v="176436"/>
    <n v="365435"/>
    <n v="541871"/>
  </r>
  <r>
    <x v="36"/>
    <x v="1"/>
    <s v="17/18"/>
    <m/>
    <n v="12"/>
    <m/>
    <m/>
    <m/>
    <m/>
    <m/>
    <m/>
    <m/>
    <m/>
    <n v="0"/>
  </r>
  <r>
    <x v="37"/>
    <x v="1"/>
    <s v="17/18"/>
    <m/>
    <n v="7"/>
    <n v="25726"/>
    <n v="432"/>
    <n v="1006"/>
    <n v="245540"/>
    <n v="165195"/>
    <n v="100964"/>
    <n v="32212"/>
    <n v="112364"/>
    <n v="144576"/>
  </r>
  <r>
    <x v="38"/>
    <x v="1"/>
    <s v="17/18"/>
    <m/>
    <n v="4"/>
    <n v="-36222"/>
    <n v="393"/>
    <n v="14501"/>
    <n v="513152"/>
    <n v="110084"/>
    <n v="47012"/>
    <n v="315985"/>
    <n v="150155"/>
    <n v="466140"/>
  </r>
  <r>
    <x v="39"/>
    <x v="1"/>
    <s v="17/18"/>
    <m/>
    <n v="5"/>
    <n v="2904"/>
    <n v="380"/>
    <n v="0"/>
    <n v="206069"/>
    <n v="101809"/>
    <n v="84316"/>
    <n v="34225"/>
    <n v="87528"/>
    <n v="121753"/>
  </r>
  <r>
    <x v="40"/>
    <x v="2"/>
    <s v="17/18"/>
    <n v="1"/>
    <n v="6"/>
    <n v="-126019"/>
    <n v="339"/>
    <n v="140271"/>
    <n v="435165"/>
    <n v="249648"/>
    <n v="-36043"/>
    <n v="46042"/>
    <n v="425166"/>
    <n v="471208"/>
  </r>
  <r>
    <x v="41"/>
    <x v="2"/>
    <s v="17/18"/>
    <m/>
    <n v="7"/>
    <n v="24397"/>
    <n v="156"/>
    <n v="1049"/>
    <n v="169939"/>
    <n v="155759"/>
    <n v="51632"/>
    <n v="43758"/>
    <n v="74548"/>
    <n v="118306"/>
  </r>
  <r>
    <x v="107"/>
    <x v="2"/>
    <s v="17/18"/>
    <m/>
    <n v="20"/>
    <m/>
    <m/>
    <m/>
    <m/>
    <m/>
    <m/>
    <m/>
    <m/>
    <n v="0"/>
  </r>
  <r>
    <x v="42"/>
    <x v="2"/>
    <s v="17/18"/>
    <m/>
    <n v="15"/>
    <n v="-4819"/>
    <n v="172"/>
    <n v="9819"/>
    <n v="116891"/>
    <n v="92815"/>
    <n v="30477"/>
    <n v="31422"/>
    <n v="54992"/>
    <n v="86414"/>
  </r>
  <r>
    <x v="43"/>
    <x v="2"/>
    <s v="17/18"/>
    <m/>
    <n v="16"/>
    <m/>
    <m/>
    <m/>
    <m/>
    <m/>
    <m/>
    <m/>
    <m/>
    <n v="0"/>
  </r>
  <r>
    <x v="126"/>
    <x v="2"/>
    <s v="17/18"/>
    <m/>
    <n v="13"/>
    <m/>
    <m/>
    <m/>
    <m/>
    <m/>
    <m/>
    <m/>
    <m/>
    <n v="0"/>
  </r>
  <r>
    <x v="108"/>
    <x v="2"/>
    <s v="17/18"/>
    <m/>
    <n v="18"/>
    <m/>
    <m/>
    <m/>
    <m/>
    <m/>
    <m/>
    <m/>
    <m/>
    <n v="0"/>
  </r>
  <r>
    <x v="45"/>
    <x v="2"/>
    <s v="17/18"/>
    <m/>
    <n v="8"/>
    <n v="-14586"/>
    <n v="183"/>
    <n v="12930"/>
    <n v="231716"/>
    <n v="104155"/>
    <n v="89862"/>
    <n v="39587"/>
    <n v="102268"/>
    <n v="141855"/>
  </r>
  <r>
    <x v="46"/>
    <x v="2"/>
    <s v="17/18"/>
    <m/>
    <n v="12"/>
    <n v="-4850"/>
    <n v="163"/>
    <n v="30197"/>
    <n v="219531"/>
    <n v="121809"/>
    <n v="-15703"/>
    <n v="86208"/>
    <n v="149025"/>
    <n v="235233"/>
  </r>
  <r>
    <x v="47"/>
    <x v="2"/>
    <s v="17/18"/>
    <n v="1"/>
    <n v="4"/>
    <n v="-17754"/>
    <n v="449"/>
    <n v="6251"/>
    <n v="850317"/>
    <n v="346990"/>
    <n v="3832"/>
    <n v="426048"/>
    <n v="420436"/>
    <n v="846484"/>
  </r>
  <r>
    <x v="48"/>
    <x v="2"/>
    <s v="17/18"/>
    <m/>
    <n v="1"/>
    <n v="-19230"/>
    <n v="236"/>
    <n v="52393"/>
    <n v="772668"/>
    <n v="504669"/>
    <n v="72045"/>
    <n v="387945"/>
    <n v="312678"/>
    <n v="700623"/>
  </r>
  <r>
    <x v="49"/>
    <x v="2"/>
    <s v="17/18"/>
    <m/>
    <n v="5"/>
    <n v="37307"/>
    <n v="188"/>
    <n v="0"/>
    <n v="254140"/>
    <n v="192944"/>
    <n v="57562"/>
    <n v="96722"/>
    <n v="99856"/>
    <n v="196578"/>
  </r>
  <r>
    <x v="50"/>
    <x v="2"/>
    <s v="17/18"/>
    <m/>
    <n v="2"/>
    <n v="-6373"/>
    <n v="105"/>
    <n v="0"/>
    <n v="283535"/>
    <n v="185402"/>
    <n v="116259"/>
    <n v="55567"/>
    <n v="111709"/>
    <n v="167276"/>
  </r>
  <r>
    <x v="51"/>
    <x v="2"/>
    <s v="17/18"/>
    <n v="1"/>
    <n v="3"/>
    <n v="-25498"/>
    <n v="348"/>
    <n v="37762"/>
    <n v="476739"/>
    <n v="320339"/>
    <n v="-105424"/>
    <n v="342188"/>
    <n v="239975"/>
    <n v="582163"/>
  </r>
  <r>
    <x v="53"/>
    <x v="2"/>
    <s v="17/18"/>
    <m/>
    <n v="10"/>
    <n v="12053"/>
    <n v="158"/>
    <n v="13720"/>
    <n v="224690"/>
    <n v="138999"/>
    <n v="45004"/>
    <n v="56529"/>
    <n v="123157"/>
    <n v="179686"/>
  </r>
  <r>
    <x v="54"/>
    <x v="2"/>
    <s v="17/18"/>
    <m/>
    <n v="11"/>
    <n v="8145"/>
    <n v="159"/>
    <n v="26649"/>
    <n v="175270"/>
    <n v="104836"/>
    <n v="27233"/>
    <n v="41128"/>
    <n v="106908"/>
    <n v="148036"/>
  </r>
  <r>
    <x v="120"/>
    <x v="2"/>
    <s v="17/18"/>
    <m/>
    <n v="17"/>
    <m/>
    <m/>
    <m/>
    <m/>
    <m/>
    <m/>
    <m/>
    <m/>
    <n v="0"/>
  </r>
  <r>
    <x v="56"/>
    <x v="2"/>
    <s v="17/18"/>
    <m/>
    <n v="9"/>
    <n v="-12362"/>
    <n v="148"/>
    <n v="0"/>
    <n v="147925"/>
    <n v="93084"/>
    <n v="48221"/>
    <n v="34112"/>
    <n v="65592"/>
    <n v="99704"/>
  </r>
  <r>
    <x v="57"/>
    <x v="2"/>
    <s v="17/18"/>
    <m/>
    <n v="14"/>
    <n v="-15093"/>
    <n v="111"/>
    <n v="2505"/>
    <n v="126027"/>
    <n v="69796"/>
    <n v="3371"/>
    <n v="52065"/>
    <n v="70591"/>
    <n v="122656"/>
  </r>
  <r>
    <x v="59"/>
    <x v="2"/>
    <s v="17/18"/>
    <m/>
    <n v="19"/>
    <n v="8281"/>
    <n v="142"/>
    <n v="5774"/>
    <n v="102334"/>
    <n v="65590"/>
    <n v="21810"/>
    <n v="33767"/>
    <n v="46757"/>
    <n v="80524"/>
  </r>
  <r>
    <x v="137"/>
    <x v="3"/>
    <s v="17/18"/>
    <m/>
    <n v="11"/>
    <n v="-5345"/>
    <m/>
    <n v="65437"/>
    <n v="153433"/>
    <n v="87658"/>
    <n v="17207"/>
    <m/>
    <m/>
    <n v="136226"/>
  </r>
  <r>
    <x v="61"/>
    <x v="3"/>
    <s v="17/18"/>
    <m/>
    <n v="12"/>
    <n v="4353"/>
    <m/>
    <n v="26361"/>
    <n v="265437"/>
    <n v="62456"/>
    <n v="10760"/>
    <m/>
    <m/>
    <n v="254677"/>
  </r>
  <r>
    <x v="63"/>
    <x v="3"/>
    <s v="17/18"/>
    <m/>
    <n v="14"/>
    <n v="6234"/>
    <m/>
    <n v="69572"/>
    <n v="165432"/>
    <n v="183643"/>
    <n v="-7222"/>
    <m/>
    <m/>
    <n v="172654"/>
  </r>
  <r>
    <x v="64"/>
    <x v="3"/>
    <s v="17/18"/>
    <n v="1"/>
    <n v="4"/>
    <n v="1914"/>
    <n v="345"/>
    <n v="88552"/>
    <n v="181504"/>
    <n v="173406"/>
    <n v="-96961"/>
    <n v="81897"/>
    <n v="196568"/>
    <n v="278465"/>
  </r>
  <r>
    <x v="129"/>
    <x v="3"/>
    <s v="17/18"/>
    <m/>
    <n v="13"/>
    <n v="8951"/>
    <m/>
    <n v="5746"/>
    <n v="78541"/>
    <n v="153244"/>
    <n v="-64912"/>
    <m/>
    <m/>
    <n v="143453"/>
  </r>
  <r>
    <x v="66"/>
    <x v="3"/>
    <s v="17/18"/>
    <n v="1"/>
    <n v="2"/>
    <n v="-53010"/>
    <n v="523"/>
    <n v="84905"/>
    <n v="228470"/>
    <n v="114271"/>
    <n v="-159951"/>
    <n v="241364"/>
    <n v="147056"/>
    <n v="388420"/>
  </r>
  <r>
    <x v="67"/>
    <x v="3"/>
    <s v="17/18"/>
    <n v="1"/>
    <n v="1"/>
    <n v="-43598"/>
    <n v="568"/>
    <n v="99728"/>
    <n v="188604"/>
    <n v="120753"/>
    <n v="-60128"/>
    <n v="43043"/>
    <n v="205689"/>
    <n v="248732"/>
  </r>
  <r>
    <x v="113"/>
    <x v="3"/>
    <s v="17/18"/>
    <m/>
    <n v="17"/>
    <m/>
    <m/>
    <m/>
    <m/>
    <m/>
    <m/>
    <m/>
    <m/>
    <n v="0"/>
  </r>
  <r>
    <x v="70"/>
    <x v="3"/>
    <s v="17/18"/>
    <m/>
    <n v="6"/>
    <m/>
    <m/>
    <m/>
    <m/>
    <m/>
    <m/>
    <m/>
    <m/>
    <n v="0"/>
  </r>
  <r>
    <x v="72"/>
    <x v="3"/>
    <s v="17/18"/>
    <m/>
    <n v="3"/>
    <n v="-24372"/>
    <m/>
    <n v="54389"/>
    <n v="235285"/>
    <n v="134594"/>
    <n v="-1660"/>
    <m/>
    <m/>
    <n v="236945"/>
  </r>
  <r>
    <x v="138"/>
    <x v="3"/>
    <s v="17/18"/>
    <m/>
    <n v="18"/>
    <n v="-4763"/>
    <m/>
    <n v="24365"/>
    <n v="96352"/>
    <n v="136543"/>
    <n v="-38181"/>
    <m/>
    <m/>
    <n v="134533"/>
  </r>
  <r>
    <x v="73"/>
    <x v="3"/>
    <s v="17/18"/>
    <m/>
    <n v="8"/>
    <n v="-52349"/>
    <m/>
    <n v="43893"/>
    <n v="158933"/>
    <n v="135897"/>
    <n v="29585"/>
    <m/>
    <m/>
    <n v="129348"/>
  </r>
  <r>
    <x v="74"/>
    <x v="3"/>
    <s v="17/18"/>
    <m/>
    <n v="9"/>
    <n v="13456"/>
    <m/>
    <n v="98035"/>
    <n v="205445"/>
    <n v="123908"/>
    <n v="90031"/>
    <m/>
    <m/>
    <n v="115414"/>
  </r>
  <r>
    <x v="75"/>
    <x v="3"/>
    <s v="17/18"/>
    <m/>
    <n v="15"/>
    <n v="-45238"/>
    <m/>
    <n v="43290"/>
    <n v="190235"/>
    <n v="128904"/>
    <n v="34798"/>
    <m/>
    <m/>
    <n v="155437"/>
  </r>
  <r>
    <x v="139"/>
    <x v="3"/>
    <s v="17/18"/>
    <m/>
    <n v="16"/>
    <n v="-53749"/>
    <m/>
    <n v="22345"/>
    <n v="86533"/>
    <n v="98354"/>
    <n v="-107801"/>
    <m/>
    <m/>
    <n v="194334"/>
  </r>
  <r>
    <x v="77"/>
    <x v="3"/>
    <s v="17/18"/>
    <m/>
    <n v="7"/>
    <m/>
    <m/>
    <m/>
    <m/>
    <m/>
    <m/>
    <m/>
    <m/>
    <n v="0"/>
  </r>
  <r>
    <x v="78"/>
    <x v="3"/>
    <s v="17/18"/>
    <n v="1"/>
    <n v="5"/>
    <n v="-55709"/>
    <n v="96"/>
    <n v="30457"/>
    <n v="76359"/>
    <n v="45752"/>
    <n v="-110649"/>
    <n v="91068"/>
    <n v="95939"/>
    <n v="187007"/>
  </r>
  <r>
    <x v="79"/>
    <x v="3"/>
    <s v="17/18"/>
    <m/>
    <n v="10"/>
    <m/>
    <m/>
    <m/>
    <m/>
    <m/>
    <m/>
    <m/>
    <m/>
    <n v="0"/>
  </r>
  <r>
    <x v="121"/>
    <x v="4"/>
    <s v="17/18"/>
    <m/>
    <n v="13"/>
    <n v="6098"/>
    <m/>
    <m/>
    <n v="21892"/>
    <n v="29377"/>
    <n v="7145"/>
    <m/>
    <m/>
    <n v="14747"/>
  </r>
  <r>
    <x v="80"/>
    <x v="4"/>
    <s v="17/18"/>
    <m/>
    <n v="14"/>
    <n v="11529"/>
    <m/>
    <m/>
    <n v="46745"/>
    <n v="31588"/>
    <n v="16740"/>
    <m/>
    <m/>
    <n v="30005"/>
  </r>
  <r>
    <x v="81"/>
    <x v="4"/>
    <s v="17/18"/>
    <n v="1"/>
    <n v="2"/>
    <n v="14"/>
    <m/>
    <m/>
    <n v="608097"/>
    <n v="123590"/>
    <n v="7896"/>
    <m/>
    <m/>
    <n v="600201"/>
  </r>
  <r>
    <x v="82"/>
    <x v="4"/>
    <s v="17/18"/>
    <m/>
    <n v="7"/>
    <n v="513"/>
    <m/>
    <m/>
    <n v="59947"/>
    <n v="63436"/>
    <n v="12384"/>
    <m/>
    <m/>
    <n v="47563"/>
  </r>
  <r>
    <x v="130"/>
    <x v="4"/>
    <s v="17/18"/>
    <m/>
    <n v="16"/>
    <n v="524"/>
    <m/>
    <m/>
    <n v="35396"/>
    <n v="36633"/>
    <n v="11748"/>
    <m/>
    <m/>
    <n v="23648"/>
  </r>
  <r>
    <x v="114"/>
    <x v="4"/>
    <s v="17/18"/>
    <m/>
    <n v="11"/>
    <n v="5933"/>
    <m/>
    <m/>
    <n v="29061"/>
    <n v="33112"/>
    <n v="11433"/>
    <m/>
    <m/>
    <n v="17628"/>
  </r>
  <r>
    <x v="86"/>
    <x v="4"/>
    <s v="17/18"/>
    <m/>
    <n v="6"/>
    <n v="-3036"/>
    <s v="n.a."/>
    <n v="3055"/>
    <n v="361916"/>
    <n v="18593"/>
    <n v="62167"/>
    <n v="278978"/>
    <n v="20771"/>
    <n v="299749"/>
  </r>
  <r>
    <x v="131"/>
    <x v="4"/>
    <s v="17/18"/>
    <m/>
    <n v="17"/>
    <n v="824"/>
    <m/>
    <m/>
    <n v="30314"/>
    <n v="35091"/>
    <n v="13094"/>
    <m/>
    <m/>
    <n v="17220"/>
  </r>
  <r>
    <x v="87"/>
    <x v="4"/>
    <s v="17/18"/>
    <m/>
    <n v="12"/>
    <n v="-141898"/>
    <s v="n.a."/>
    <s v="n.a."/>
    <n v="212624"/>
    <n v="53915"/>
    <n v="-141870"/>
    <s v="n.a."/>
    <s v="n.a."/>
    <n v="354494"/>
  </r>
  <r>
    <x v="84"/>
    <x v="4"/>
    <s v="17/18"/>
    <m/>
    <n v="20"/>
    <n v="443"/>
    <m/>
    <m/>
    <n v="30177"/>
    <n v="29541"/>
    <n v="13011"/>
    <m/>
    <m/>
    <n v="17166"/>
  </r>
  <r>
    <x v="89"/>
    <x v="4"/>
    <s v="17/18"/>
    <m/>
    <n v="10"/>
    <n v="5741"/>
    <m/>
    <m/>
    <n v="43738"/>
    <n v="43274"/>
    <n v="20335"/>
    <m/>
    <m/>
    <n v="23403"/>
  </r>
  <r>
    <x v="85"/>
    <x v="4"/>
    <s v="17/18"/>
    <m/>
    <n v="9"/>
    <n v="-139"/>
    <m/>
    <m/>
    <n v="30534"/>
    <n v="46454"/>
    <n v="2119"/>
    <m/>
    <m/>
    <n v="28415"/>
  </r>
  <r>
    <x v="90"/>
    <x v="4"/>
    <s v="17/18"/>
    <m/>
    <n v="8"/>
    <n v="-1778"/>
    <s v="n.a."/>
    <n v="0"/>
    <n v="375420"/>
    <n v="20016"/>
    <n v="33919"/>
    <n v="129640"/>
    <n v="211861"/>
    <n v="341501"/>
  </r>
  <r>
    <x v="91"/>
    <x v="4"/>
    <s v="17/18"/>
    <n v="1"/>
    <n v="4"/>
    <n v="-78584"/>
    <s v="n.a."/>
    <s v="n.a."/>
    <n v="178675"/>
    <n v="142967"/>
    <n v="26722"/>
    <s v="n.a."/>
    <s v="n.a."/>
    <n v="151953"/>
  </r>
  <r>
    <x v="92"/>
    <x v="4"/>
    <s v="17/18"/>
    <m/>
    <n v="3"/>
    <n v="2710"/>
    <n v="153"/>
    <n v="8987"/>
    <n v="596901"/>
    <n v="272038"/>
    <n v="185205"/>
    <n v="301641"/>
    <n v="110055"/>
    <n v="411696"/>
  </r>
  <r>
    <x v="93"/>
    <x v="4"/>
    <s v="17/18"/>
    <n v="1"/>
    <n v="1"/>
    <n v="47815"/>
    <n v="632"/>
    <n v="103885"/>
    <n v="1076450"/>
    <n v="706975"/>
    <n v="479264"/>
    <n v="81730"/>
    <n v="515456"/>
    <n v="597186"/>
  </r>
  <r>
    <x v="95"/>
    <x v="4"/>
    <s v="17/18"/>
    <m/>
    <n v="15"/>
    <n v="5550"/>
    <m/>
    <m/>
    <n v="29521"/>
    <n v="38698"/>
    <n v="8272"/>
    <m/>
    <m/>
    <n v="21249"/>
  </r>
  <r>
    <x v="98"/>
    <x v="4"/>
    <s v="17/18"/>
    <m/>
    <n v="5"/>
    <n v="4637"/>
    <s v="n.a."/>
    <s v="n.a."/>
    <n v="81208"/>
    <n v="53960"/>
    <n v="17563"/>
    <s v="n.a."/>
    <s v="n.a."/>
    <n v="63645"/>
  </r>
  <r>
    <x v="122"/>
    <x v="4"/>
    <s v="17/18"/>
    <m/>
    <n v="18"/>
    <n v="-424"/>
    <m/>
    <m/>
    <n v="30328"/>
    <n v="37647"/>
    <n v="547"/>
    <m/>
    <m/>
    <n v="29781"/>
  </r>
  <r>
    <x v="99"/>
    <x v="4"/>
    <s v="17/18"/>
    <m/>
    <n v="19"/>
    <n v="1288"/>
    <m/>
    <m/>
    <n v="5052"/>
    <n v="24493"/>
    <n v="1396"/>
    <m/>
    <m/>
    <n v="36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1BB09-DC00-2349-A6C1-A086EEF780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4" firstHeaderRow="1" firstDataRow="1" firstDataCol="1" rowPageCount="1" colPageCount="1"/>
  <pivotFields count="14">
    <pivotField axis="axisRow" showAll="0">
      <items count="141">
        <item x="40"/>
        <item x="60"/>
        <item x="137"/>
        <item x="128"/>
        <item x="61"/>
        <item x="103"/>
        <item x="62"/>
        <item x="121"/>
        <item x="80"/>
        <item x="110"/>
        <item x="63"/>
        <item x="0"/>
        <item x="81"/>
        <item x="82"/>
        <item x="1"/>
        <item x="41"/>
        <item x="20"/>
        <item x="21"/>
        <item x="22"/>
        <item x="111"/>
        <item x="107"/>
        <item x="64"/>
        <item x="42"/>
        <item x="116"/>
        <item x="2"/>
        <item x="118"/>
        <item x="3"/>
        <item x="4"/>
        <item x="129"/>
        <item x="23"/>
        <item x="130"/>
        <item x="43"/>
        <item x="123"/>
        <item x="24"/>
        <item x="5"/>
        <item x="126"/>
        <item x="83"/>
        <item x="108"/>
        <item x="6"/>
        <item x="112"/>
        <item x="25"/>
        <item x="134"/>
        <item x="114"/>
        <item x="131"/>
        <item x="104"/>
        <item x="26"/>
        <item x="44"/>
        <item x="27"/>
        <item x="7"/>
        <item x="65"/>
        <item x="66"/>
        <item x="45"/>
        <item x="127"/>
        <item x="100"/>
        <item x="67"/>
        <item x="68"/>
        <item x="113"/>
        <item x="46"/>
        <item x="28"/>
        <item x="69"/>
        <item x="125"/>
        <item x="86"/>
        <item x="70"/>
        <item x="29"/>
        <item x="71"/>
        <item x="124"/>
        <item x="105"/>
        <item x="47"/>
        <item x="72"/>
        <item x="48"/>
        <item x="138"/>
        <item x="73"/>
        <item x="74"/>
        <item x="75"/>
        <item x="135"/>
        <item x="49"/>
        <item x="119"/>
        <item x="8"/>
        <item x="117"/>
        <item x="9"/>
        <item x="30"/>
        <item x="87"/>
        <item x="10"/>
        <item x="88"/>
        <item x="136"/>
        <item x="31"/>
        <item x="11"/>
        <item x="12"/>
        <item x="84"/>
        <item x="89"/>
        <item x="85"/>
        <item x="50"/>
        <item x="13"/>
        <item x="115"/>
        <item x="14"/>
        <item x="90"/>
        <item x="91"/>
        <item x="92"/>
        <item x="32"/>
        <item x="139"/>
        <item x="93"/>
        <item x="109"/>
        <item x="33"/>
        <item x="94"/>
        <item x="95"/>
        <item x="34"/>
        <item x="35"/>
        <item x="36"/>
        <item x="76"/>
        <item x="51"/>
        <item x="52"/>
        <item x="53"/>
        <item x="54"/>
        <item x="37"/>
        <item x="101"/>
        <item x="77"/>
        <item x="15"/>
        <item x="120"/>
        <item x="55"/>
        <item x="96"/>
        <item x="97"/>
        <item x="98"/>
        <item x="132"/>
        <item x="133"/>
        <item x="56"/>
        <item x="16"/>
        <item x="122"/>
        <item x="78"/>
        <item x="99"/>
        <item x="57"/>
        <item x="38"/>
        <item x="58"/>
        <item x="106"/>
        <item x="59"/>
        <item x="39"/>
        <item x="17"/>
        <item x="102"/>
        <item x="18"/>
        <item x="19"/>
        <item x="79"/>
        <item t="default"/>
      </items>
    </pivotField>
    <pivotField axis="axisPage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1" hier="-1"/>
  </pageFields>
  <dataFields count="1">
    <dataField name="Count of Net profit(000,000s)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6D1B-B7A7-7047-9947-DF507B2BB89B}">
  <dimension ref="A1:AO411"/>
  <sheetViews>
    <sheetView zoomScale="75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G12" sqref="G12"/>
    </sheetView>
  </sheetViews>
  <sheetFormatPr baseColWidth="10" defaultRowHeight="16"/>
  <cols>
    <col min="1" max="1" width="26.6640625" style="74" bestFit="1" customWidth="1"/>
    <col min="2" max="2" width="25.1640625" style="74" bestFit="1" customWidth="1"/>
    <col min="3" max="3" width="15.5" style="74" bestFit="1" customWidth="1"/>
    <col min="4" max="4" width="49.83203125" style="74" bestFit="1" customWidth="1"/>
    <col min="5" max="5" width="27" style="74" bestFit="1" customWidth="1"/>
    <col min="6" max="6" width="64.83203125" style="74" bestFit="1" customWidth="1"/>
    <col min="7" max="7" width="51.1640625" style="74" bestFit="1" customWidth="1"/>
    <col min="8" max="8" width="54.1640625" style="74" bestFit="1" customWidth="1"/>
    <col min="9" max="9" width="14.6640625" style="74" bestFit="1" customWidth="1"/>
    <col min="10" max="10" width="61.5" bestFit="1" customWidth="1"/>
    <col min="11" max="12" width="15.83203125" customWidth="1"/>
    <col min="13" max="13" width="23.6640625" bestFit="1" customWidth="1"/>
    <col min="14" max="14" width="28.1640625" bestFit="1" customWidth="1"/>
    <col min="15" max="15" width="33.5" bestFit="1" customWidth="1"/>
    <col min="16" max="16" width="36.5" bestFit="1" customWidth="1"/>
    <col min="17" max="17" width="67.1640625" bestFit="1" customWidth="1"/>
    <col min="18" max="18" width="38.5" bestFit="1" customWidth="1"/>
    <col min="19" max="19" width="48.5" bestFit="1" customWidth="1"/>
    <col min="20" max="20" width="67.33203125" bestFit="1" customWidth="1"/>
    <col min="21" max="21" width="51.5" bestFit="1" customWidth="1"/>
    <col min="22" max="22" width="43.83203125" bestFit="1" customWidth="1"/>
    <col min="23" max="23" width="41.33203125" bestFit="1" customWidth="1"/>
  </cols>
  <sheetData>
    <row r="1" spans="1:23" ht="23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1" t="s">
        <v>195</v>
      </c>
      <c r="K1" s="1" t="s">
        <v>198</v>
      </c>
      <c r="L1" s="1"/>
      <c r="M1" s="1" t="s">
        <v>196</v>
      </c>
      <c r="N1" s="1" t="s">
        <v>197</v>
      </c>
      <c r="O1" s="2" t="s">
        <v>9</v>
      </c>
      <c r="P1" s="1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</row>
    <row r="2" spans="1:23">
      <c r="A2" s="24" t="s">
        <v>42</v>
      </c>
      <c r="B2" s="24" t="s">
        <v>43</v>
      </c>
      <c r="C2" s="24" t="s">
        <v>24</v>
      </c>
      <c r="D2" s="24">
        <v>0</v>
      </c>
      <c r="E2" s="24">
        <v>8</v>
      </c>
      <c r="F2" s="24">
        <f t="shared" ref="F2:F65" si="0">O2/S2</f>
        <v>-0.10999482133609528</v>
      </c>
      <c r="G2" s="24">
        <f t="shared" ref="G2:G65" si="1">LN(R2)</f>
        <v>11.199241589979447</v>
      </c>
      <c r="H2" s="24">
        <f t="shared" ref="H2:H65" si="2">W2/R2</f>
        <v>1.6600889497092028</v>
      </c>
      <c r="I2" s="24">
        <v>5.9083634469597589E-3</v>
      </c>
      <c r="J2" s="24">
        <f>O2/T2</f>
        <v>-0.10270495053335009</v>
      </c>
      <c r="K2" s="83">
        <f>M2/N2</f>
        <v>1.1944444444444444</v>
      </c>
      <c r="L2" s="84"/>
      <c r="M2" s="24">
        <v>43</v>
      </c>
      <c r="N2" s="24">
        <v>36</v>
      </c>
      <c r="O2" s="31">
        <v>-10620</v>
      </c>
      <c r="P2" s="32">
        <v>327</v>
      </c>
      <c r="Q2" s="29">
        <v>1379</v>
      </c>
      <c r="R2" s="29">
        <v>73075</v>
      </c>
      <c r="S2" s="33">
        <f>96550</f>
        <v>96550</v>
      </c>
      <c r="T2" s="29">
        <v>103403</v>
      </c>
      <c r="U2" s="29">
        <v>60877</v>
      </c>
      <c r="V2" s="29">
        <v>60434</v>
      </c>
      <c r="W2" s="29">
        <f t="shared" ref="W2:W33" si="3">U2+V2</f>
        <v>121311</v>
      </c>
    </row>
    <row r="3" spans="1:23" ht="17">
      <c r="A3" s="24" t="s">
        <v>44</v>
      </c>
      <c r="B3" s="24" t="s">
        <v>43</v>
      </c>
      <c r="C3" s="24" t="s">
        <v>24</v>
      </c>
      <c r="D3" s="24">
        <v>0</v>
      </c>
      <c r="E3" s="24">
        <v>3</v>
      </c>
      <c r="F3" s="24">
        <f t="shared" si="0"/>
        <v>-5.8775601681837604E-2</v>
      </c>
      <c r="G3" s="24">
        <f t="shared" si="1"/>
        <v>13.80624879999038</v>
      </c>
      <c r="H3" s="24">
        <f t="shared" si="2"/>
        <v>0.93085252946917629</v>
      </c>
      <c r="I3" s="24">
        <v>-1.9927482597235428E-2</v>
      </c>
      <c r="J3" s="24">
        <f t="shared" ref="J3:J66" si="4">O3/T3</f>
        <v>-0.36747920011677127</v>
      </c>
      <c r="K3" s="83">
        <f t="shared" ref="K3:K66" si="5">M3/N3</f>
        <v>1.5116279069767442</v>
      </c>
      <c r="L3" s="84"/>
      <c r="M3" s="24">
        <v>65</v>
      </c>
      <c r="N3" s="24">
        <v>43</v>
      </c>
      <c r="O3" s="25">
        <v>-25176</v>
      </c>
      <c r="P3" s="34">
        <v>1193</v>
      </c>
      <c r="Q3" s="28">
        <v>49911</v>
      </c>
      <c r="R3" s="28">
        <v>990781</v>
      </c>
      <c r="S3" s="28">
        <v>428341</v>
      </c>
      <c r="T3" s="28">
        <v>68510</v>
      </c>
      <c r="U3" s="28">
        <v>541190</v>
      </c>
      <c r="V3" s="28">
        <v>381081</v>
      </c>
      <c r="W3" s="29">
        <f t="shared" si="3"/>
        <v>922271</v>
      </c>
    </row>
    <row r="4" spans="1:23" ht="17">
      <c r="A4" s="24" t="s">
        <v>45</v>
      </c>
      <c r="B4" s="24" t="s">
        <v>43</v>
      </c>
      <c r="C4" s="24" t="s">
        <v>24</v>
      </c>
      <c r="D4" s="24">
        <v>1</v>
      </c>
      <c r="E4" s="24">
        <v>2</v>
      </c>
      <c r="F4" s="24">
        <f t="shared" si="0"/>
        <v>0.15274138357455255</v>
      </c>
      <c r="G4" s="24">
        <f t="shared" si="1"/>
        <v>14.153129993444031</v>
      </c>
      <c r="H4" s="24">
        <f t="shared" si="2"/>
        <v>1.2520057334188541</v>
      </c>
      <c r="I4" s="24">
        <v>4.6870059565132932E-2</v>
      </c>
      <c r="J4" s="24">
        <f t="shared" si="4"/>
        <v>-0.27625540396304782</v>
      </c>
      <c r="K4" s="83">
        <f t="shared" si="5"/>
        <v>1.7894736842105263</v>
      </c>
      <c r="L4" s="84"/>
      <c r="M4" s="24">
        <v>68</v>
      </c>
      <c r="N4" s="24">
        <v>38</v>
      </c>
      <c r="O4" s="25">
        <v>97577</v>
      </c>
      <c r="P4" s="34">
        <v>1392</v>
      </c>
      <c r="Q4" s="28">
        <v>175306</v>
      </c>
      <c r="R4" s="28">
        <v>1401607</v>
      </c>
      <c r="S4" s="28">
        <v>638838</v>
      </c>
      <c r="T4" s="28">
        <v>-353213</v>
      </c>
      <c r="U4" s="28">
        <v>914154</v>
      </c>
      <c r="V4" s="28">
        <v>840666</v>
      </c>
      <c r="W4" s="29">
        <f t="shared" si="3"/>
        <v>1754820</v>
      </c>
    </row>
    <row r="5" spans="1:23">
      <c r="A5" s="24" t="s">
        <v>54</v>
      </c>
      <c r="B5" s="24" t="s">
        <v>43</v>
      </c>
      <c r="C5" s="24" t="s">
        <v>24</v>
      </c>
      <c r="D5" s="24">
        <v>0</v>
      </c>
      <c r="E5" s="24">
        <v>17</v>
      </c>
      <c r="F5" s="24">
        <f t="shared" si="0"/>
        <v>1.446004863834542E-2</v>
      </c>
      <c r="G5" s="24">
        <f t="shared" si="1"/>
        <v>11.105618661982692</v>
      </c>
      <c r="H5" s="24">
        <f t="shared" si="2"/>
        <v>1.2953985333012743</v>
      </c>
      <c r="I5" s="24">
        <v>1.643932E-2</v>
      </c>
      <c r="J5" s="24">
        <f t="shared" si="4"/>
        <v>-3.3575825405707888E-2</v>
      </c>
      <c r="K5" s="83">
        <f t="shared" si="5"/>
        <v>0.68627450980392157</v>
      </c>
      <c r="L5" s="84"/>
      <c r="M5" s="24">
        <v>35</v>
      </c>
      <c r="N5" s="24">
        <v>51</v>
      </c>
      <c r="O5" s="40">
        <v>660</v>
      </c>
      <c r="P5" s="41">
        <v>273</v>
      </c>
      <c r="Q5" s="29">
        <v>946</v>
      </c>
      <c r="R5" s="29">
        <v>66544</v>
      </c>
      <c r="S5" s="29">
        <v>45643</v>
      </c>
      <c r="T5" s="29">
        <f>R5-W5</f>
        <v>-19657</v>
      </c>
      <c r="U5" s="29">
        <v>35433</v>
      </c>
      <c r="V5" s="29">
        <v>50768</v>
      </c>
      <c r="W5" s="29">
        <f t="shared" si="3"/>
        <v>86201</v>
      </c>
    </row>
    <row r="6" spans="1:23">
      <c r="A6" s="24" t="s">
        <v>56</v>
      </c>
      <c r="B6" s="24" t="s">
        <v>43</v>
      </c>
      <c r="C6" s="24" t="s">
        <v>24</v>
      </c>
      <c r="D6" s="24">
        <v>0</v>
      </c>
      <c r="E6" s="24">
        <v>11</v>
      </c>
      <c r="F6" s="24">
        <f t="shared" si="0"/>
        <v>-1.0854243022272343E-2</v>
      </c>
      <c r="G6" s="24">
        <f t="shared" si="1"/>
        <v>11.382224349045579</v>
      </c>
      <c r="H6" s="24">
        <f t="shared" si="2"/>
        <v>0.65006609837261253</v>
      </c>
      <c r="I6" s="24">
        <v>-1.2935643166002125E-2</v>
      </c>
      <c r="J6" s="24">
        <f t="shared" si="4"/>
        <v>-2.5076532273822706E-2</v>
      </c>
      <c r="K6" s="83">
        <f t="shared" si="5"/>
        <v>1</v>
      </c>
      <c r="L6" s="84"/>
      <c r="M6" s="24">
        <v>43</v>
      </c>
      <c r="N6" s="24">
        <v>43</v>
      </c>
      <c r="O6" s="40">
        <v>-770</v>
      </c>
      <c r="P6" s="41">
        <v>301</v>
      </c>
      <c r="Q6" s="29">
        <v>1224</v>
      </c>
      <c r="R6" s="29">
        <v>87748</v>
      </c>
      <c r="S6" s="44">
        <v>70940</v>
      </c>
      <c r="T6" s="29">
        <f>R6-W6</f>
        <v>30706</v>
      </c>
      <c r="U6" s="29">
        <v>54675</v>
      </c>
      <c r="V6" s="29">
        <v>2367</v>
      </c>
      <c r="W6" s="29">
        <f t="shared" si="3"/>
        <v>57042</v>
      </c>
    </row>
    <row r="7" spans="1:23">
      <c r="A7" s="24" t="s">
        <v>65</v>
      </c>
      <c r="B7" s="24" t="s">
        <v>43</v>
      </c>
      <c r="C7" s="24" t="s">
        <v>24</v>
      </c>
      <c r="D7" s="24">
        <v>0</v>
      </c>
      <c r="E7" s="24">
        <v>13</v>
      </c>
      <c r="F7" s="24">
        <f t="shared" si="0"/>
        <v>2.4258760107816711E-2</v>
      </c>
      <c r="G7" s="24">
        <f t="shared" si="1"/>
        <v>11.21958742766229</v>
      </c>
      <c r="H7" s="24">
        <f t="shared" si="2"/>
        <v>0.82748032235139524</v>
      </c>
      <c r="I7" s="24">
        <v>6.3284045999999997E-2</v>
      </c>
      <c r="J7" s="24">
        <f t="shared" si="4"/>
        <v>9.3035908596300329E-2</v>
      </c>
      <c r="K7" s="83">
        <f t="shared" si="5"/>
        <v>0.76923076923076927</v>
      </c>
      <c r="L7" s="84"/>
      <c r="M7" s="24">
        <v>40</v>
      </c>
      <c r="N7" s="24">
        <v>52</v>
      </c>
      <c r="O7" s="40">
        <v>1197</v>
      </c>
      <c r="P7" s="41">
        <v>291</v>
      </c>
      <c r="Q7" s="29">
        <v>965</v>
      </c>
      <c r="R7" s="29">
        <v>74577</v>
      </c>
      <c r="S7" s="29">
        <v>49343</v>
      </c>
      <c r="T7" s="29">
        <f>R7-W7</f>
        <v>12866</v>
      </c>
      <c r="U7" s="29">
        <v>44275</v>
      </c>
      <c r="V7" s="29">
        <v>17436</v>
      </c>
      <c r="W7" s="29">
        <f t="shared" si="3"/>
        <v>61711</v>
      </c>
    </row>
    <row r="8" spans="1:23" ht="17">
      <c r="A8" s="24" t="s">
        <v>67</v>
      </c>
      <c r="B8" s="24" t="s">
        <v>43</v>
      </c>
      <c r="C8" s="24" t="s">
        <v>24</v>
      </c>
      <c r="D8" s="24">
        <v>0</v>
      </c>
      <c r="E8" s="24">
        <v>14</v>
      </c>
      <c r="F8" s="24">
        <f t="shared" si="0"/>
        <v>7.8425784839426332E-2</v>
      </c>
      <c r="G8" s="24">
        <f t="shared" si="1"/>
        <v>12.568487584134461</v>
      </c>
      <c r="H8" s="24">
        <f t="shared" si="2"/>
        <v>0.48970451595391129</v>
      </c>
      <c r="I8" s="24">
        <v>-0.21315033011454734</v>
      </c>
      <c r="J8" s="24">
        <f t="shared" si="4"/>
        <v>9.1961156044135905E-2</v>
      </c>
      <c r="K8" s="83">
        <f t="shared" si="5"/>
        <v>0.75471698113207553</v>
      </c>
      <c r="L8" s="84"/>
      <c r="M8" s="24">
        <v>40</v>
      </c>
      <c r="N8" s="24">
        <v>53</v>
      </c>
      <c r="O8" s="25">
        <v>13485</v>
      </c>
      <c r="P8" s="26">
        <v>324</v>
      </c>
      <c r="Q8" s="28">
        <v>7546</v>
      </c>
      <c r="R8" s="28">
        <v>287359</v>
      </c>
      <c r="S8" s="28">
        <v>171946</v>
      </c>
      <c r="T8" s="28">
        <f>R8-W8</f>
        <v>146638</v>
      </c>
      <c r="U8" s="28">
        <v>93076</v>
      </c>
      <c r="V8" s="28">
        <v>47645</v>
      </c>
      <c r="W8" s="29">
        <f t="shared" si="3"/>
        <v>140721</v>
      </c>
    </row>
    <row r="9" spans="1:23" ht="17">
      <c r="A9" s="24" t="s">
        <v>75</v>
      </c>
      <c r="B9" s="24" t="s">
        <v>43</v>
      </c>
      <c r="C9" s="24" t="s">
        <v>24</v>
      </c>
      <c r="D9" s="24">
        <v>0</v>
      </c>
      <c r="E9" s="24">
        <v>15</v>
      </c>
      <c r="F9" s="24">
        <f t="shared" si="0"/>
        <v>-4.0610413318903794E-3</v>
      </c>
      <c r="G9" s="24">
        <f t="shared" si="1"/>
        <v>12.497110331607818</v>
      </c>
      <c r="H9" s="24">
        <f t="shared" si="2"/>
        <v>0.70027993407160183</v>
      </c>
      <c r="I9" s="24">
        <v>-0.27116651592392715</v>
      </c>
      <c r="J9" s="24">
        <f t="shared" si="4"/>
        <v>-9.2651478308580556E-3</v>
      </c>
      <c r="K9" s="83">
        <f t="shared" si="5"/>
        <v>0.80487804878048785</v>
      </c>
      <c r="L9" s="84"/>
      <c r="M9" s="24">
        <v>33</v>
      </c>
      <c r="N9" s="24">
        <v>41</v>
      </c>
      <c r="O9" s="25">
        <v>-743</v>
      </c>
      <c r="P9" s="26">
        <v>394</v>
      </c>
      <c r="Q9" s="28">
        <v>1441</v>
      </c>
      <c r="R9" s="28">
        <v>267563</v>
      </c>
      <c r="S9" s="28">
        <v>182958</v>
      </c>
      <c r="T9" s="28">
        <v>80193</v>
      </c>
      <c r="U9" s="28">
        <v>81987</v>
      </c>
      <c r="V9" s="28">
        <v>105382</v>
      </c>
      <c r="W9" s="29">
        <f t="shared" si="3"/>
        <v>187369</v>
      </c>
    </row>
    <row r="10" spans="1:23">
      <c r="A10" s="24" t="s">
        <v>95</v>
      </c>
      <c r="B10" s="24" t="s">
        <v>43</v>
      </c>
      <c r="C10" s="24" t="s">
        <v>24</v>
      </c>
      <c r="D10" s="24">
        <v>0</v>
      </c>
      <c r="E10" s="24">
        <v>16</v>
      </c>
      <c r="F10" s="24">
        <f t="shared" si="0"/>
        <v>-2.6892721426483485E-2</v>
      </c>
      <c r="G10" s="24">
        <f t="shared" si="1"/>
        <v>12.098726827129029</v>
      </c>
      <c r="H10" s="24">
        <f t="shared" si="2"/>
        <v>0.54044966962252916</v>
      </c>
      <c r="I10" s="24">
        <v>0.15234132</v>
      </c>
      <c r="J10" s="24">
        <f t="shared" si="4"/>
        <v>-1.1144085761007814E-2</v>
      </c>
      <c r="K10" s="83">
        <f t="shared" si="5"/>
        <v>0.5714285714285714</v>
      </c>
      <c r="L10" s="84"/>
      <c r="M10" s="24">
        <v>36</v>
      </c>
      <c r="N10" s="24">
        <v>63</v>
      </c>
      <c r="O10" s="40">
        <v>-920</v>
      </c>
      <c r="P10" s="41">
        <v>173</v>
      </c>
      <c r="Q10" s="29">
        <v>674</v>
      </c>
      <c r="R10" s="29">
        <v>179643</v>
      </c>
      <c r="S10" s="29">
        <v>34210</v>
      </c>
      <c r="T10" s="29">
        <f>R10-W10</f>
        <v>82555</v>
      </c>
      <c r="U10" s="29">
        <v>64554</v>
      </c>
      <c r="V10" s="29">
        <v>32534</v>
      </c>
      <c r="W10" s="29">
        <f t="shared" si="3"/>
        <v>97088</v>
      </c>
    </row>
    <row r="11" spans="1:23">
      <c r="A11" s="24" t="s">
        <v>108</v>
      </c>
      <c r="B11" s="24" t="s">
        <v>43</v>
      </c>
      <c r="C11" s="24" t="s">
        <v>24</v>
      </c>
      <c r="D11" s="24">
        <v>0</v>
      </c>
      <c r="E11" s="24">
        <v>10</v>
      </c>
      <c r="F11" s="24">
        <f t="shared" si="0"/>
        <v>2.6443384516411672E-3</v>
      </c>
      <c r="G11" s="24">
        <f t="shared" si="1"/>
        <v>11.883343538000824</v>
      </c>
      <c r="H11" s="24">
        <f t="shared" si="2"/>
        <v>0.81684549208058876</v>
      </c>
      <c r="I11" s="24">
        <v>6.3411534000000006E-2</v>
      </c>
      <c r="J11" s="24">
        <f t="shared" si="4"/>
        <v>5.0514570060692876E-2</v>
      </c>
      <c r="K11" s="83">
        <f t="shared" si="5"/>
        <v>0.72549019607843135</v>
      </c>
      <c r="L11" s="84"/>
      <c r="M11" s="24">
        <v>37</v>
      </c>
      <c r="N11" s="24">
        <v>51</v>
      </c>
      <c r="O11" s="40">
        <v>1340</v>
      </c>
      <c r="P11" s="41">
        <v>323</v>
      </c>
      <c r="Q11" s="29">
        <v>886</v>
      </c>
      <c r="R11" s="29">
        <v>144834</v>
      </c>
      <c r="S11" s="29">
        <v>506743</v>
      </c>
      <c r="T11" s="29">
        <f>R11-W11</f>
        <v>26527</v>
      </c>
      <c r="U11" s="29">
        <v>117843</v>
      </c>
      <c r="V11" s="29">
        <v>464</v>
      </c>
      <c r="W11" s="29">
        <f t="shared" si="3"/>
        <v>118307</v>
      </c>
    </row>
    <row r="12" spans="1:23">
      <c r="A12" s="24" t="s">
        <v>111</v>
      </c>
      <c r="B12" s="24" t="s">
        <v>43</v>
      </c>
      <c r="C12" s="24" t="s">
        <v>24</v>
      </c>
      <c r="D12" s="24">
        <v>0</v>
      </c>
      <c r="E12" s="24">
        <v>12</v>
      </c>
      <c r="F12" s="24">
        <f t="shared" si="0"/>
        <v>-0.67785234899328861</v>
      </c>
      <c r="G12" s="24">
        <f t="shared" si="1"/>
        <v>11.822943717267661</v>
      </c>
      <c r="H12" s="24">
        <f t="shared" si="2"/>
        <v>0.57148410282738638</v>
      </c>
      <c r="I12" s="24">
        <v>-0.39015435999999998</v>
      </c>
      <c r="J12" s="24">
        <f t="shared" si="4"/>
        <v>-0.12100777051312772</v>
      </c>
      <c r="K12" s="83">
        <f t="shared" si="5"/>
        <v>0.78</v>
      </c>
      <c r="L12" s="84"/>
      <c r="M12" s="24">
        <v>39</v>
      </c>
      <c r="N12" s="24">
        <v>50</v>
      </c>
      <c r="O12" s="40">
        <v>-7070</v>
      </c>
      <c r="P12" s="41">
        <v>98</v>
      </c>
      <c r="Q12" s="29">
        <v>476</v>
      </c>
      <c r="R12" s="29">
        <v>136345</v>
      </c>
      <c r="S12" s="29">
        <v>10430</v>
      </c>
      <c r="T12" s="29">
        <f>R12-W12</f>
        <v>58426</v>
      </c>
      <c r="U12" s="29">
        <v>34356</v>
      </c>
      <c r="V12" s="29">
        <v>43563</v>
      </c>
      <c r="W12" s="29">
        <f t="shared" si="3"/>
        <v>77919</v>
      </c>
    </row>
    <row r="13" spans="1:23" ht="17">
      <c r="A13" s="24" t="s">
        <v>114</v>
      </c>
      <c r="B13" s="24" t="s">
        <v>43</v>
      </c>
      <c r="C13" s="24" t="s">
        <v>24</v>
      </c>
      <c r="D13" s="24">
        <v>1</v>
      </c>
      <c r="E13" s="24">
        <v>5</v>
      </c>
      <c r="F13" s="24">
        <f t="shared" si="0"/>
        <v>-0.31181401568896067</v>
      </c>
      <c r="G13" s="24">
        <f t="shared" si="1"/>
        <v>12.031719258385396</v>
      </c>
      <c r="H13" s="24">
        <f t="shared" si="2"/>
        <v>1.41675</v>
      </c>
      <c r="I13" s="24">
        <v>-8.5800310125319607E-2</v>
      </c>
      <c r="J13" s="24">
        <f t="shared" si="4"/>
        <v>0.54616999700055702</v>
      </c>
      <c r="K13" s="83">
        <f t="shared" si="5"/>
        <v>1.55</v>
      </c>
      <c r="L13" s="84"/>
      <c r="M13" s="24">
        <v>62</v>
      </c>
      <c r="N13" s="24">
        <v>40</v>
      </c>
      <c r="O13" s="25">
        <v>-38239</v>
      </c>
      <c r="P13" s="26">
        <v>450</v>
      </c>
      <c r="Q13" s="28">
        <v>39946</v>
      </c>
      <c r="R13" s="28">
        <v>168000</v>
      </c>
      <c r="S13" s="28">
        <v>122634</v>
      </c>
      <c r="T13" s="28">
        <v>-70013</v>
      </c>
      <c r="U13" s="28">
        <v>82885</v>
      </c>
      <c r="V13" s="28">
        <v>155129</v>
      </c>
      <c r="W13" s="29">
        <f t="shared" si="3"/>
        <v>238014</v>
      </c>
    </row>
    <row r="14" spans="1:23" ht="17">
      <c r="A14" s="24" t="s">
        <v>115</v>
      </c>
      <c r="B14" s="24" t="s">
        <v>43</v>
      </c>
      <c r="C14" s="24" t="s">
        <v>24</v>
      </c>
      <c r="D14" s="24">
        <v>0</v>
      </c>
      <c r="E14" s="24">
        <v>1</v>
      </c>
      <c r="F14" s="24">
        <f t="shared" si="0"/>
        <v>1.7972208097496729E-2</v>
      </c>
      <c r="G14" s="24">
        <f t="shared" si="1"/>
        <v>14.634948040113837</v>
      </c>
      <c r="H14" s="24">
        <f t="shared" si="2"/>
        <v>0.75919202299641775</v>
      </c>
      <c r="I14" s="24">
        <v>2.0615477668286072E-2</v>
      </c>
      <c r="J14" s="24">
        <f t="shared" si="4"/>
        <v>2.3672927109124949E-2</v>
      </c>
      <c r="K14" s="83">
        <f t="shared" si="5"/>
        <v>2.5806451612903225</v>
      </c>
      <c r="L14" s="84"/>
      <c r="M14" s="24">
        <v>80</v>
      </c>
      <c r="N14" s="24">
        <v>31</v>
      </c>
      <c r="O14" s="25">
        <v>12936</v>
      </c>
      <c r="P14" s="26">
        <v>894</v>
      </c>
      <c r="Q14" s="28">
        <v>38356</v>
      </c>
      <c r="R14" s="28">
        <v>2269223</v>
      </c>
      <c r="S14" s="28">
        <v>719778</v>
      </c>
      <c r="T14" s="28">
        <v>546447</v>
      </c>
      <c r="U14" s="28">
        <v>1096046</v>
      </c>
      <c r="V14" s="28">
        <v>626730</v>
      </c>
      <c r="W14" s="29">
        <f t="shared" si="3"/>
        <v>1722776</v>
      </c>
    </row>
    <row r="15" spans="1:23" ht="17">
      <c r="A15" s="24" t="s">
        <v>120</v>
      </c>
      <c r="B15" s="24" t="s">
        <v>43</v>
      </c>
      <c r="C15" s="24" t="s">
        <v>24</v>
      </c>
      <c r="D15" s="24">
        <v>0</v>
      </c>
      <c r="E15" s="24">
        <v>4</v>
      </c>
      <c r="F15" s="24">
        <f t="shared" si="0"/>
        <v>1.4199340180323069E-2</v>
      </c>
      <c r="G15" s="24">
        <f t="shared" si="1"/>
        <v>13.660918947608103</v>
      </c>
      <c r="H15" s="24">
        <f t="shared" si="2"/>
        <v>0.86124199751390407</v>
      </c>
      <c r="I15" s="24">
        <v>-0.14435410249187527</v>
      </c>
      <c r="J15" s="24">
        <f t="shared" si="4"/>
        <v>4.6087329559314619E-2</v>
      </c>
      <c r="K15" s="83">
        <f t="shared" si="5"/>
        <v>1.7666666666666666</v>
      </c>
      <c r="L15" s="84"/>
      <c r="M15" s="24">
        <v>53</v>
      </c>
      <c r="N15" s="24">
        <v>30</v>
      </c>
      <c r="O15" s="25">
        <v>5479</v>
      </c>
      <c r="P15" s="26">
        <v>524</v>
      </c>
      <c r="Q15" s="28">
        <v>95635</v>
      </c>
      <c r="R15" s="28">
        <v>856765</v>
      </c>
      <c r="S15" s="28">
        <v>385863</v>
      </c>
      <c r="T15" s="28">
        <f>R15-W15</f>
        <v>118883</v>
      </c>
      <c r="U15" s="28">
        <v>478007</v>
      </c>
      <c r="V15" s="28">
        <v>259875</v>
      </c>
      <c r="W15" s="29">
        <f t="shared" si="3"/>
        <v>737882</v>
      </c>
    </row>
    <row r="16" spans="1:23" ht="17">
      <c r="A16" s="24" t="s">
        <v>132</v>
      </c>
      <c r="B16" s="24" t="s">
        <v>43</v>
      </c>
      <c r="C16" s="24" t="s">
        <v>24</v>
      </c>
      <c r="D16" s="24">
        <v>0</v>
      </c>
      <c r="E16" s="24">
        <v>9</v>
      </c>
      <c r="F16" s="24">
        <f t="shared" si="0"/>
        <v>-0.41838281342179545</v>
      </c>
      <c r="G16" s="24">
        <f t="shared" si="1"/>
        <v>12.851756031902989</v>
      </c>
      <c r="H16" s="24">
        <f t="shared" si="2"/>
        <v>0.98275563758002193</v>
      </c>
      <c r="I16" s="24">
        <v>6.1411534650476649E-2</v>
      </c>
      <c r="J16" s="24">
        <f t="shared" si="4"/>
        <v>-7.007753116448769</v>
      </c>
      <c r="K16" s="83">
        <f t="shared" si="5"/>
        <v>0.90566037735849059</v>
      </c>
      <c r="L16" s="84"/>
      <c r="M16" s="24">
        <v>48</v>
      </c>
      <c r="N16" s="24">
        <v>53</v>
      </c>
      <c r="O16" s="25">
        <v>-46097</v>
      </c>
      <c r="P16" s="26">
        <v>413</v>
      </c>
      <c r="Q16" s="28">
        <v>21489</v>
      </c>
      <c r="R16" s="28">
        <v>381458</v>
      </c>
      <c r="S16" s="28">
        <v>110179</v>
      </c>
      <c r="T16" s="28">
        <v>6578</v>
      </c>
      <c r="U16" s="28">
        <v>192361</v>
      </c>
      <c r="V16" s="28">
        <v>182519</v>
      </c>
      <c r="W16" s="29">
        <f t="shared" si="3"/>
        <v>374880</v>
      </c>
    </row>
    <row r="17" spans="1:23">
      <c r="A17" s="24" t="s">
        <v>134</v>
      </c>
      <c r="B17" s="24" t="s">
        <v>43</v>
      </c>
      <c r="C17" s="24" t="s">
        <v>24</v>
      </c>
      <c r="D17" s="24">
        <v>0</v>
      </c>
      <c r="E17" s="24">
        <v>7</v>
      </c>
      <c r="F17" s="24">
        <f t="shared" si="0"/>
        <v>-0.13927598287271312</v>
      </c>
      <c r="G17" s="24">
        <f t="shared" si="1"/>
        <v>13.263258590429137</v>
      </c>
      <c r="H17" s="24">
        <f t="shared" si="2"/>
        <v>0.48530709525894117</v>
      </c>
      <c r="I17" s="24">
        <v>-3.8850334609789317E-2</v>
      </c>
      <c r="J17" s="24">
        <f t="shared" si="4"/>
        <v>-6.038125582211662E-2</v>
      </c>
      <c r="K17" s="83">
        <f t="shared" si="5"/>
        <v>1.7027027027027026</v>
      </c>
      <c r="L17" s="84"/>
      <c r="M17" s="24">
        <v>63</v>
      </c>
      <c r="N17" s="24">
        <v>37</v>
      </c>
      <c r="O17" s="40">
        <v>-17890</v>
      </c>
      <c r="P17" s="41">
        <v>432</v>
      </c>
      <c r="Q17" s="29">
        <v>54678</v>
      </c>
      <c r="R17" s="29">
        <v>575652</v>
      </c>
      <c r="S17" s="29">
        <v>128450</v>
      </c>
      <c r="T17" s="29">
        <f>R17-W17</f>
        <v>296284</v>
      </c>
      <c r="U17" s="29">
        <v>102567</v>
      </c>
      <c r="V17" s="29">
        <v>176801</v>
      </c>
      <c r="W17" s="29">
        <f t="shared" si="3"/>
        <v>279368</v>
      </c>
    </row>
    <row r="18" spans="1:23" ht="17">
      <c r="A18" s="24" t="s">
        <v>42</v>
      </c>
      <c r="B18" s="24" t="s">
        <v>43</v>
      </c>
      <c r="C18" s="24" t="s">
        <v>23</v>
      </c>
      <c r="D18" s="24">
        <v>0</v>
      </c>
      <c r="E18" s="24">
        <v>10</v>
      </c>
      <c r="F18" s="24">
        <f t="shared" si="0"/>
        <v>-0.24959008748073166</v>
      </c>
      <c r="G18" s="24">
        <f t="shared" si="1"/>
        <v>12.410974830146356</v>
      </c>
      <c r="H18" s="24">
        <f t="shared" si="2"/>
        <v>0.54189937306756941</v>
      </c>
      <c r="I18" s="24">
        <v>5.4904194717762818E-2</v>
      </c>
      <c r="J18" s="24">
        <f t="shared" si="4"/>
        <v>-0.22605486639100084</v>
      </c>
      <c r="K18" s="83">
        <f t="shared" si="5"/>
        <v>1.0952380952380953</v>
      </c>
      <c r="L18" s="84"/>
      <c r="M18" s="85">
        <v>46</v>
      </c>
      <c r="N18" s="85">
        <v>42</v>
      </c>
      <c r="O18" s="25">
        <v>-25421</v>
      </c>
      <c r="P18" s="26">
        <v>341</v>
      </c>
      <c r="Q18" s="28">
        <v>0</v>
      </c>
      <c r="R18" s="28">
        <v>245481</v>
      </c>
      <c r="S18" s="28">
        <v>101851</v>
      </c>
      <c r="T18" s="28">
        <v>112455</v>
      </c>
      <c r="U18" s="28">
        <v>82173</v>
      </c>
      <c r="V18" s="28">
        <v>50853</v>
      </c>
      <c r="W18" s="29">
        <f t="shared" si="3"/>
        <v>133026</v>
      </c>
    </row>
    <row r="19" spans="1:23" ht="17">
      <c r="A19" s="24" t="s">
        <v>44</v>
      </c>
      <c r="B19" s="24" t="s">
        <v>43</v>
      </c>
      <c r="C19" s="24" t="s">
        <v>23</v>
      </c>
      <c r="D19" s="24">
        <v>1</v>
      </c>
      <c r="E19" s="24">
        <v>1</v>
      </c>
      <c r="F19" s="24">
        <f t="shared" si="0"/>
        <v>-0.29589730446261497</v>
      </c>
      <c r="G19" s="24">
        <f t="shared" si="1"/>
        <v>13.78564498867453</v>
      </c>
      <c r="H19" s="24">
        <f t="shared" si="2"/>
        <v>1.0285819966700187</v>
      </c>
      <c r="I19" s="24">
        <v>-0.1528735283337341</v>
      </c>
      <c r="J19" s="24">
        <f t="shared" si="4"/>
        <v>3.8704084207490719</v>
      </c>
      <c r="K19" s="83">
        <f t="shared" si="5"/>
        <v>2.68</v>
      </c>
      <c r="L19" s="84"/>
      <c r="M19" s="85">
        <v>67</v>
      </c>
      <c r="N19" s="85">
        <v>25</v>
      </c>
      <c r="O19" s="25">
        <v>-107369</v>
      </c>
      <c r="P19" s="34">
        <v>1020</v>
      </c>
      <c r="Q19" s="28">
        <v>82010</v>
      </c>
      <c r="R19" s="28">
        <v>970576</v>
      </c>
      <c r="S19" s="28">
        <v>362859</v>
      </c>
      <c r="T19" s="28">
        <v>-27741</v>
      </c>
      <c r="U19" s="28">
        <v>415150</v>
      </c>
      <c r="V19" s="28">
        <v>583167</v>
      </c>
      <c r="W19" s="29">
        <f t="shared" si="3"/>
        <v>998317</v>
      </c>
    </row>
    <row r="20" spans="1:23" ht="17">
      <c r="A20" s="24" t="s">
        <v>45</v>
      </c>
      <c r="B20" s="24" t="s">
        <v>43</v>
      </c>
      <c r="C20" s="24" t="s">
        <v>23</v>
      </c>
      <c r="D20" s="24">
        <v>0</v>
      </c>
      <c r="E20" s="24">
        <v>3</v>
      </c>
      <c r="F20" s="24">
        <f t="shared" si="0"/>
        <v>-0.81554855577225138</v>
      </c>
      <c r="G20" s="24">
        <f t="shared" si="1"/>
        <v>13.845989325257689</v>
      </c>
      <c r="H20" s="24">
        <f t="shared" si="2"/>
        <v>1.4372014883388882</v>
      </c>
      <c r="I20" s="24">
        <v>-7.6171110672815331E-2</v>
      </c>
      <c r="J20" s="24">
        <f t="shared" si="4"/>
        <v>1.0678585057195851</v>
      </c>
      <c r="K20" s="83">
        <f t="shared" si="5"/>
        <v>2.236842105263158</v>
      </c>
      <c r="L20" s="84"/>
      <c r="M20" s="85">
        <v>85</v>
      </c>
      <c r="N20" s="85">
        <v>38</v>
      </c>
      <c r="O20" s="25">
        <v>-481318</v>
      </c>
      <c r="P20" s="34">
        <v>1289</v>
      </c>
      <c r="Q20" s="28">
        <v>188172</v>
      </c>
      <c r="R20" s="28">
        <v>1030948</v>
      </c>
      <c r="S20" s="28">
        <v>590177</v>
      </c>
      <c r="T20" s="28">
        <v>-450732</v>
      </c>
      <c r="U20" s="28">
        <v>669060</v>
      </c>
      <c r="V20" s="28">
        <v>812620</v>
      </c>
      <c r="W20" s="29">
        <f t="shared" si="3"/>
        <v>1481680</v>
      </c>
    </row>
    <row r="21" spans="1:23">
      <c r="A21" s="24" t="s">
        <v>54</v>
      </c>
      <c r="B21" s="24" t="s">
        <v>43</v>
      </c>
      <c r="C21" s="24" t="s">
        <v>23</v>
      </c>
      <c r="D21" s="24">
        <v>0</v>
      </c>
      <c r="E21" s="24">
        <v>12</v>
      </c>
      <c r="F21" s="24">
        <f t="shared" si="0"/>
        <v>-4.6316964285714288E-2</v>
      </c>
      <c r="G21" s="24">
        <f t="shared" si="1"/>
        <v>11.949087885547193</v>
      </c>
      <c r="H21" s="24">
        <f t="shared" si="2"/>
        <v>0.18742403475652331</v>
      </c>
      <c r="I21" s="24">
        <v>0.17783668908704511</v>
      </c>
      <c r="J21" s="24">
        <f t="shared" si="4"/>
        <v>-1.9811275718854923E-2</v>
      </c>
      <c r="K21" s="83">
        <f t="shared" si="5"/>
        <v>0.62068965517241381</v>
      </c>
      <c r="L21" s="84"/>
      <c r="M21" s="85">
        <v>36</v>
      </c>
      <c r="N21" s="85">
        <v>58</v>
      </c>
      <c r="O21" s="40">
        <v>-2490</v>
      </c>
      <c r="P21" s="41">
        <v>254</v>
      </c>
      <c r="Q21" s="29">
        <v>876</v>
      </c>
      <c r="R21" s="29">
        <v>154676</v>
      </c>
      <c r="S21" s="29">
        <v>53760</v>
      </c>
      <c r="T21" s="29">
        <f>R21-W21</f>
        <v>125686</v>
      </c>
      <c r="U21" s="29">
        <v>26456</v>
      </c>
      <c r="V21" s="29">
        <v>2534</v>
      </c>
      <c r="W21" s="29">
        <f t="shared" si="3"/>
        <v>28990</v>
      </c>
    </row>
    <row r="22" spans="1:23">
      <c r="A22" s="24" t="s">
        <v>56</v>
      </c>
      <c r="B22" s="24" t="s">
        <v>43</v>
      </c>
      <c r="C22" s="24" t="s">
        <v>23</v>
      </c>
      <c r="D22" s="24">
        <v>0</v>
      </c>
      <c r="E22" s="24">
        <v>8</v>
      </c>
      <c r="F22" s="24">
        <f t="shared" si="0"/>
        <v>-0.14332734889287851</v>
      </c>
      <c r="G22" s="24">
        <f t="shared" si="1"/>
        <v>13.493023077205585</v>
      </c>
      <c r="H22" s="24">
        <f t="shared" si="2"/>
        <v>1.5183372564178671E-2</v>
      </c>
      <c r="I22" s="24">
        <v>-5.7795319988722865E-2</v>
      </c>
      <c r="J22" s="24">
        <f t="shared" si="4"/>
        <v>-1.3429649245037829E-2</v>
      </c>
      <c r="K22" s="83">
        <f t="shared" si="5"/>
        <v>0.96491228070175439</v>
      </c>
      <c r="L22" s="84"/>
      <c r="M22" s="85">
        <v>55</v>
      </c>
      <c r="N22" s="85">
        <v>57</v>
      </c>
      <c r="O22" s="40">
        <v>-9580</v>
      </c>
      <c r="P22" s="41">
        <v>285</v>
      </c>
      <c r="Q22" s="29">
        <v>1742</v>
      </c>
      <c r="R22" s="29">
        <v>724345</v>
      </c>
      <c r="S22" s="44">
        <v>66840</v>
      </c>
      <c r="T22" s="29">
        <f>R22-W22</f>
        <v>713347</v>
      </c>
      <c r="U22" s="29">
        <v>4566</v>
      </c>
      <c r="V22" s="29">
        <v>6432</v>
      </c>
      <c r="W22" s="29">
        <f t="shared" si="3"/>
        <v>10998</v>
      </c>
    </row>
    <row r="23" spans="1:23" ht="17">
      <c r="A23" s="24" t="s">
        <v>64</v>
      </c>
      <c r="B23" s="24" t="s">
        <v>43</v>
      </c>
      <c r="C23" s="24" t="s">
        <v>23</v>
      </c>
      <c r="D23" s="24">
        <v>0</v>
      </c>
      <c r="E23" s="24">
        <v>20</v>
      </c>
      <c r="F23" s="24">
        <f t="shared" si="0"/>
        <v>-0.22921271550858016</v>
      </c>
      <c r="G23" s="24">
        <f t="shared" si="1"/>
        <v>12.234465720031391</v>
      </c>
      <c r="H23" s="24">
        <f t="shared" si="2"/>
        <v>0.3843701399688958</v>
      </c>
      <c r="I23" s="24">
        <v>1.34866435342E-2</v>
      </c>
      <c r="J23" s="24">
        <f t="shared" si="4"/>
        <v>-9.0051471516988765E-2</v>
      </c>
      <c r="K23" s="83">
        <f t="shared" si="5"/>
        <v>0.55769230769230771</v>
      </c>
      <c r="L23" s="84"/>
      <c r="M23" s="85">
        <v>29</v>
      </c>
      <c r="N23" s="85">
        <v>52</v>
      </c>
      <c r="O23" s="25">
        <v>-11407</v>
      </c>
      <c r="P23" s="26">
        <v>269</v>
      </c>
      <c r="Q23" s="28">
        <v>5940</v>
      </c>
      <c r="R23" s="28">
        <v>205760</v>
      </c>
      <c r="S23" s="28">
        <v>49766</v>
      </c>
      <c r="T23" s="28">
        <v>126672</v>
      </c>
      <c r="U23" s="28">
        <v>6729</v>
      </c>
      <c r="V23" s="28">
        <v>72359</v>
      </c>
      <c r="W23" s="29">
        <f t="shared" si="3"/>
        <v>79088</v>
      </c>
    </row>
    <row r="24" spans="1:23">
      <c r="A24" s="24" t="s">
        <v>65</v>
      </c>
      <c r="B24" s="24" t="s">
        <v>43</v>
      </c>
      <c r="C24" s="24" t="s">
        <v>23</v>
      </c>
      <c r="D24" s="24">
        <v>0</v>
      </c>
      <c r="E24" s="24">
        <v>17</v>
      </c>
      <c r="F24" s="24">
        <f t="shared" si="0"/>
        <v>0.22191323692992213</v>
      </c>
      <c r="G24" s="24">
        <f t="shared" si="1"/>
        <v>13.850524357529549</v>
      </c>
      <c r="H24" s="24">
        <f t="shared" si="2"/>
        <v>3.5053889694621844E-2</v>
      </c>
      <c r="I24" s="24">
        <v>9.3164177289585148E-2</v>
      </c>
      <c r="J24" s="24">
        <f t="shared" si="4"/>
        <v>1.1978013290891607E-2</v>
      </c>
      <c r="K24" s="83">
        <f t="shared" si="5"/>
        <v>0.61818181818181817</v>
      </c>
      <c r="L24" s="84"/>
      <c r="M24" s="85">
        <v>34</v>
      </c>
      <c r="N24" s="85">
        <v>55</v>
      </c>
      <c r="O24" s="40">
        <v>11970</v>
      </c>
      <c r="P24" s="41">
        <v>275</v>
      </c>
      <c r="Q24" s="29">
        <v>1714</v>
      </c>
      <c r="R24" s="29">
        <v>1035634</v>
      </c>
      <c r="S24" s="29">
        <v>53940</v>
      </c>
      <c r="T24" s="29">
        <f>R24-W24</f>
        <v>999331</v>
      </c>
      <c r="U24" s="29">
        <v>8467</v>
      </c>
      <c r="V24" s="29">
        <v>27836</v>
      </c>
      <c r="W24" s="29">
        <f t="shared" si="3"/>
        <v>36303</v>
      </c>
    </row>
    <row r="25" spans="1:23" ht="17">
      <c r="A25" s="24" t="s">
        <v>75</v>
      </c>
      <c r="B25" s="24" t="s">
        <v>43</v>
      </c>
      <c r="C25" s="24" t="s">
        <v>23</v>
      </c>
      <c r="D25" s="24">
        <v>0</v>
      </c>
      <c r="E25" s="24">
        <v>15</v>
      </c>
      <c r="F25" s="24">
        <f t="shared" si="0"/>
        <v>-0.11059122121358392</v>
      </c>
      <c r="G25" s="24">
        <f t="shared" si="1"/>
        <v>12.196168763598237</v>
      </c>
      <c r="H25" s="24">
        <f t="shared" si="2"/>
        <v>0.591292184478031</v>
      </c>
      <c r="I25" s="24">
        <v>-0.29794816296636384</v>
      </c>
      <c r="J25" s="24">
        <f t="shared" si="4"/>
        <v>-0.17550904418305821</v>
      </c>
      <c r="K25" s="83">
        <f t="shared" si="5"/>
        <v>0.65116279069767447</v>
      </c>
      <c r="L25" s="84"/>
      <c r="M25" s="85">
        <v>28</v>
      </c>
      <c r="N25" s="85">
        <v>43</v>
      </c>
      <c r="O25" s="25">
        <v>-14205</v>
      </c>
      <c r="P25" s="26">
        <v>334</v>
      </c>
      <c r="Q25" s="28">
        <v>0</v>
      </c>
      <c r="R25" s="28">
        <v>198029</v>
      </c>
      <c r="S25" s="28">
        <v>128446</v>
      </c>
      <c r="T25" s="28">
        <v>80936</v>
      </c>
      <c r="U25" s="28">
        <v>29431</v>
      </c>
      <c r="V25" s="28">
        <v>87662</v>
      </c>
      <c r="W25" s="29">
        <f t="shared" si="3"/>
        <v>117093</v>
      </c>
    </row>
    <row r="26" spans="1:23">
      <c r="A26" s="24" t="s">
        <v>108</v>
      </c>
      <c r="B26" s="24" t="s">
        <v>43</v>
      </c>
      <c r="C26" s="24" t="s">
        <v>23</v>
      </c>
      <c r="D26" s="24">
        <v>0</v>
      </c>
      <c r="E26" s="24">
        <v>11</v>
      </c>
      <c r="F26" s="24">
        <f t="shared" si="0"/>
        <v>-1.6452522720150423E-2</v>
      </c>
      <c r="G26" s="24">
        <f t="shared" si="1"/>
        <v>11.468733214177846</v>
      </c>
      <c r="H26" s="24">
        <f t="shared" si="2"/>
        <v>0.98468806505220685</v>
      </c>
      <c r="I26" s="24">
        <v>-0.87405844777332886</v>
      </c>
      <c r="J26" s="24">
        <f t="shared" si="4"/>
        <v>-0.71672354948805461</v>
      </c>
      <c r="K26" s="83">
        <f t="shared" si="5"/>
        <v>0.77083333333333337</v>
      </c>
      <c r="L26" s="84"/>
      <c r="M26" s="85">
        <v>37</v>
      </c>
      <c r="N26" s="85">
        <v>48</v>
      </c>
      <c r="O26" s="40">
        <v>-1050</v>
      </c>
      <c r="P26" s="41">
        <v>354</v>
      </c>
      <c r="Q26" s="40">
        <v>54761</v>
      </c>
      <c r="R26" s="29">
        <v>95677</v>
      </c>
      <c r="S26" s="29">
        <v>63820</v>
      </c>
      <c r="T26" s="29">
        <f>R26-W26</f>
        <v>1465</v>
      </c>
      <c r="U26" s="29">
        <v>56644</v>
      </c>
      <c r="V26" s="29">
        <v>37568</v>
      </c>
      <c r="W26" s="29">
        <f t="shared" si="3"/>
        <v>94212</v>
      </c>
    </row>
    <row r="27" spans="1:23" ht="17">
      <c r="A27" s="24" t="s">
        <v>114</v>
      </c>
      <c r="B27" s="24" t="s">
        <v>43</v>
      </c>
      <c r="C27" s="24" t="s">
        <v>23</v>
      </c>
      <c r="D27" s="24">
        <v>0</v>
      </c>
      <c r="E27" s="24">
        <v>6</v>
      </c>
      <c r="F27" s="24">
        <f t="shared" si="0"/>
        <v>-0.41838026482362201</v>
      </c>
      <c r="G27" s="24">
        <f t="shared" si="1"/>
        <v>11.809007161600341</v>
      </c>
      <c r="H27" s="24">
        <f t="shared" si="2"/>
        <v>1.2328905680584272</v>
      </c>
      <c r="I27" s="24">
        <v>-0.28501883653799109</v>
      </c>
      <c r="J27" s="24">
        <f t="shared" si="4"/>
        <v>1.1714887909561218</v>
      </c>
      <c r="K27" s="83">
        <f t="shared" si="5"/>
        <v>1</v>
      </c>
      <c r="L27" s="84"/>
      <c r="M27" s="85">
        <v>50</v>
      </c>
      <c r="N27" s="85">
        <v>50</v>
      </c>
      <c r="O27" s="25">
        <v>-36684</v>
      </c>
      <c r="P27" s="26">
        <v>384</v>
      </c>
      <c r="Q27" s="28">
        <v>37024</v>
      </c>
      <c r="R27" s="28">
        <v>134458</v>
      </c>
      <c r="S27" s="28">
        <v>87681</v>
      </c>
      <c r="T27" s="28">
        <v>-31314</v>
      </c>
      <c r="U27" s="28">
        <v>31067</v>
      </c>
      <c r="V27" s="28">
        <v>134705</v>
      </c>
      <c r="W27" s="29">
        <f t="shared" si="3"/>
        <v>165772</v>
      </c>
    </row>
    <row r="28" spans="1:23" ht="17">
      <c r="A28" s="24" t="s">
        <v>115</v>
      </c>
      <c r="B28" s="24" t="s">
        <v>43</v>
      </c>
      <c r="C28" s="24" t="s">
        <v>23</v>
      </c>
      <c r="D28" s="24">
        <v>0</v>
      </c>
      <c r="E28" s="24">
        <v>2</v>
      </c>
      <c r="F28" s="24">
        <f t="shared" si="0"/>
        <v>1.3641329795536132E-3</v>
      </c>
      <c r="G28" s="24">
        <f t="shared" si="1"/>
        <v>14.276452630030484</v>
      </c>
      <c r="H28" s="24">
        <f t="shared" si="2"/>
        <v>0.71165015417197763</v>
      </c>
      <c r="I28" s="24">
        <v>-0.10986443042160221</v>
      </c>
      <c r="J28" s="24">
        <f t="shared" si="4"/>
        <v>1.637762224658253E-3</v>
      </c>
      <c r="K28" s="83">
        <f t="shared" si="5"/>
        <v>2.3928571428571428</v>
      </c>
      <c r="L28" s="84"/>
      <c r="M28" s="85">
        <v>67</v>
      </c>
      <c r="N28" s="85">
        <v>28</v>
      </c>
      <c r="O28" s="40">
        <v>874</v>
      </c>
      <c r="P28" s="58">
        <v>861</v>
      </c>
      <c r="Q28" s="28">
        <v>237237</v>
      </c>
      <c r="R28" s="28">
        <v>1585567</v>
      </c>
      <c r="S28" s="28">
        <v>640700</v>
      </c>
      <c r="T28" s="28">
        <v>533655</v>
      </c>
      <c r="U28" s="28">
        <v>456682</v>
      </c>
      <c r="V28" s="28">
        <v>671687</v>
      </c>
      <c r="W28" s="29">
        <f t="shared" si="3"/>
        <v>1128369</v>
      </c>
    </row>
    <row r="29" spans="1:23" ht="17">
      <c r="A29" s="24" t="s">
        <v>120</v>
      </c>
      <c r="B29" s="24" t="s">
        <v>43</v>
      </c>
      <c r="C29" s="24" t="s">
        <v>23</v>
      </c>
      <c r="D29" s="24">
        <v>0</v>
      </c>
      <c r="E29" s="24">
        <v>4</v>
      </c>
      <c r="F29" s="24">
        <f t="shared" si="0"/>
        <v>-0.23846424391284543</v>
      </c>
      <c r="G29" s="24">
        <f t="shared" si="1"/>
        <v>12.482582540978704</v>
      </c>
      <c r="H29" s="24">
        <f t="shared" si="2"/>
        <v>0.78573703849770959</v>
      </c>
      <c r="I29" s="24">
        <v>-0.55051663414216967</v>
      </c>
      <c r="J29" s="24">
        <f t="shared" si="4"/>
        <v>-0.73199178790131325</v>
      </c>
      <c r="K29" s="83">
        <f t="shared" si="5"/>
        <v>1.606060606060606</v>
      </c>
      <c r="L29" s="84"/>
      <c r="M29" s="85">
        <v>53</v>
      </c>
      <c r="N29" s="85">
        <v>33</v>
      </c>
      <c r="O29" s="25">
        <v>-41359</v>
      </c>
      <c r="P29" s="26">
        <v>397</v>
      </c>
      <c r="Q29" s="28">
        <v>12949</v>
      </c>
      <c r="R29" s="28">
        <v>263704</v>
      </c>
      <c r="S29" s="28">
        <v>173439</v>
      </c>
      <c r="T29" s="28">
        <v>56502</v>
      </c>
      <c r="U29" s="28">
        <v>61193</v>
      </c>
      <c r="V29" s="28">
        <v>146009</v>
      </c>
      <c r="W29" s="29">
        <f t="shared" si="3"/>
        <v>207202</v>
      </c>
    </row>
    <row r="30" spans="1:23" ht="17">
      <c r="A30" s="24" t="s">
        <v>132</v>
      </c>
      <c r="B30" s="24" t="s">
        <v>43</v>
      </c>
      <c r="C30" s="24" t="s">
        <v>23</v>
      </c>
      <c r="D30" s="24">
        <v>0</v>
      </c>
      <c r="E30" s="24">
        <v>13</v>
      </c>
      <c r="F30" s="24">
        <f t="shared" si="0"/>
        <v>-0.284706826869566</v>
      </c>
      <c r="G30" s="24">
        <f t="shared" si="1"/>
        <v>12.899904591584704</v>
      </c>
      <c r="H30" s="24">
        <f t="shared" si="2"/>
        <v>0.97752289681568127</v>
      </c>
      <c r="I30" s="24">
        <v>-5.1552473701885117E-3</v>
      </c>
      <c r="J30" s="24">
        <f t="shared" si="4"/>
        <v>-3.4686006446593307</v>
      </c>
      <c r="K30" s="83">
        <f t="shared" si="5"/>
        <v>0.94339622641509435</v>
      </c>
      <c r="L30" s="84"/>
      <c r="M30" s="85">
        <v>50</v>
      </c>
      <c r="N30" s="85">
        <v>53</v>
      </c>
      <c r="O30" s="25">
        <v>-31207</v>
      </c>
      <c r="P30" s="26">
        <v>407</v>
      </c>
      <c r="Q30" s="28">
        <v>14609</v>
      </c>
      <c r="R30" s="28">
        <v>400274</v>
      </c>
      <c r="S30" s="28">
        <v>109611</v>
      </c>
      <c r="T30" s="28">
        <v>8997</v>
      </c>
      <c r="U30" s="28">
        <v>174727</v>
      </c>
      <c r="V30" s="28">
        <v>216550</v>
      </c>
      <c r="W30" s="29">
        <f t="shared" si="3"/>
        <v>391277</v>
      </c>
    </row>
    <row r="31" spans="1:23">
      <c r="A31" s="24" t="s">
        <v>134</v>
      </c>
      <c r="B31" s="24" t="s">
        <v>43</v>
      </c>
      <c r="C31" s="24" t="s">
        <v>23</v>
      </c>
      <c r="D31" s="24">
        <v>0</v>
      </c>
      <c r="E31" s="24">
        <v>7</v>
      </c>
      <c r="F31" s="24">
        <f t="shared" si="0"/>
        <v>-3.0690537084398974E-4</v>
      </c>
      <c r="G31" s="24">
        <f t="shared" si="1"/>
        <v>13.428344005426821</v>
      </c>
      <c r="H31" s="24">
        <f t="shared" si="2"/>
        <v>0.90065362942540117</v>
      </c>
      <c r="I31" s="24">
        <v>-0.23900350330868042</v>
      </c>
      <c r="J31" s="24">
        <f t="shared" si="4"/>
        <v>-4.4474753165119936E-4</v>
      </c>
      <c r="K31" s="83">
        <f t="shared" si="5"/>
        <v>1.3636363636363635</v>
      </c>
      <c r="L31" s="84"/>
      <c r="M31" s="85">
        <v>60</v>
      </c>
      <c r="N31" s="85">
        <v>44</v>
      </c>
      <c r="O31" s="40">
        <v>-30</v>
      </c>
      <c r="P31" s="41">
        <v>385</v>
      </c>
      <c r="Q31" s="29">
        <v>87678</v>
      </c>
      <c r="R31" s="29">
        <v>678978</v>
      </c>
      <c r="S31" s="29">
        <v>97750</v>
      </c>
      <c r="T31" s="29">
        <f>R31-W31</f>
        <v>67454</v>
      </c>
      <c r="U31" s="29">
        <v>467846</v>
      </c>
      <c r="V31" s="29">
        <v>143678</v>
      </c>
      <c r="W31" s="29">
        <f t="shared" si="3"/>
        <v>611524</v>
      </c>
    </row>
    <row r="32" spans="1:23" ht="17">
      <c r="A32" s="24" t="s">
        <v>42</v>
      </c>
      <c r="B32" s="24" t="s">
        <v>43</v>
      </c>
      <c r="C32" s="24" t="s">
        <v>22</v>
      </c>
      <c r="D32" s="24">
        <v>0</v>
      </c>
      <c r="E32" s="24">
        <v>11</v>
      </c>
      <c r="F32" s="24">
        <f t="shared" si="0"/>
        <v>-0.20078592273686036</v>
      </c>
      <c r="G32" s="24">
        <f t="shared" si="1"/>
        <v>12.639253434426379</v>
      </c>
      <c r="H32" s="24">
        <f t="shared" si="2"/>
        <v>0.55533976805184948</v>
      </c>
      <c r="I32" s="24">
        <v>1.9400889534712473E-2</v>
      </c>
      <c r="J32" s="24">
        <f t="shared" si="4"/>
        <v>-0.15200478318884117</v>
      </c>
      <c r="K32" s="83">
        <f t="shared" si="5"/>
        <v>1.0789473684210527</v>
      </c>
      <c r="L32" s="84"/>
      <c r="M32" s="85">
        <v>41</v>
      </c>
      <c r="N32" s="85">
        <v>38</v>
      </c>
      <c r="O32" s="25">
        <v>-20847</v>
      </c>
      <c r="P32" s="26">
        <v>337</v>
      </c>
      <c r="Q32" s="28">
        <v>0</v>
      </c>
      <c r="R32" s="28">
        <v>308431</v>
      </c>
      <c r="S32" s="28">
        <v>103827</v>
      </c>
      <c r="T32" s="28">
        <v>137147</v>
      </c>
      <c r="U32" s="28">
        <v>102195</v>
      </c>
      <c r="V32" s="28">
        <v>69089</v>
      </c>
      <c r="W32" s="29">
        <f t="shared" si="3"/>
        <v>171284</v>
      </c>
    </row>
    <row r="33" spans="1:23" ht="17">
      <c r="A33" s="24" t="s">
        <v>44</v>
      </c>
      <c r="B33" s="24" t="s">
        <v>43</v>
      </c>
      <c r="C33" s="24" t="s">
        <v>22</v>
      </c>
      <c r="D33" s="24">
        <v>1</v>
      </c>
      <c r="E33" s="24">
        <v>3</v>
      </c>
      <c r="F33" s="24">
        <f t="shared" si="0"/>
        <v>5.0156966044816514E-3</v>
      </c>
      <c r="G33" s="24">
        <f t="shared" si="1"/>
        <v>13.907356562618329</v>
      </c>
      <c r="H33" s="24">
        <f t="shared" si="2"/>
        <v>0.925788818787881</v>
      </c>
      <c r="I33" s="24">
        <v>-7.1377587437544609E-3</v>
      </c>
      <c r="J33" s="24">
        <f t="shared" si="4"/>
        <v>2.2212934393784804E-2</v>
      </c>
      <c r="K33" s="83">
        <f t="shared" si="5"/>
        <v>1.8888888888888888</v>
      </c>
      <c r="L33" s="84"/>
      <c r="M33" s="85">
        <v>51</v>
      </c>
      <c r="N33" s="85">
        <v>27</v>
      </c>
      <c r="O33" s="25">
        <v>1807</v>
      </c>
      <c r="P33" s="34">
        <v>1061</v>
      </c>
      <c r="Q33" s="28">
        <v>56005</v>
      </c>
      <c r="R33" s="28">
        <v>1096196</v>
      </c>
      <c r="S33" s="28">
        <v>360269</v>
      </c>
      <c r="T33" s="28">
        <v>81349</v>
      </c>
      <c r="U33" s="28">
        <v>517275</v>
      </c>
      <c r="V33" s="28">
        <v>497571</v>
      </c>
      <c r="W33" s="29">
        <f t="shared" si="3"/>
        <v>1014846</v>
      </c>
    </row>
    <row r="34" spans="1:23" ht="17">
      <c r="A34" s="24" t="s">
        <v>45</v>
      </c>
      <c r="B34" s="24" t="s">
        <v>43</v>
      </c>
      <c r="C34" s="24" t="s">
        <v>22</v>
      </c>
      <c r="D34" s="24">
        <v>0</v>
      </c>
      <c r="E34" s="24">
        <v>2</v>
      </c>
      <c r="F34" s="24">
        <f t="shared" si="0"/>
        <v>-0.1335637631503479</v>
      </c>
      <c r="G34" s="24">
        <f t="shared" si="1"/>
        <v>14.203508669067048</v>
      </c>
      <c r="H34" s="24">
        <f t="shared" si="2"/>
        <v>0.97612865978710028</v>
      </c>
      <c r="I34" s="24">
        <v>0.23485496723864197</v>
      </c>
      <c r="J34" s="24">
        <f t="shared" si="4"/>
        <v>-2.7663341575013498</v>
      </c>
      <c r="K34" s="83">
        <f t="shared" si="5"/>
        <v>2.263157894736842</v>
      </c>
      <c r="L34" s="84"/>
      <c r="M34" s="85">
        <v>86</v>
      </c>
      <c r="N34" s="85">
        <v>38</v>
      </c>
      <c r="O34" s="25">
        <v>-97339</v>
      </c>
      <c r="P34" s="34">
        <v>1412</v>
      </c>
      <c r="Q34" s="28">
        <v>268474</v>
      </c>
      <c r="R34" s="28">
        <v>1474027</v>
      </c>
      <c r="S34" s="28">
        <v>728783</v>
      </c>
      <c r="T34" s="28">
        <v>35187</v>
      </c>
      <c r="U34" s="28">
        <v>468491</v>
      </c>
      <c r="V34" s="28">
        <v>970349</v>
      </c>
      <c r="W34" s="29">
        <f t="shared" ref="W34:W65" si="6">U34+V34</f>
        <v>1438840</v>
      </c>
    </row>
    <row r="35" spans="1:23">
      <c r="A35" s="24" t="s">
        <v>56</v>
      </c>
      <c r="B35" s="24" t="s">
        <v>43</v>
      </c>
      <c r="C35" s="24" t="s">
        <v>22</v>
      </c>
      <c r="D35" s="24">
        <v>0</v>
      </c>
      <c r="E35" s="24">
        <v>17</v>
      </c>
      <c r="F35" s="24">
        <f t="shared" si="0"/>
        <v>3.7115738773197335E-2</v>
      </c>
      <c r="G35" s="24">
        <f t="shared" si="1"/>
        <v>11.902863990458304</v>
      </c>
      <c r="H35" s="24">
        <f t="shared" si="2"/>
        <v>0.88945012831016523</v>
      </c>
      <c r="I35" s="24">
        <v>5.6104129263913824E-2</v>
      </c>
      <c r="J35" s="24">
        <f t="shared" si="4"/>
        <v>0.16047038647638881</v>
      </c>
      <c r="K35" s="83">
        <f t="shared" si="5"/>
        <v>0.75510204081632648</v>
      </c>
      <c r="L35" s="84"/>
      <c r="M35" s="85">
        <v>37</v>
      </c>
      <c r="N35" s="85">
        <v>49</v>
      </c>
      <c r="O35" s="40">
        <v>2620</v>
      </c>
      <c r="P35" s="41">
        <v>235</v>
      </c>
      <c r="Q35" s="29">
        <v>38565</v>
      </c>
      <c r="R35" s="29">
        <v>147689</v>
      </c>
      <c r="S35" s="44">
        <v>70590</v>
      </c>
      <c r="T35" s="29">
        <f>R35-W35</f>
        <v>16327</v>
      </c>
      <c r="U35" s="29">
        <v>84575</v>
      </c>
      <c r="V35" s="29">
        <v>46787</v>
      </c>
      <c r="W35" s="29">
        <f t="shared" si="6"/>
        <v>131362</v>
      </c>
    </row>
    <row r="36" spans="1:23" ht="17">
      <c r="A36" s="24" t="s">
        <v>67</v>
      </c>
      <c r="B36" s="24" t="s">
        <v>43</v>
      </c>
      <c r="C36" s="24" t="s">
        <v>22</v>
      </c>
      <c r="D36" s="24">
        <v>0</v>
      </c>
      <c r="E36" s="24">
        <v>20</v>
      </c>
      <c r="F36" s="24">
        <f t="shared" si="0"/>
        <v>8.9397842931732016E-2</v>
      </c>
      <c r="G36" s="24">
        <f t="shared" si="1"/>
        <v>12.281463009353811</v>
      </c>
      <c r="H36" s="24">
        <f t="shared" si="2"/>
        <v>0.52563977724298783</v>
      </c>
      <c r="I36" s="24">
        <v>-0.40630779430751512</v>
      </c>
      <c r="J36" s="24">
        <f t="shared" si="4"/>
        <v>8.9207339126694749E-2</v>
      </c>
      <c r="K36" s="83">
        <f t="shared" si="5"/>
        <v>0.46551724137931033</v>
      </c>
      <c r="L36" s="84"/>
      <c r="M36" s="85">
        <v>27</v>
      </c>
      <c r="N36" s="85">
        <v>58</v>
      </c>
      <c r="O36" s="25">
        <v>9126</v>
      </c>
      <c r="P36" s="26">
        <v>289</v>
      </c>
      <c r="Q36" s="28">
        <v>9669</v>
      </c>
      <c r="R36" s="28">
        <v>215661</v>
      </c>
      <c r="S36" s="28">
        <v>102083</v>
      </c>
      <c r="T36" s="28">
        <v>102301</v>
      </c>
      <c r="U36" s="28">
        <v>25882</v>
      </c>
      <c r="V36" s="28">
        <v>87478</v>
      </c>
      <c r="W36" s="29">
        <f t="shared" si="6"/>
        <v>113360</v>
      </c>
    </row>
    <row r="37" spans="1:23">
      <c r="A37" s="24" t="s">
        <v>75</v>
      </c>
      <c r="B37" s="24" t="s">
        <v>43</v>
      </c>
      <c r="C37" s="24" t="s">
        <v>22</v>
      </c>
      <c r="D37" s="24">
        <v>0</v>
      </c>
      <c r="E37" s="24">
        <v>8</v>
      </c>
      <c r="F37" s="24">
        <f t="shared" si="0"/>
        <v>0.18894061541955262</v>
      </c>
      <c r="G37" s="24">
        <f t="shared" si="1"/>
        <v>12.815748539217079</v>
      </c>
      <c r="H37" s="24">
        <f t="shared" si="2"/>
        <v>0.66158650096340166</v>
      </c>
      <c r="I37" s="24">
        <v>-0.31434221384862121</v>
      </c>
      <c r="J37" s="24">
        <f t="shared" si="4"/>
        <v>0.13362778558522384</v>
      </c>
      <c r="K37" s="83">
        <f t="shared" si="5"/>
        <v>1.1621621621621621</v>
      </c>
      <c r="L37" s="84"/>
      <c r="M37" s="85">
        <v>43</v>
      </c>
      <c r="N37" s="85">
        <v>37</v>
      </c>
      <c r="O37" s="40">
        <v>16640</v>
      </c>
      <c r="P37" s="41">
        <v>284</v>
      </c>
      <c r="Q37" s="29">
        <v>76548</v>
      </c>
      <c r="R37" s="29">
        <v>367967</v>
      </c>
      <c r="S37" s="29">
        <v>88070</v>
      </c>
      <c r="T37" s="29">
        <f>R37-W37</f>
        <v>124525</v>
      </c>
      <c r="U37" s="29">
        <v>164567</v>
      </c>
      <c r="V37" s="29">
        <v>78875</v>
      </c>
      <c r="W37" s="29">
        <f t="shared" si="6"/>
        <v>243442</v>
      </c>
    </row>
    <row r="38" spans="1:23">
      <c r="A38" s="24" t="s">
        <v>95</v>
      </c>
      <c r="B38" s="24" t="s">
        <v>43</v>
      </c>
      <c r="C38" s="24" t="s">
        <v>22</v>
      </c>
      <c r="D38" s="24">
        <v>0</v>
      </c>
      <c r="E38" s="24">
        <v>19</v>
      </c>
      <c r="F38" s="24">
        <f t="shared" si="0"/>
        <v>0.28605002518045997</v>
      </c>
      <c r="G38" s="24">
        <f t="shared" si="1"/>
        <v>11.605978554006001</v>
      </c>
      <c r="H38" s="24">
        <f t="shared" si="2"/>
        <v>1.4241289452584007</v>
      </c>
      <c r="I38" s="24">
        <v>0.74130371236480563</v>
      </c>
      <c r="J38" s="24">
        <f t="shared" si="4"/>
        <v>-0.36606586607660746</v>
      </c>
      <c r="K38" s="83">
        <f t="shared" si="5"/>
        <v>0.61538461538461542</v>
      </c>
      <c r="L38" s="84"/>
      <c r="M38" s="85">
        <v>40</v>
      </c>
      <c r="N38" s="85">
        <v>65</v>
      </c>
      <c r="O38" s="40">
        <v>17040</v>
      </c>
      <c r="P38" s="41">
        <v>134</v>
      </c>
      <c r="Q38" s="29">
        <v>67488</v>
      </c>
      <c r="R38" s="29">
        <v>109752</v>
      </c>
      <c r="S38" s="29">
        <v>59570</v>
      </c>
      <c r="T38" s="29">
        <f>R38-W38</f>
        <v>-46549</v>
      </c>
      <c r="U38" s="29">
        <v>88766</v>
      </c>
      <c r="V38" s="29">
        <v>67535</v>
      </c>
      <c r="W38" s="29">
        <f t="shared" si="6"/>
        <v>156301</v>
      </c>
    </row>
    <row r="39" spans="1:23">
      <c r="A39" s="24" t="s">
        <v>108</v>
      </c>
      <c r="B39" s="24" t="s">
        <v>43</v>
      </c>
      <c r="C39" s="24" t="s">
        <v>22</v>
      </c>
      <c r="D39" s="24">
        <v>0</v>
      </c>
      <c r="E39" s="24">
        <v>10</v>
      </c>
      <c r="F39" s="24">
        <f t="shared" si="0"/>
        <v>3.7712895377128956E-2</v>
      </c>
      <c r="G39" s="24">
        <f t="shared" si="1"/>
        <v>12.578890587306093</v>
      </c>
      <c r="H39" s="24">
        <f t="shared" si="2"/>
        <v>0.84593820170544554</v>
      </c>
      <c r="I39" s="24">
        <v>-9.8401754935756813E-2</v>
      </c>
      <c r="J39" s="24">
        <f t="shared" si="4"/>
        <v>4.8508964098895692E-2</v>
      </c>
      <c r="K39" s="83">
        <f t="shared" si="5"/>
        <v>0.85185185185185186</v>
      </c>
      <c r="L39" s="84"/>
      <c r="M39" s="85">
        <v>46</v>
      </c>
      <c r="N39" s="85">
        <v>54</v>
      </c>
      <c r="O39" s="40">
        <v>2170</v>
      </c>
      <c r="P39" s="41">
        <v>185</v>
      </c>
      <c r="Q39" s="29">
        <v>83467</v>
      </c>
      <c r="R39" s="29">
        <v>290364</v>
      </c>
      <c r="S39" s="29">
        <v>57540</v>
      </c>
      <c r="T39" s="29">
        <f>R39-W39</f>
        <v>44734</v>
      </c>
      <c r="U39" s="29">
        <v>98753</v>
      </c>
      <c r="V39" s="29">
        <v>146877</v>
      </c>
      <c r="W39" s="29">
        <f t="shared" si="6"/>
        <v>245630</v>
      </c>
    </row>
    <row r="40" spans="1:23" ht="17">
      <c r="A40" s="24" t="s">
        <v>114</v>
      </c>
      <c r="B40" s="24" t="s">
        <v>43</v>
      </c>
      <c r="C40" s="24" t="s">
        <v>22</v>
      </c>
      <c r="D40" s="24">
        <v>0</v>
      </c>
      <c r="E40" s="24">
        <v>15</v>
      </c>
      <c r="F40" s="24">
        <f t="shared" si="0"/>
        <v>1.3847926717318697E-2</v>
      </c>
      <c r="G40" s="24">
        <f t="shared" si="1"/>
        <v>12.079465794263994</v>
      </c>
      <c r="H40" s="24">
        <f t="shared" si="2"/>
        <v>0.92546647296499751</v>
      </c>
      <c r="I40" s="24">
        <v>0.16784708203601692</v>
      </c>
      <c r="J40" s="24">
        <f t="shared" si="4"/>
        <v>0.10796406273793209</v>
      </c>
      <c r="K40" s="83">
        <f t="shared" si="5"/>
        <v>0.8</v>
      </c>
      <c r="L40" s="84"/>
      <c r="M40" s="85">
        <v>48</v>
      </c>
      <c r="N40" s="85">
        <v>60</v>
      </c>
      <c r="O40" s="25">
        <v>1418</v>
      </c>
      <c r="P40" s="26">
        <v>400</v>
      </c>
      <c r="Q40" s="28">
        <v>13452</v>
      </c>
      <c r="R40" s="28">
        <v>176216</v>
      </c>
      <c r="S40" s="28">
        <v>102398</v>
      </c>
      <c r="T40" s="28">
        <v>13134</v>
      </c>
      <c r="U40" s="28">
        <v>35768</v>
      </c>
      <c r="V40" s="28">
        <v>127314</v>
      </c>
      <c r="W40" s="29">
        <f t="shared" si="6"/>
        <v>163082</v>
      </c>
    </row>
    <row r="41" spans="1:23" ht="17">
      <c r="A41" s="24" t="s">
        <v>115</v>
      </c>
      <c r="B41" s="24" t="s">
        <v>43</v>
      </c>
      <c r="C41" s="24" t="s">
        <v>22</v>
      </c>
      <c r="D41" s="24">
        <v>0</v>
      </c>
      <c r="E41" s="24">
        <v>1</v>
      </c>
      <c r="F41" s="24">
        <f t="shared" si="0"/>
        <v>4.5244290257299795E-4</v>
      </c>
      <c r="G41" s="24">
        <f t="shared" si="1"/>
        <v>14.095001928008301</v>
      </c>
      <c r="H41" s="24">
        <f t="shared" si="2"/>
        <v>0.67963873305521461</v>
      </c>
      <c r="I41" s="24">
        <v>7.975651631028563E-2</v>
      </c>
      <c r="J41" s="24">
        <f t="shared" si="4"/>
        <v>7.3879300577816382E-4</v>
      </c>
      <c r="K41" s="83">
        <f t="shared" si="5"/>
        <v>2.8</v>
      </c>
      <c r="L41" s="84"/>
      <c r="M41" s="85">
        <v>70</v>
      </c>
      <c r="N41" s="85">
        <v>25</v>
      </c>
      <c r="O41" s="25">
        <v>313</v>
      </c>
      <c r="P41" s="58">
        <v>777</v>
      </c>
      <c r="Q41" s="28">
        <v>511433</v>
      </c>
      <c r="R41" s="28">
        <v>1322457</v>
      </c>
      <c r="S41" s="28">
        <v>691800</v>
      </c>
      <c r="T41" s="28">
        <f>R41-W41</f>
        <v>423664</v>
      </c>
      <c r="U41" s="28">
        <v>397465</v>
      </c>
      <c r="V41" s="28">
        <v>501328</v>
      </c>
      <c r="W41" s="29">
        <f t="shared" si="6"/>
        <v>898793</v>
      </c>
    </row>
    <row r="42" spans="1:23" ht="17">
      <c r="A42" s="24" t="s">
        <v>120</v>
      </c>
      <c r="B42" s="24" t="s">
        <v>43</v>
      </c>
      <c r="C42" s="24" t="s">
        <v>22</v>
      </c>
      <c r="D42" s="24">
        <v>0</v>
      </c>
      <c r="E42" s="24">
        <v>4</v>
      </c>
      <c r="F42" s="24">
        <f t="shared" si="0"/>
        <v>7.7655244847052649E-3</v>
      </c>
      <c r="G42" s="24">
        <f t="shared" si="1"/>
        <v>12.739051073937297</v>
      </c>
      <c r="H42" s="24">
        <f t="shared" si="2"/>
        <v>0.71140551643192484</v>
      </c>
      <c r="I42" s="24">
        <v>-0.12165083977652086</v>
      </c>
      <c r="J42" s="24">
        <f t="shared" si="4"/>
        <v>1.2028102854005469E-2</v>
      </c>
      <c r="K42" s="83">
        <f t="shared" si="5"/>
        <v>1.588235294117647</v>
      </c>
      <c r="L42" s="84"/>
      <c r="M42" s="85">
        <v>54</v>
      </c>
      <c r="N42" s="85">
        <v>34</v>
      </c>
      <c r="O42" s="25">
        <v>1183</v>
      </c>
      <c r="P42" s="26">
        <v>423</v>
      </c>
      <c r="Q42" s="28">
        <v>12815</v>
      </c>
      <c r="R42" s="28">
        <v>340800</v>
      </c>
      <c r="S42" s="28">
        <v>152340</v>
      </c>
      <c r="T42" s="28">
        <v>98353</v>
      </c>
      <c r="U42" s="28">
        <v>78752</v>
      </c>
      <c r="V42" s="28">
        <v>163695</v>
      </c>
      <c r="W42" s="29">
        <f t="shared" si="6"/>
        <v>242447</v>
      </c>
    </row>
    <row r="43" spans="1:23" ht="17">
      <c r="A43" s="24" t="s">
        <v>132</v>
      </c>
      <c r="B43" s="24" t="s">
        <v>43</v>
      </c>
      <c r="C43" s="24" t="s">
        <v>22</v>
      </c>
      <c r="D43" s="24">
        <v>0</v>
      </c>
      <c r="E43" s="24">
        <v>9</v>
      </c>
      <c r="F43" s="24">
        <f t="shared" si="0"/>
        <v>-4.6303832100988762E-2</v>
      </c>
      <c r="G43" s="24">
        <f t="shared" si="1"/>
        <v>13.120076765097899</v>
      </c>
      <c r="H43" s="24">
        <f t="shared" si="2"/>
        <v>0.91923352938110647</v>
      </c>
      <c r="I43" s="24">
        <v>0.58056216985521525</v>
      </c>
      <c r="J43" s="24">
        <f t="shared" si="4"/>
        <v>-0.19910153632324837</v>
      </c>
      <c r="K43" s="83">
        <f t="shared" si="5"/>
        <v>0.86792452830188682</v>
      </c>
      <c r="L43" s="84"/>
      <c r="M43" s="85">
        <v>46</v>
      </c>
      <c r="N43" s="85">
        <v>53</v>
      </c>
      <c r="O43" s="25">
        <v>-8022</v>
      </c>
      <c r="P43" s="26">
        <v>432</v>
      </c>
      <c r="Q43" s="28">
        <v>31095</v>
      </c>
      <c r="R43" s="28">
        <v>498858</v>
      </c>
      <c r="S43" s="28">
        <v>173247</v>
      </c>
      <c r="T43" s="28">
        <v>40291</v>
      </c>
      <c r="U43" s="28">
        <v>246179</v>
      </c>
      <c r="V43" s="28">
        <v>212388</v>
      </c>
      <c r="W43" s="29">
        <f t="shared" si="6"/>
        <v>458567</v>
      </c>
    </row>
    <row r="44" spans="1:23" ht="17">
      <c r="A44" s="24" t="s">
        <v>134</v>
      </c>
      <c r="B44" s="24" t="s">
        <v>43</v>
      </c>
      <c r="C44" s="24" t="s">
        <v>22</v>
      </c>
      <c r="D44" s="24">
        <v>0</v>
      </c>
      <c r="E44" s="24">
        <v>5</v>
      </c>
      <c r="F44" s="24">
        <f t="shared" si="0"/>
        <v>-1.0168589900973893E-2</v>
      </c>
      <c r="G44" s="24">
        <f t="shared" si="1"/>
        <v>12.288081112140665</v>
      </c>
      <c r="H44" s="24">
        <f t="shared" si="2"/>
        <v>0.56175003339582574</v>
      </c>
      <c r="I44" s="24">
        <v>2.0460358056266E-2</v>
      </c>
      <c r="J44" s="24">
        <f t="shared" si="4"/>
        <v>-1.0447651380582504E-2</v>
      </c>
      <c r="K44" s="83">
        <f t="shared" si="5"/>
        <v>1.2857142857142858</v>
      </c>
      <c r="L44" s="84"/>
      <c r="M44" s="85">
        <v>63</v>
      </c>
      <c r="N44" s="85">
        <v>49</v>
      </c>
      <c r="O44" s="25">
        <v>-994</v>
      </c>
      <c r="P44" s="26">
        <v>304</v>
      </c>
      <c r="Q44" s="28">
        <v>0</v>
      </c>
      <c r="R44" s="28">
        <v>217093</v>
      </c>
      <c r="S44" s="28">
        <v>97752</v>
      </c>
      <c r="T44" s="28">
        <v>95141</v>
      </c>
      <c r="U44" s="28">
        <v>39987</v>
      </c>
      <c r="V44" s="28">
        <v>81965</v>
      </c>
      <c r="W44" s="29">
        <f t="shared" si="6"/>
        <v>121952</v>
      </c>
    </row>
    <row r="45" spans="1:23" ht="17">
      <c r="A45" s="24" t="s">
        <v>42</v>
      </c>
      <c r="B45" s="24" t="s">
        <v>43</v>
      </c>
      <c r="C45" s="24" t="s">
        <v>21</v>
      </c>
      <c r="D45" s="24">
        <v>0</v>
      </c>
      <c r="E45" s="24">
        <v>8</v>
      </c>
      <c r="F45" s="24">
        <f t="shared" si="0"/>
        <v>-0.16499761564139245</v>
      </c>
      <c r="G45" s="24">
        <f t="shared" si="1"/>
        <v>12.322588211619593</v>
      </c>
      <c r="H45" s="24">
        <f t="shared" si="2"/>
        <v>0.59197650357119014</v>
      </c>
      <c r="I45" s="24">
        <v>9.8529284290213535E-3</v>
      </c>
      <c r="J45" s="24">
        <f t="shared" si="4"/>
        <v>-0.15383931350317906</v>
      </c>
      <c r="K45" s="83">
        <f t="shared" si="5"/>
        <v>0.91111111111111109</v>
      </c>
      <c r="L45" s="84"/>
      <c r="M45" s="85">
        <v>41</v>
      </c>
      <c r="N45" s="85">
        <v>45</v>
      </c>
      <c r="O45" s="25">
        <v>-17300</v>
      </c>
      <c r="P45" s="26">
        <v>324</v>
      </c>
      <c r="Q45" s="30">
        <v>2307</v>
      </c>
      <c r="R45" s="28">
        <v>224715</v>
      </c>
      <c r="S45" s="28">
        <v>104850</v>
      </c>
      <c r="T45" s="28">
        <v>112455</v>
      </c>
      <c r="U45" s="28">
        <v>82173</v>
      </c>
      <c r="V45" s="28">
        <v>50853</v>
      </c>
      <c r="W45" s="29">
        <f t="shared" si="6"/>
        <v>133026</v>
      </c>
    </row>
    <row r="46" spans="1:23" ht="17">
      <c r="A46" s="24" t="s">
        <v>44</v>
      </c>
      <c r="B46" s="24" t="s">
        <v>43</v>
      </c>
      <c r="C46" s="24" t="s">
        <v>21</v>
      </c>
      <c r="D46" s="24">
        <v>0</v>
      </c>
      <c r="E46" s="24">
        <v>2</v>
      </c>
      <c r="F46" s="24">
        <f t="shared" si="0"/>
        <v>0.12690217391304348</v>
      </c>
      <c r="G46" s="24">
        <f t="shared" si="1"/>
        <v>13.75847660696674</v>
      </c>
      <c r="H46" s="24">
        <f t="shared" si="2"/>
        <v>1.0104630505991137</v>
      </c>
      <c r="I46" s="24">
        <v>2.145896538419903E-2</v>
      </c>
      <c r="J46" s="24">
        <f t="shared" si="4"/>
        <v>-4.7252858443792372</v>
      </c>
      <c r="K46" s="83">
        <f t="shared" si="5"/>
        <v>1.896551724137931</v>
      </c>
      <c r="L46" s="84"/>
      <c r="M46" s="85">
        <v>55</v>
      </c>
      <c r="N46" s="85">
        <v>29</v>
      </c>
      <c r="O46" s="25">
        <v>46700</v>
      </c>
      <c r="P46" s="34">
        <v>1044</v>
      </c>
      <c r="Q46" s="28">
        <v>48543</v>
      </c>
      <c r="R46" s="28">
        <v>944562</v>
      </c>
      <c r="S46" s="28">
        <v>368000</v>
      </c>
      <c r="T46" s="28">
        <f>R46-W46</f>
        <v>-9883</v>
      </c>
      <c r="U46" s="28">
        <v>539867</v>
      </c>
      <c r="V46" s="28">
        <v>414578</v>
      </c>
      <c r="W46" s="29">
        <f t="shared" si="6"/>
        <v>954445</v>
      </c>
    </row>
    <row r="47" spans="1:23" ht="17">
      <c r="A47" s="24" t="s">
        <v>45</v>
      </c>
      <c r="B47" s="24" t="s">
        <v>43</v>
      </c>
      <c r="C47" s="24" t="s">
        <v>21</v>
      </c>
      <c r="D47" s="24">
        <v>0</v>
      </c>
      <c r="E47" s="24">
        <v>1</v>
      </c>
      <c r="F47" s="24">
        <f t="shared" si="0"/>
        <v>5.3123140778083269E-3</v>
      </c>
      <c r="G47" s="24">
        <f t="shared" si="1"/>
        <v>14.122258221461852</v>
      </c>
      <c r="H47" s="24">
        <f t="shared" si="2"/>
        <v>0.90242296162319591</v>
      </c>
      <c r="I47" s="24">
        <v>0.16930691303172549</v>
      </c>
      <c r="J47" s="24">
        <f t="shared" si="4"/>
        <v>3.4138469311574805E-2</v>
      </c>
      <c r="K47" s="83">
        <f t="shared" si="5"/>
        <v>2.5</v>
      </c>
      <c r="L47" s="84"/>
      <c r="M47" s="85">
        <v>90</v>
      </c>
      <c r="N47" s="85">
        <v>36</v>
      </c>
      <c r="O47" s="25">
        <v>4527</v>
      </c>
      <c r="P47" s="34">
        <v>1338</v>
      </c>
      <c r="Q47" s="28">
        <v>11935</v>
      </c>
      <c r="R47" s="28">
        <v>1358998</v>
      </c>
      <c r="S47" s="28">
        <v>852171</v>
      </c>
      <c r="T47" s="28">
        <v>132607</v>
      </c>
      <c r="U47" s="28">
        <v>539226</v>
      </c>
      <c r="V47" s="28">
        <v>687165</v>
      </c>
      <c r="W47" s="29">
        <f t="shared" si="6"/>
        <v>1226391</v>
      </c>
    </row>
    <row r="48" spans="1:23" ht="17">
      <c r="A48" s="24" t="s">
        <v>56</v>
      </c>
      <c r="B48" s="24" t="s">
        <v>43</v>
      </c>
      <c r="C48" s="24" t="s">
        <v>21</v>
      </c>
      <c r="D48" s="24">
        <v>0</v>
      </c>
      <c r="E48" s="24">
        <v>17</v>
      </c>
      <c r="F48" s="24">
        <f t="shared" si="0"/>
        <v>0.22671766956010003</v>
      </c>
      <c r="G48" s="24">
        <f t="shared" si="1"/>
        <v>12.530208385238453</v>
      </c>
      <c r="H48" s="24">
        <f t="shared" si="2"/>
        <v>0.85825134596680008</v>
      </c>
      <c r="I48" s="24">
        <v>-3.7115738773197335E-2</v>
      </c>
      <c r="J48" s="24">
        <f t="shared" si="4"/>
        <v>0.3930821620794327</v>
      </c>
      <c r="K48" s="83">
        <f t="shared" si="5"/>
        <v>0.85483870967741937</v>
      </c>
      <c r="L48" s="84"/>
      <c r="M48" s="85">
        <v>53</v>
      </c>
      <c r="N48" s="85">
        <v>62</v>
      </c>
      <c r="O48" s="40">
        <v>15410</v>
      </c>
      <c r="P48" s="43">
        <v>235</v>
      </c>
      <c r="Q48" s="29">
        <v>45456</v>
      </c>
      <c r="R48" s="29">
        <v>276567</v>
      </c>
      <c r="S48" s="44">
        <v>67970</v>
      </c>
      <c r="T48" s="29">
        <f>R48-W48</f>
        <v>39203</v>
      </c>
      <c r="U48" s="29">
        <v>179699</v>
      </c>
      <c r="V48" s="29">
        <v>57665</v>
      </c>
      <c r="W48" s="29">
        <f t="shared" si="6"/>
        <v>237364</v>
      </c>
    </row>
    <row r="49" spans="1:23" ht="17">
      <c r="A49" s="24" t="s">
        <v>67</v>
      </c>
      <c r="B49" s="24" t="s">
        <v>43</v>
      </c>
      <c r="C49" s="24" t="s">
        <v>21</v>
      </c>
      <c r="D49" s="24">
        <v>0</v>
      </c>
      <c r="E49" s="24">
        <v>7</v>
      </c>
      <c r="F49" s="24">
        <f t="shared" si="0"/>
        <v>2.104098729013747E-2</v>
      </c>
      <c r="G49" s="24">
        <f t="shared" si="1"/>
        <v>12.197556485761835</v>
      </c>
      <c r="H49" s="24">
        <f t="shared" si="2"/>
        <v>0.78244009197999032</v>
      </c>
      <c r="I49" s="24">
        <v>-0.14987804041809116</v>
      </c>
      <c r="J49" s="24">
        <f t="shared" si="4"/>
        <v>4.2325344212136663E-2</v>
      </c>
      <c r="K49" s="83">
        <f t="shared" si="5"/>
        <v>0.96</v>
      </c>
      <c r="L49" s="84"/>
      <c r="M49" s="85">
        <v>48</v>
      </c>
      <c r="N49" s="85">
        <v>50</v>
      </c>
      <c r="O49" s="25">
        <v>1826</v>
      </c>
      <c r="P49" s="26">
        <v>365</v>
      </c>
      <c r="Q49" s="28">
        <v>25781</v>
      </c>
      <c r="R49" s="28">
        <v>198304</v>
      </c>
      <c r="S49" s="28">
        <v>86783</v>
      </c>
      <c r="T49" s="28">
        <v>43142</v>
      </c>
      <c r="U49" s="28">
        <v>66651</v>
      </c>
      <c r="V49" s="28">
        <v>88510</v>
      </c>
      <c r="W49" s="29">
        <f t="shared" si="6"/>
        <v>155161</v>
      </c>
    </row>
    <row r="50" spans="1:23">
      <c r="A50" s="24" t="s">
        <v>75</v>
      </c>
      <c r="B50" s="24" t="s">
        <v>43</v>
      </c>
      <c r="C50" s="24" t="s">
        <v>21</v>
      </c>
      <c r="D50" s="24">
        <v>0</v>
      </c>
      <c r="E50" s="24">
        <v>5</v>
      </c>
      <c r="F50" s="24">
        <f t="shared" si="0"/>
        <v>0.11675563974513518</v>
      </c>
      <c r="G50" s="24">
        <f t="shared" si="1"/>
        <v>12.119790093791975</v>
      </c>
      <c r="H50" s="24">
        <f t="shared" si="2"/>
        <v>0.69738427074078713</v>
      </c>
      <c r="I50" s="24">
        <v>-0.34063812876121269</v>
      </c>
      <c r="J50" s="24">
        <f t="shared" si="4"/>
        <v>0.12211815561959655</v>
      </c>
      <c r="K50" s="83">
        <f t="shared" si="5"/>
        <v>1.3714285714285714</v>
      </c>
      <c r="L50" s="84"/>
      <c r="M50" s="85">
        <v>48</v>
      </c>
      <c r="N50" s="85">
        <v>35</v>
      </c>
      <c r="O50" s="40">
        <v>6780</v>
      </c>
      <c r="P50" s="41">
        <v>216</v>
      </c>
      <c r="Q50" s="29">
        <v>84678</v>
      </c>
      <c r="R50" s="29">
        <v>183467</v>
      </c>
      <c r="S50" s="29">
        <v>58070</v>
      </c>
      <c r="T50" s="29">
        <f>R50-W50</f>
        <v>55520</v>
      </c>
      <c r="U50" s="29">
        <v>78857</v>
      </c>
      <c r="V50" s="29">
        <v>49090</v>
      </c>
      <c r="W50" s="29">
        <f t="shared" si="6"/>
        <v>127947</v>
      </c>
    </row>
    <row r="51" spans="1:23">
      <c r="A51" s="24" t="s">
        <v>77</v>
      </c>
      <c r="B51" s="24" t="s">
        <v>43</v>
      </c>
      <c r="C51" s="24" t="s">
        <v>21</v>
      </c>
      <c r="D51" s="24">
        <v>0</v>
      </c>
      <c r="E51" s="24">
        <v>18</v>
      </c>
      <c r="F51" s="24">
        <f t="shared" si="0"/>
        <v>-3.3014196104324861E-4</v>
      </c>
      <c r="G51" s="24">
        <f t="shared" si="1"/>
        <v>11.772570651478114</v>
      </c>
      <c r="H51" s="24">
        <f t="shared" si="2"/>
        <v>0.57439817350189359</v>
      </c>
      <c r="I51" s="24">
        <v>5.3461643000000003E-2</v>
      </c>
      <c r="J51" s="24">
        <f t="shared" si="4"/>
        <v>-3.6246330059081519E-4</v>
      </c>
      <c r="K51" s="83">
        <f t="shared" si="5"/>
        <v>0.69811320754716977</v>
      </c>
      <c r="L51" s="84"/>
      <c r="M51" s="85">
        <v>37</v>
      </c>
      <c r="N51" s="85">
        <v>53</v>
      </c>
      <c r="O51" s="40">
        <v>-20</v>
      </c>
      <c r="P51" s="41">
        <v>168</v>
      </c>
      <c r="Q51" s="29">
        <v>57878</v>
      </c>
      <c r="R51" s="29">
        <v>129647</v>
      </c>
      <c r="S51" s="29">
        <v>60580</v>
      </c>
      <c r="T51" s="29">
        <f>R51-W51</f>
        <v>55178</v>
      </c>
      <c r="U51" s="29">
        <v>50773</v>
      </c>
      <c r="V51" s="29">
        <v>23696</v>
      </c>
      <c r="W51" s="29">
        <f t="shared" si="6"/>
        <v>74469</v>
      </c>
    </row>
    <row r="52" spans="1:23">
      <c r="A52" s="24" t="s">
        <v>111</v>
      </c>
      <c r="B52" s="24" t="s">
        <v>43</v>
      </c>
      <c r="C52" s="24" t="s">
        <v>21</v>
      </c>
      <c r="D52" s="24">
        <v>0</v>
      </c>
      <c r="E52" s="24">
        <v>20</v>
      </c>
      <c r="F52" s="24">
        <f t="shared" si="0"/>
        <v>1.4360646441735186E-2</v>
      </c>
      <c r="G52" s="24">
        <f t="shared" si="1"/>
        <v>11.128071480766174</v>
      </c>
      <c r="H52" s="24">
        <f t="shared" si="2"/>
        <v>1.9680993314231137</v>
      </c>
      <c r="I52" s="24">
        <v>-0.27708533077660596</v>
      </c>
      <c r="J52" s="24">
        <f t="shared" si="4"/>
        <v>-1.5375508469431122E-2</v>
      </c>
      <c r="K52" s="83">
        <f t="shared" si="5"/>
        <v>0.58571428571428574</v>
      </c>
      <c r="L52" s="84"/>
      <c r="M52" s="85">
        <v>41</v>
      </c>
      <c r="N52" s="85">
        <v>70</v>
      </c>
      <c r="O52" s="40">
        <v>1013</v>
      </c>
      <c r="P52" s="41">
        <v>156</v>
      </c>
      <c r="Q52" s="29">
        <v>78586</v>
      </c>
      <c r="R52" s="29">
        <v>68055</v>
      </c>
      <c r="S52" s="29">
        <v>70540</v>
      </c>
      <c r="T52" s="29">
        <f>R52-W52</f>
        <v>-65884</v>
      </c>
      <c r="U52" s="29">
        <v>68096</v>
      </c>
      <c r="V52" s="29">
        <v>65843</v>
      </c>
      <c r="W52" s="29">
        <f t="shared" si="6"/>
        <v>133939</v>
      </c>
    </row>
    <row r="53" spans="1:23" ht="17">
      <c r="A53" s="24" t="s">
        <v>114</v>
      </c>
      <c r="B53" s="24" t="s">
        <v>43</v>
      </c>
      <c r="C53" s="24" t="s">
        <v>21</v>
      </c>
      <c r="D53" s="24">
        <v>0</v>
      </c>
      <c r="E53" s="24">
        <v>10</v>
      </c>
      <c r="F53" s="24">
        <f t="shared" si="0"/>
        <v>5.6560109465254881E-2</v>
      </c>
      <c r="G53" s="24">
        <f t="shared" si="1"/>
        <v>12.131257500311589</v>
      </c>
      <c r="H53" s="24">
        <f t="shared" si="2"/>
        <v>0.93676144905513969</v>
      </c>
      <c r="I53" s="24">
        <v>6.3428973222133242E-2</v>
      </c>
      <c r="J53" s="24">
        <f t="shared" si="4"/>
        <v>0.52479550102249484</v>
      </c>
      <c r="K53" s="83">
        <f t="shared" si="5"/>
        <v>0.84615384615384615</v>
      </c>
      <c r="L53" s="84"/>
      <c r="M53" s="85">
        <v>44</v>
      </c>
      <c r="N53" s="85">
        <v>52</v>
      </c>
      <c r="O53" s="25">
        <v>6159</v>
      </c>
      <c r="P53" s="26">
        <v>408</v>
      </c>
      <c r="Q53" s="28">
        <v>17508</v>
      </c>
      <c r="R53" s="28">
        <v>185583</v>
      </c>
      <c r="S53" s="28">
        <v>108893</v>
      </c>
      <c r="T53" s="28">
        <v>11736</v>
      </c>
      <c r="U53" s="28">
        <v>57276</v>
      </c>
      <c r="V53" s="28">
        <v>116571</v>
      </c>
      <c r="W53" s="29">
        <f t="shared" si="6"/>
        <v>173847</v>
      </c>
    </row>
    <row r="54" spans="1:23" ht="17">
      <c r="A54" s="24" t="s">
        <v>115</v>
      </c>
      <c r="B54" s="24" t="s">
        <v>43</v>
      </c>
      <c r="C54" s="24" t="s">
        <v>21</v>
      </c>
      <c r="D54" s="24">
        <v>0</v>
      </c>
      <c r="E54" s="24">
        <v>3</v>
      </c>
      <c r="F54" s="24">
        <f t="shared" si="0"/>
        <v>6.373992701965954E-2</v>
      </c>
      <c r="G54" s="24">
        <f t="shared" si="1"/>
        <v>13.945031544650263</v>
      </c>
      <c r="H54" s="24">
        <f t="shared" si="2"/>
        <v>0.53205310103023584</v>
      </c>
      <c r="I54" s="24">
        <v>-0.12929459381324082</v>
      </c>
      <c r="J54" s="24">
        <f t="shared" si="4"/>
        <v>7.1942526926449757E-2</v>
      </c>
      <c r="K54" s="83">
        <f t="shared" si="5"/>
        <v>1.3695652173913044</v>
      </c>
      <c r="L54" s="84"/>
      <c r="M54" s="85">
        <v>63</v>
      </c>
      <c r="N54" s="85">
        <v>46</v>
      </c>
      <c r="O54" s="25">
        <v>38394</v>
      </c>
      <c r="P54" s="58">
        <v>817</v>
      </c>
      <c r="Q54" s="28">
        <v>27588</v>
      </c>
      <c r="R54" s="28">
        <v>1138283</v>
      </c>
      <c r="S54" s="28">
        <v>602354</v>
      </c>
      <c r="T54" s="28">
        <v>533676</v>
      </c>
      <c r="U54" s="28">
        <v>132868</v>
      </c>
      <c r="V54" s="28">
        <v>472759</v>
      </c>
      <c r="W54" s="29">
        <f t="shared" si="6"/>
        <v>605627</v>
      </c>
    </row>
    <row r="55" spans="1:23" ht="17">
      <c r="A55" s="24" t="s">
        <v>120</v>
      </c>
      <c r="B55" s="24" t="s">
        <v>43</v>
      </c>
      <c r="C55" s="24" t="s">
        <v>21</v>
      </c>
      <c r="D55" s="24">
        <v>0</v>
      </c>
      <c r="E55" s="24">
        <v>6</v>
      </c>
      <c r="F55" s="24">
        <f t="shared" si="0"/>
        <v>1.7381659400908394E-2</v>
      </c>
      <c r="G55" s="24">
        <f t="shared" si="1"/>
        <v>12.481960438099243</v>
      </c>
      <c r="H55" s="24">
        <f t="shared" si="2"/>
        <v>0.61370190483418074</v>
      </c>
      <c r="I55" s="24">
        <v>-6.4927136667979515E-2</v>
      </c>
      <c r="J55" s="24">
        <f t="shared" si="4"/>
        <v>2.4321005844506655E-2</v>
      </c>
      <c r="K55" s="83">
        <f t="shared" si="5"/>
        <v>1.3191489361702127</v>
      </c>
      <c r="L55" s="84"/>
      <c r="M55" s="85">
        <v>62</v>
      </c>
      <c r="N55" s="85">
        <v>47</v>
      </c>
      <c r="O55" s="25">
        <v>2476</v>
      </c>
      <c r="P55" s="26">
        <v>444</v>
      </c>
      <c r="Q55" s="28">
        <v>1141</v>
      </c>
      <c r="R55" s="28">
        <v>263540</v>
      </c>
      <c r="S55" s="28">
        <v>142449</v>
      </c>
      <c r="T55" s="28">
        <v>101805</v>
      </c>
      <c r="U55" s="28">
        <v>40636</v>
      </c>
      <c r="V55" s="28">
        <v>121099</v>
      </c>
      <c r="W55" s="29">
        <f t="shared" si="6"/>
        <v>161735</v>
      </c>
    </row>
    <row r="56" spans="1:23" ht="17">
      <c r="A56" s="24" t="s">
        <v>132</v>
      </c>
      <c r="B56" s="24" t="s">
        <v>43</v>
      </c>
      <c r="C56" s="24" t="s">
        <v>21</v>
      </c>
      <c r="D56" s="24">
        <v>0</v>
      </c>
      <c r="E56" s="24">
        <v>4</v>
      </c>
      <c r="F56" s="24">
        <f t="shared" si="0"/>
        <v>7.8531383270419499E-3</v>
      </c>
      <c r="G56" s="24">
        <f t="shared" si="1"/>
        <v>13.26749868345552</v>
      </c>
      <c r="H56" s="24">
        <f t="shared" si="2"/>
        <v>0.91627717099868877</v>
      </c>
      <c r="I56" s="24">
        <v>8.4134213002245356E-2</v>
      </c>
      <c r="J56" s="24">
        <f t="shared" si="4"/>
        <v>3.0475206611570247E-2</v>
      </c>
      <c r="K56" s="83">
        <f t="shared" si="5"/>
        <v>1.4571428571428571</v>
      </c>
      <c r="L56" s="84"/>
      <c r="M56" s="85">
        <v>51</v>
      </c>
      <c r="N56" s="85">
        <v>35</v>
      </c>
      <c r="O56" s="25">
        <v>1475</v>
      </c>
      <c r="P56" s="26">
        <v>408</v>
      </c>
      <c r="Q56" s="28">
        <v>14579</v>
      </c>
      <c r="R56" s="28">
        <v>578098</v>
      </c>
      <c r="S56" s="28">
        <v>187823</v>
      </c>
      <c r="T56" s="28">
        <v>48400</v>
      </c>
      <c r="U56" s="28">
        <v>323517</v>
      </c>
      <c r="V56" s="28">
        <v>206181</v>
      </c>
      <c r="W56" s="29">
        <f t="shared" si="6"/>
        <v>529698</v>
      </c>
    </row>
    <row r="57" spans="1:23" ht="17">
      <c r="A57" s="24" t="s">
        <v>134</v>
      </c>
      <c r="B57" s="24" t="s">
        <v>43</v>
      </c>
      <c r="C57" s="24" t="s">
        <v>21</v>
      </c>
      <c r="D57" s="24">
        <v>0</v>
      </c>
      <c r="E57" s="24">
        <v>14</v>
      </c>
      <c r="F57" s="24">
        <f t="shared" si="0"/>
        <v>9.6638621106941075E-2</v>
      </c>
      <c r="G57" s="24">
        <f t="shared" si="1"/>
        <v>12.224703017375885</v>
      </c>
      <c r="H57" s="24">
        <f t="shared" si="2"/>
        <v>0.52819725070057566</v>
      </c>
      <c r="I57" s="24">
        <v>0.25113552663884114</v>
      </c>
      <c r="J57" s="24">
        <f t="shared" si="4"/>
        <v>0.12294169657252822</v>
      </c>
      <c r="K57" s="83">
        <f t="shared" si="5"/>
        <v>0.94230769230769229</v>
      </c>
      <c r="L57" s="84"/>
      <c r="M57" s="85">
        <v>49</v>
      </c>
      <c r="N57" s="85">
        <v>52</v>
      </c>
      <c r="O57" s="25">
        <v>11819</v>
      </c>
      <c r="P57" s="26">
        <v>379</v>
      </c>
      <c r="Q57" s="28">
        <v>0</v>
      </c>
      <c r="R57" s="28">
        <v>203761</v>
      </c>
      <c r="S57" s="28">
        <v>122301</v>
      </c>
      <c r="T57" s="28">
        <v>96135</v>
      </c>
      <c r="U57" s="28">
        <v>29639</v>
      </c>
      <c r="V57" s="28">
        <v>77987</v>
      </c>
      <c r="W57" s="29">
        <f t="shared" si="6"/>
        <v>107626</v>
      </c>
    </row>
    <row r="58" spans="1:23" ht="17">
      <c r="A58" s="24" t="s">
        <v>42</v>
      </c>
      <c r="B58" s="24" t="s">
        <v>43</v>
      </c>
      <c r="C58" s="24" t="s">
        <v>20</v>
      </c>
      <c r="D58" s="24">
        <v>0</v>
      </c>
      <c r="E58" s="24">
        <v>16</v>
      </c>
      <c r="F58" s="24">
        <f t="shared" si="0"/>
        <v>-5.9855437342645985E-2</v>
      </c>
      <c r="G58" s="24">
        <f t="shared" si="1"/>
        <v>12.49419087285259</v>
      </c>
      <c r="H58" s="24">
        <f t="shared" si="2"/>
        <v>0.48306676212502297</v>
      </c>
      <c r="I58" s="24">
        <v>-6.0524558893657605E-2</v>
      </c>
      <c r="J58" s="24">
        <f t="shared" si="4"/>
        <v>-4.2752829764554891E-2</v>
      </c>
      <c r="K58" s="83">
        <f t="shared" si="5"/>
        <v>0.83673469387755106</v>
      </c>
      <c r="L58" s="84"/>
      <c r="M58" s="85">
        <v>41</v>
      </c>
      <c r="N58" s="85">
        <v>49</v>
      </c>
      <c r="O58" s="25">
        <v>-5896</v>
      </c>
      <c r="P58" s="26">
        <v>324</v>
      </c>
      <c r="Q58" s="27">
        <v>20034</v>
      </c>
      <c r="R58" s="28">
        <v>266783</v>
      </c>
      <c r="S58" s="29">
        <v>98504</v>
      </c>
      <c r="T58" s="28">
        <f>R58-W58</f>
        <v>137909</v>
      </c>
      <c r="U58" s="28">
        <v>89890</v>
      </c>
      <c r="V58" s="28">
        <v>38984</v>
      </c>
      <c r="W58" s="29">
        <f t="shared" si="6"/>
        <v>128874</v>
      </c>
    </row>
    <row r="59" spans="1:23" ht="17">
      <c r="A59" s="24" t="s">
        <v>44</v>
      </c>
      <c r="B59" s="24" t="s">
        <v>43</v>
      </c>
      <c r="C59" s="24" t="s">
        <v>20</v>
      </c>
      <c r="D59" s="24">
        <v>0</v>
      </c>
      <c r="E59" s="24">
        <v>2</v>
      </c>
      <c r="F59" s="24">
        <f t="shared" si="0"/>
        <v>8.6179020361654188E-2</v>
      </c>
      <c r="G59" s="24">
        <f t="shared" si="1"/>
        <v>13.706203375563934</v>
      </c>
      <c r="H59" s="24">
        <f t="shared" si="2"/>
        <v>0.93785744962100714</v>
      </c>
      <c r="I59" s="24">
        <v>5.8842391304347826E-2</v>
      </c>
      <c r="J59" s="24">
        <f t="shared" si="4"/>
        <v>0.60278595533855106</v>
      </c>
      <c r="K59" s="83">
        <f t="shared" si="5"/>
        <v>2.6363636363636362</v>
      </c>
      <c r="L59" s="84"/>
      <c r="M59" s="85">
        <v>58</v>
      </c>
      <c r="N59" s="85">
        <v>22</v>
      </c>
      <c r="O59" s="25">
        <v>33580</v>
      </c>
      <c r="P59" s="34">
        <v>964</v>
      </c>
      <c r="Q59" s="28">
        <v>41534</v>
      </c>
      <c r="R59" s="28">
        <v>896455</v>
      </c>
      <c r="S59" s="28">
        <v>389654</v>
      </c>
      <c r="T59" s="34">
        <f>R59-W59</f>
        <v>55708</v>
      </c>
      <c r="U59" s="28">
        <v>95053</v>
      </c>
      <c r="V59" s="28">
        <v>745694</v>
      </c>
      <c r="W59" s="29">
        <f t="shared" si="6"/>
        <v>840747</v>
      </c>
    </row>
    <row r="60" spans="1:23" ht="17">
      <c r="A60" s="24" t="s">
        <v>45</v>
      </c>
      <c r="B60" s="24" t="s">
        <v>43</v>
      </c>
      <c r="C60" s="24" t="s">
        <v>20</v>
      </c>
      <c r="D60" s="24">
        <v>0</v>
      </c>
      <c r="E60" s="24">
        <v>1</v>
      </c>
      <c r="F60" s="24">
        <f t="shared" si="0"/>
        <v>1.7912925705048387E-2</v>
      </c>
      <c r="G60" s="24">
        <f t="shared" si="1"/>
        <v>13.779442868802397</v>
      </c>
      <c r="H60" s="24">
        <f t="shared" si="2"/>
        <v>0.7257279112562528</v>
      </c>
      <c r="I60" s="24">
        <v>-0.14051053133702038</v>
      </c>
      <c r="J60" s="24">
        <f t="shared" si="4"/>
        <v>0.4047758615370376</v>
      </c>
      <c r="K60" s="83">
        <f t="shared" si="5"/>
        <v>3.4137931034482758</v>
      </c>
      <c r="L60" s="84"/>
      <c r="M60" s="85">
        <v>99</v>
      </c>
      <c r="N60" s="85">
        <v>29</v>
      </c>
      <c r="O60" s="25">
        <v>13120</v>
      </c>
      <c r="P60" s="34">
        <v>1194</v>
      </c>
      <c r="Q60" s="28">
        <v>148434</v>
      </c>
      <c r="R60" s="28">
        <v>964575</v>
      </c>
      <c r="S60" s="28">
        <v>732432</v>
      </c>
      <c r="T60" s="28">
        <f>S60-W60</f>
        <v>32413</v>
      </c>
      <c r="U60" s="28">
        <v>454343</v>
      </c>
      <c r="V60" s="28">
        <v>245676</v>
      </c>
      <c r="W60" s="29">
        <f t="shared" si="6"/>
        <v>700019</v>
      </c>
    </row>
    <row r="61" spans="1:23">
      <c r="A61" s="24" t="s">
        <v>56</v>
      </c>
      <c r="B61" s="24" t="s">
        <v>43</v>
      </c>
      <c r="C61" s="24" t="s">
        <v>20</v>
      </c>
      <c r="D61" s="24">
        <v>0</v>
      </c>
      <c r="E61" s="24">
        <v>13</v>
      </c>
      <c r="F61" s="24">
        <f t="shared" si="0"/>
        <v>0.2091187369099404</v>
      </c>
      <c r="G61" s="24">
        <f t="shared" si="1"/>
        <v>12.814715304311671</v>
      </c>
      <c r="H61" s="24">
        <f t="shared" si="2"/>
        <v>1.1184889563559104</v>
      </c>
      <c r="I61" s="24">
        <v>-8.6803001324113574E-2</v>
      </c>
      <c r="J61" s="24">
        <f t="shared" si="4"/>
        <v>-0.29801400528067962</v>
      </c>
      <c r="K61" s="83">
        <f t="shared" si="5"/>
        <v>0.98333333333333328</v>
      </c>
      <c r="L61" s="84"/>
      <c r="M61" s="85">
        <v>59</v>
      </c>
      <c r="N61" s="85">
        <v>60</v>
      </c>
      <c r="O61" s="40">
        <v>12980</v>
      </c>
      <c r="P61" s="41">
        <v>201</v>
      </c>
      <c r="Q61" s="29">
        <v>20925</v>
      </c>
      <c r="R61" s="29">
        <v>367587</v>
      </c>
      <c r="S61" s="42">
        <v>62070</v>
      </c>
      <c r="T61" s="29">
        <f>R61-W61</f>
        <v>-43555</v>
      </c>
      <c r="U61" s="29">
        <v>268467</v>
      </c>
      <c r="V61" s="29">
        <v>142675</v>
      </c>
      <c r="W61" s="29">
        <f t="shared" si="6"/>
        <v>411142</v>
      </c>
    </row>
    <row r="62" spans="1:23" ht="17">
      <c r="A62" s="24" t="s">
        <v>67</v>
      </c>
      <c r="B62" s="24" t="s">
        <v>43</v>
      </c>
      <c r="C62" s="24" t="s">
        <v>20</v>
      </c>
      <c r="D62" s="24">
        <v>0</v>
      </c>
      <c r="E62" s="24">
        <v>11</v>
      </c>
      <c r="F62" s="24">
        <f t="shared" si="0"/>
        <v>8.0156365876038568E-2</v>
      </c>
      <c r="G62" s="24">
        <f t="shared" si="1"/>
        <v>12.161221712392278</v>
      </c>
      <c r="H62" s="24">
        <f t="shared" si="2"/>
        <v>0.7750643211245215</v>
      </c>
      <c r="I62" s="24">
        <v>-8.3265155618035797E-2</v>
      </c>
      <c r="J62" s="24">
        <f t="shared" si="4"/>
        <v>0.14825405681871018</v>
      </c>
      <c r="K62" s="83">
        <f t="shared" si="5"/>
        <v>0.8571428571428571</v>
      </c>
      <c r="L62" s="84"/>
      <c r="M62" s="85">
        <v>36</v>
      </c>
      <c r="N62" s="85">
        <v>42</v>
      </c>
      <c r="O62" s="25">
        <v>6377</v>
      </c>
      <c r="P62" s="26">
        <v>340</v>
      </c>
      <c r="Q62" s="28">
        <v>0</v>
      </c>
      <c r="R62" s="28">
        <v>191228</v>
      </c>
      <c r="S62" s="28">
        <v>79557</v>
      </c>
      <c r="T62" s="28">
        <v>43014</v>
      </c>
      <c r="U62" s="28">
        <v>70628</v>
      </c>
      <c r="V62" s="28">
        <v>77586</v>
      </c>
      <c r="W62" s="29">
        <f t="shared" si="6"/>
        <v>148214</v>
      </c>
    </row>
    <row r="63" spans="1:23">
      <c r="A63" s="24" t="s">
        <v>75</v>
      </c>
      <c r="B63" s="24" t="s">
        <v>43</v>
      </c>
      <c r="C63" s="24" t="s">
        <v>20</v>
      </c>
      <c r="D63" s="24">
        <v>0</v>
      </c>
      <c r="E63" s="24">
        <v>8</v>
      </c>
      <c r="F63" s="24">
        <f t="shared" si="0"/>
        <v>8.7861959539865128E-2</v>
      </c>
      <c r="G63" s="24">
        <f t="shared" si="1"/>
        <v>11.546872682269886</v>
      </c>
      <c r="H63" s="24">
        <f t="shared" si="2"/>
        <v>1.4933834688215906</v>
      </c>
      <c r="I63" s="24">
        <v>-0.13173755811951093</v>
      </c>
      <c r="J63" s="24">
        <f t="shared" si="4"/>
        <v>-8.6791269934563695E-2</v>
      </c>
      <c r="K63" s="83">
        <f t="shared" si="5"/>
        <v>1.2727272727272727</v>
      </c>
      <c r="L63" s="84"/>
      <c r="M63" s="85">
        <v>42</v>
      </c>
      <c r="N63" s="85">
        <v>33</v>
      </c>
      <c r="O63" s="40">
        <v>4430</v>
      </c>
      <c r="P63" s="41">
        <v>281</v>
      </c>
      <c r="Q63" s="29">
        <v>61534</v>
      </c>
      <c r="R63" s="29">
        <v>103453</v>
      </c>
      <c r="S63" s="29">
        <v>50420</v>
      </c>
      <c r="T63" s="29">
        <f>R63-W63</f>
        <v>-51042</v>
      </c>
      <c r="U63" s="29">
        <v>56786</v>
      </c>
      <c r="V63" s="29">
        <v>97709</v>
      </c>
      <c r="W63" s="29">
        <f t="shared" si="6"/>
        <v>154495</v>
      </c>
    </row>
    <row r="64" spans="1:23" ht="17">
      <c r="A64" s="24" t="s">
        <v>77</v>
      </c>
      <c r="B64" s="24" t="s">
        <v>43</v>
      </c>
      <c r="C64" s="24" t="s">
        <v>20</v>
      </c>
      <c r="D64" s="24">
        <v>0</v>
      </c>
      <c r="E64" s="24">
        <v>10</v>
      </c>
      <c r="F64" s="24">
        <f t="shared" si="0"/>
        <v>-9.2119772669437619E-3</v>
      </c>
      <c r="G64" s="24">
        <f t="shared" si="1"/>
        <v>12.069490890992887</v>
      </c>
      <c r="H64" s="24">
        <f t="shared" si="2"/>
        <v>0.69984581611422214</v>
      </c>
      <c r="I64" s="24">
        <v>-2.6989105315285571E-2</v>
      </c>
      <c r="J64" s="24">
        <f t="shared" si="4"/>
        <v>-1.0369125594362863E-2</v>
      </c>
      <c r="K64" s="83">
        <f t="shared" si="5"/>
        <v>0.84745762711864403</v>
      </c>
      <c r="L64" s="84"/>
      <c r="M64" s="85">
        <v>50</v>
      </c>
      <c r="N64" s="85">
        <v>59</v>
      </c>
      <c r="O64" s="40">
        <v>-543</v>
      </c>
      <c r="P64" s="41">
        <v>234</v>
      </c>
      <c r="Q64" s="29">
        <v>9674</v>
      </c>
      <c r="R64" s="29">
        <v>174467</v>
      </c>
      <c r="S64" s="29">
        <v>58945</v>
      </c>
      <c r="T64" s="52">
        <f>R64-W64</f>
        <v>52367</v>
      </c>
      <c r="U64" s="52">
        <v>46735</v>
      </c>
      <c r="V64" s="52">
        <v>75365</v>
      </c>
      <c r="W64" s="29">
        <f t="shared" si="6"/>
        <v>122100</v>
      </c>
    </row>
    <row r="65" spans="1:23" ht="17">
      <c r="A65" s="24" t="s">
        <v>114</v>
      </c>
      <c r="B65" s="24" t="s">
        <v>43</v>
      </c>
      <c r="C65" s="24" t="s">
        <v>20</v>
      </c>
      <c r="D65" s="24">
        <v>0</v>
      </c>
      <c r="E65" s="24">
        <v>6</v>
      </c>
      <c r="F65" s="24">
        <f t="shared" si="0"/>
        <v>6.9533299729879934E-3</v>
      </c>
      <c r="G65" s="24">
        <f t="shared" si="1"/>
        <v>11.729793365516766</v>
      </c>
      <c r="H65" s="24">
        <f t="shared" si="2"/>
        <v>0.95309858474617204</v>
      </c>
      <c r="I65" s="24">
        <v>-0.28945845922143754</v>
      </c>
      <c r="J65" s="24">
        <f t="shared" si="4"/>
        <v>9.2344661860624788E-2</v>
      </c>
      <c r="K65" s="83">
        <f t="shared" si="5"/>
        <v>0.98360655737704916</v>
      </c>
      <c r="L65" s="84"/>
      <c r="M65" s="85">
        <v>60</v>
      </c>
      <c r="N65" s="85">
        <v>61</v>
      </c>
      <c r="O65" s="25">
        <v>538</v>
      </c>
      <c r="P65" s="26">
        <v>243</v>
      </c>
      <c r="Q65" s="28">
        <v>9542</v>
      </c>
      <c r="R65" s="28">
        <v>124218</v>
      </c>
      <c r="S65" s="28">
        <v>77373</v>
      </c>
      <c r="T65" s="28">
        <v>5826</v>
      </c>
      <c r="U65" s="28">
        <v>38102</v>
      </c>
      <c r="V65" s="28">
        <v>80290</v>
      </c>
      <c r="W65" s="29">
        <f t="shared" si="6"/>
        <v>118392</v>
      </c>
    </row>
    <row r="66" spans="1:23" ht="17">
      <c r="A66" s="24" t="s">
        <v>115</v>
      </c>
      <c r="B66" s="24" t="s">
        <v>43</v>
      </c>
      <c r="C66" s="24" t="s">
        <v>20</v>
      </c>
      <c r="D66" s="24">
        <v>0</v>
      </c>
      <c r="E66" s="24">
        <v>3</v>
      </c>
      <c r="F66" s="24">
        <f t="shared" ref="F66:F129" si="7">O66/S66</f>
        <v>4.1674130596945094E-2</v>
      </c>
      <c r="G66" s="24">
        <f t="shared" ref="G66:G129" si="8">LN(R66)</f>
        <v>13.900793358492733</v>
      </c>
      <c r="H66" s="24">
        <f t="shared" ref="H66:H129" si="9">W66/R66</f>
        <v>0.49757443584858013</v>
      </c>
      <c r="I66" s="24">
        <v>0.24186441859770169</v>
      </c>
      <c r="J66" s="24">
        <f t="shared" si="4"/>
        <v>6.3033043112547163E-2</v>
      </c>
      <c r="K66" s="83">
        <f t="shared" si="5"/>
        <v>2.1363636363636362</v>
      </c>
      <c r="L66" s="84"/>
      <c r="M66" s="85">
        <v>94</v>
      </c>
      <c r="N66" s="85">
        <v>44</v>
      </c>
      <c r="O66" s="25">
        <v>31174</v>
      </c>
      <c r="P66" s="26">
        <v>811</v>
      </c>
      <c r="Q66" s="28">
        <v>107564</v>
      </c>
      <c r="R66" s="28">
        <v>1089025</v>
      </c>
      <c r="S66" s="28">
        <v>748042</v>
      </c>
      <c r="T66" s="28">
        <v>494566</v>
      </c>
      <c r="U66" s="28">
        <v>176436</v>
      </c>
      <c r="V66" s="28">
        <v>365435</v>
      </c>
      <c r="W66" s="29">
        <f t="shared" ref="W66:W69" si="10">U66+V66</f>
        <v>541871</v>
      </c>
    </row>
    <row r="67" spans="1:23" ht="17">
      <c r="A67" s="24" t="s">
        <v>120</v>
      </c>
      <c r="B67" s="24" t="s">
        <v>43</v>
      </c>
      <c r="C67" s="24" t="s">
        <v>20</v>
      </c>
      <c r="D67" s="24">
        <v>0</v>
      </c>
      <c r="E67" s="24">
        <v>7</v>
      </c>
      <c r="F67" s="24">
        <f t="shared" si="7"/>
        <v>0.15573110566300433</v>
      </c>
      <c r="G67" s="24">
        <f t="shared" si="8"/>
        <v>12.411215145734831</v>
      </c>
      <c r="H67" s="24">
        <f t="shared" si="9"/>
        <v>0.58880834079986966</v>
      </c>
      <c r="I67" s="24">
        <v>0.15967820061916896</v>
      </c>
      <c r="J67" s="24">
        <f t="shared" ref="J67:J130" si="11">O67/T67</f>
        <v>0.25480369240521372</v>
      </c>
      <c r="K67" s="83">
        <f t="shared" ref="K67:K130" si="12">M67/N67</f>
        <v>0.84482758620689657</v>
      </c>
      <c r="L67" s="84"/>
      <c r="M67" s="85">
        <v>49</v>
      </c>
      <c r="N67" s="85">
        <v>58</v>
      </c>
      <c r="O67" s="25">
        <v>25726</v>
      </c>
      <c r="P67" s="26">
        <v>432</v>
      </c>
      <c r="Q67" s="28">
        <v>1006</v>
      </c>
      <c r="R67" s="28">
        <v>245540</v>
      </c>
      <c r="S67" s="28">
        <v>165195</v>
      </c>
      <c r="T67" s="28">
        <v>100964</v>
      </c>
      <c r="U67" s="28">
        <v>32212</v>
      </c>
      <c r="V67" s="28">
        <v>112364</v>
      </c>
      <c r="W67" s="29">
        <f t="shared" si="10"/>
        <v>144576</v>
      </c>
    </row>
    <row r="68" spans="1:23" ht="17">
      <c r="A68" s="24" t="s">
        <v>132</v>
      </c>
      <c r="B68" s="24" t="s">
        <v>43</v>
      </c>
      <c r="C68" s="24" t="s">
        <v>20</v>
      </c>
      <c r="D68" s="24">
        <v>0</v>
      </c>
      <c r="E68" s="24">
        <v>4</v>
      </c>
      <c r="F68" s="24">
        <f t="shared" si="7"/>
        <v>-0.32903964245485268</v>
      </c>
      <c r="G68" s="24">
        <f t="shared" si="8"/>
        <v>13.148327376562124</v>
      </c>
      <c r="H68" s="24">
        <f t="shared" si="9"/>
        <v>0.90838581940633578</v>
      </c>
      <c r="I68" s="24">
        <v>-0.41389499688536546</v>
      </c>
      <c r="J68" s="24">
        <f t="shared" si="11"/>
        <v>-0.77048413171105246</v>
      </c>
      <c r="K68" s="83">
        <f t="shared" si="12"/>
        <v>1.7105263157894737</v>
      </c>
      <c r="L68" s="84"/>
      <c r="M68" s="85">
        <v>65</v>
      </c>
      <c r="N68" s="85">
        <v>38</v>
      </c>
      <c r="O68" s="25">
        <v>-36222</v>
      </c>
      <c r="P68" s="26">
        <v>393</v>
      </c>
      <c r="Q68" s="28">
        <v>14501</v>
      </c>
      <c r="R68" s="28">
        <v>513152</v>
      </c>
      <c r="S68" s="28">
        <v>110084</v>
      </c>
      <c r="T68" s="28">
        <v>47012</v>
      </c>
      <c r="U68" s="28">
        <v>315985</v>
      </c>
      <c r="V68" s="28">
        <v>150155</v>
      </c>
      <c r="W68" s="29">
        <f t="shared" si="10"/>
        <v>466140</v>
      </c>
    </row>
    <row r="69" spans="1:23" ht="17">
      <c r="A69" s="24" t="s">
        <v>134</v>
      </c>
      <c r="B69" s="24" t="s">
        <v>43</v>
      </c>
      <c r="C69" s="24" t="s">
        <v>20</v>
      </c>
      <c r="D69" s="24">
        <v>0</v>
      </c>
      <c r="E69" s="24">
        <v>5</v>
      </c>
      <c r="F69" s="24">
        <f t="shared" si="7"/>
        <v>2.8524000825074405E-2</v>
      </c>
      <c r="G69" s="24">
        <f t="shared" si="8"/>
        <v>12.235966343144312</v>
      </c>
      <c r="H69" s="24">
        <f t="shared" si="9"/>
        <v>0.59083607917736292</v>
      </c>
      <c r="I69" s="24">
        <v>-0.16755382212737427</v>
      </c>
      <c r="J69" s="24">
        <f t="shared" si="11"/>
        <v>3.44418615683856E-2</v>
      </c>
      <c r="K69" s="83">
        <f t="shared" si="12"/>
        <v>1.1399999999999999</v>
      </c>
      <c r="L69" s="84"/>
      <c r="M69" s="85">
        <v>57</v>
      </c>
      <c r="N69" s="85">
        <v>50</v>
      </c>
      <c r="O69" s="25">
        <v>2904</v>
      </c>
      <c r="P69" s="26">
        <v>380</v>
      </c>
      <c r="Q69" s="28">
        <v>0</v>
      </c>
      <c r="R69" s="28">
        <v>206069</v>
      </c>
      <c r="S69" s="28">
        <v>101809</v>
      </c>
      <c r="T69" s="28">
        <v>84316</v>
      </c>
      <c r="U69" s="28">
        <v>34225</v>
      </c>
      <c r="V69" s="28">
        <v>87528</v>
      </c>
      <c r="W69" s="29">
        <f t="shared" si="10"/>
        <v>121753</v>
      </c>
    </row>
    <row r="70" spans="1:23">
      <c r="A70" s="12" t="s">
        <v>33</v>
      </c>
      <c r="B70" s="12" t="s">
        <v>32</v>
      </c>
      <c r="C70" s="12" t="s">
        <v>24</v>
      </c>
      <c r="D70" s="12">
        <v>0</v>
      </c>
      <c r="E70" s="12">
        <v>14</v>
      </c>
      <c r="F70" s="12">
        <f t="shared" si="7"/>
        <v>0.247571160729504</v>
      </c>
      <c r="G70" s="12">
        <f t="shared" si="8"/>
        <v>10.388564506279341</v>
      </c>
      <c r="H70" s="12">
        <f t="shared" si="9"/>
        <v>0.92427507233885364</v>
      </c>
      <c r="I70" s="12">
        <v>0.18476341726403289</v>
      </c>
      <c r="J70" s="12">
        <f t="shared" si="11"/>
        <v>3.5426829268292681</v>
      </c>
      <c r="K70" s="86">
        <f t="shared" si="12"/>
        <v>0.8</v>
      </c>
      <c r="L70" s="54"/>
      <c r="M70" s="13">
        <v>44</v>
      </c>
      <c r="N70" s="13">
        <v>55</v>
      </c>
      <c r="O70" s="53">
        <v>8715</v>
      </c>
      <c r="P70" s="56"/>
      <c r="Q70" s="59">
        <v>12735</v>
      </c>
      <c r="R70" s="59">
        <v>32486</v>
      </c>
      <c r="S70" s="59">
        <v>35202</v>
      </c>
      <c r="T70" s="59">
        <v>2460</v>
      </c>
      <c r="U70" s="59"/>
      <c r="V70" s="59"/>
      <c r="W70" s="59">
        <v>30026</v>
      </c>
    </row>
    <row r="71" spans="1:23">
      <c r="A71" s="12" t="s">
        <v>38</v>
      </c>
      <c r="B71" s="12" t="s">
        <v>32</v>
      </c>
      <c r="C71" s="12" t="s">
        <v>24</v>
      </c>
      <c r="D71" s="12">
        <v>1</v>
      </c>
      <c r="E71" s="12">
        <v>3</v>
      </c>
      <c r="F71" s="12">
        <f t="shared" si="7"/>
        <v>-2.1689709566669758E-3</v>
      </c>
      <c r="G71" s="12">
        <f t="shared" si="8"/>
        <v>12.675488602130162</v>
      </c>
      <c r="H71" s="12">
        <f t="shared" si="9"/>
        <v>0.99617587832851795</v>
      </c>
      <c r="I71" s="12">
        <v>0.15412662207684122</v>
      </c>
      <c r="J71" s="12">
        <f t="shared" si="11"/>
        <v>-0.15290269828291086</v>
      </c>
      <c r="K71" s="86">
        <f t="shared" si="12"/>
        <v>1.625</v>
      </c>
      <c r="L71" s="54"/>
      <c r="M71" s="13">
        <v>65</v>
      </c>
      <c r="N71" s="13">
        <v>40</v>
      </c>
      <c r="O71" s="53">
        <v>-187</v>
      </c>
      <c r="P71" s="56"/>
      <c r="Q71" s="59"/>
      <c r="R71" s="59">
        <v>319812</v>
      </c>
      <c r="S71" s="59">
        <v>86216</v>
      </c>
      <c r="T71" s="59">
        <v>1223</v>
      </c>
      <c r="U71" s="59"/>
      <c r="V71" s="59"/>
      <c r="W71" s="59">
        <v>318589</v>
      </c>
    </row>
    <row r="72" spans="1:23">
      <c r="A72" s="12" t="s">
        <v>39</v>
      </c>
      <c r="B72" s="12" t="s">
        <v>32</v>
      </c>
      <c r="C72" s="12" t="s">
        <v>24</v>
      </c>
      <c r="D72" s="12">
        <v>0</v>
      </c>
      <c r="E72" s="12">
        <v>18</v>
      </c>
      <c r="F72" s="12">
        <f t="shared" si="7"/>
        <v>-9.4155439553592443E-2</v>
      </c>
      <c r="G72" s="12">
        <f t="shared" si="8"/>
        <v>11.129437089665434</v>
      </c>
      <c r="H72" s="12">
        <f t="shared" si="9"/>
        <v>0.75795327815930036</v>
      </c>
      <c r="I72" s="12">
        <v>-6.8962318380029475E-4</v>
      </c>
      <c r="J72" s="12">
        <f t="shared" si="11"/>
        <v>-0.41224613519248254</v>
      </c>
      <c r="K72" s="86">
        <f t="shared" si="12"/>
        <v>0.54545454545454541</v>
      </c>
      <c r="L72" s="54"/>
      <c r="M72" s="13">
        <v>42</v>
      </c>
      <c r="N72" s="13">
        <v>77</v>
      </c>
      <c r="O72" s="53">
        <v>-6800</v>
      </c>
      <c r="P72" s="56"/>
      <c r="Q72" s="59"/>
      <c r="R72" s="59">
        <v>68148</v>
      </c>
      <c r="S72" s="59">
        <v>72221</v>
      </c>
      <c r="T72" s="59">
        <v>16495</v>
      </c>
      <c r="U72" s="59"/>
      <c r="V72" s="59"/>
      <c r="W72" s="59">
        <v>51653</v>
      </c>
    </row>
    <row r="73" spans="1:23">
      <c r="A73" s="12" t="s">
        <v>58</v>
      </c>
      <c r="B73" s="12" t="s">
        <v>32</v>
      </c>
      <c r="C73" s="12" t="s">
        <v>24</v>
      </c>
      <c r="D73" s="12">
        <v>0</v>
      </c>
      <c r="E73" s="12">
        <v>17</v>
      </c>
      <c r="F73" s="12">
        <f t="shared" si="7"/>
        <v>4.9157303370786515E-3</v>
      </c>
      <c r="G73" s="12">
        <f t="shared" si="8"/>
        <v>9.406482647787449</v>
      </c>
      <c r="H73" s="12">
        <f t="shared" si="9"/>
        <v>0.91896112435275745</v>
      </c>
      <c r="I73" s="12">
        <v>-6.1384934000000002E-2</v>
      </c>
      <c r="J73" s="12">
        <f t="shared" si="11"/>
        <v>0.12778904665314403</v>
      </c>
      <c r="K73" s="86">
        <f t="shared" si="12"/>
        <v>0.55072463768115942</v>
      </c>
      <c r="L73" s="54"/>
      <c r="M73" s="13">
        <v>38</v>
      </c>
      <c r="N73" s="13">
        <v>69</v>
      </c>
      <c r="O73" s="53">
        <v>126</v>
      </c>
      <c r="P73" s="56"/>
      <c r="Q73" s="59"/>
      <c r="R73" s="59">
        <v>12167</v>
      </c>
      <c r="S73" s="59">
        <v>25632</v>
      </c>
      <c r="T73" s="59">
        <v>986</v>
      </c>
      <c r="U73" s="59"/>
      <c r="V73" s="59"/>
      <c r="W73" s="59">
        <v>11181</v>
      </c>
    </row>
    <row r="74" spans="1:23" ht="17">
      <c r="A74" s="12" t="s">
        <v>78</v>
      </c>
      <c r="B74" s="12" t="s">
        <v>32</v>
      </c>
      <c r="C74" s="12" t="s">
        <v>24</v>
      </c>
      <c r="D74" s="12">
        <v>0</v>
      </c>
      <c r="E74" s="12">
        <v>20</v>
      </c>
      <c r="F74" s="12">
        <f t="shared" si="7"/>
        <v>-9.5106321002039029E-2</v>
      </c>
      <c r="G74" s="12">
        <f t="shared" si="8"/>
        <v>12.650687951484962</v>
      </c>
      <c r="H74" s="12">
        <f t="shared" si="9"/>
        <v>0.85520132829879025</v>
      </c>
      <c r="I74" s="12">
        <v>1.2183252577084996E-2</v>
      </c>
      <c r="J74" s="12">
        <f t="shared" si="11"/>
        <v>-4.3365652809137997E-2</v>
      </c>
      <c r="K74" s="86">
        <f t="shared" si="12"/>
        <v>0.5714285714285714</v>
      </c>
      <c r="L74" s="54"/>
      <c r="M74" s="13">
        <v>52</v>
      </c>
      <c r="N74" s="13">
        <v>91</v>
      </c>
      <c r="O74" s="87">
        <v>-1959</v>
      </c>
      <c r="P74" s="88" t="s">
        <v>79</v>
      </c>
      <c r="Q74" s="89">
        <v>3779</v>
      </c>
      <c r="R74" s="89">
        <v>311978</v>
      </c>
      <c r="S74" s="89">
        <v>20598</v>
      </c>
      <c r="T74" s="89">
        <v>45174</v>
      </c>
      <c r="U74" s="89">
        <v>121871</v>
      </c>
      <c r="V74" s="89">
        <v>144933</v>
      </c>
      <c r="W74" s="59">
        <v>266804</v>
      </c>
    </row>
    <row r="75" spans="1:23" ht="17">
      <c r="A75" s="12" t="s">
        <v>92</v>
      </c>
      <c r="B75" s="12" t="s">
        <v>32</v>
      </c>
      <c r="C75" s="12" t="s">
        <v>24</v>
      </c>
      <c r="D75" s="12">
        <v>0</v>
      </c>
      <c r="E75" s="12">
        <v>10</v>
      </c>
      <c r="F75" s="12">
        <f t="shared" si="7"/>
        <v>0.13332081324060388</v>
      </c>
      <c r="G75" s="12">
        <f t="shared" si="8"/>
        <v>12.00928495698491</v>
      </c>
      <c r="H75" s="12">
        <f t="shared" si="9"/>
        <v>1.3727758061276047</v>
      </c>
      <c r="I75" s="12">
        <v>-0.21655826976591055</v>
      </c>
      <c r="J75" s="12">
        <f t="shared" si="11"/>
        <v>-0.35937423453141076</v>
      </c>
      <c r="K75" s="86">
        <f t="shared" si="12"/>
        <v>1</v>
      </c>
      <c r="L75" s="54"/>
      <c r="M75" s="13">
        <v>48</v>
      </c>
      <c r="N75" s="13">
        <v>48</v>
      </c>
      <c r="O75" s="87">
        <v>22007</v>
      </c>
      <c r="P75" s="88">
        <v>164</v>
      </c>
      <c r="Q75" s="89">
        <v>15975</v>
      </c>
      <c r="R75" s="89">
        <v>164273</v>
      </c>
      <c r="S75" s="89">
        <v>165068</v>
      </c>
      <c r="T75" s="89">
        <v>-61237</v>
      </c>
      <c r="U75" s="89">
        <v>54015</v>
      </c>
      <c r="V75" s="89">
        <v>171494</v>
      </c>
      <c r="W75" s="59">
        <v>225510</v>
      </c>
    </row>
    <row r="76" spans="1:23">
      <c r="A76" s="12" t="s">
        <v>94</v>
      </c>
      <c r="B76" s="12" t="s">
        <v>32</v>
      </c>
      <c r="C76" s="12" t="s">
        <v>24</v>
      </c>
      <c r="D76" s="12">
        <v>0</v>
      </c>
      <c r="E76" s="12">
        <v>16</v>
      </c>
      <c r="F76" s="12">
        <f t="shared" si="7"/>
        <v>-8.4593854216293479E-2</v>
      </c>
      <c r="G76" s="12">
        <f t="shared" si="8"/>
        <v>10.742875641568942</v>
      </c>
      <c r="H76" s="12">
        <f t="shared" si="9"/>
        <v>0.8553964448476209</v>
      </c>
      <c r="I76" s="12">
        <v>1.25383215E-2</v>
      </c>
      <c r="J76" s="12">
        <f t="shared" si="11"/>
        <v>-0.42434652725914862</v>
      </c>
      <c r="K76" s="86">
        <f t="shared" si="12"/>
        <v>0.55555555555555558</v>
      </c>
      <c r="L76" s="54"/>
      <c r="M76" s="13">
        <v>35</v>
      </c>
      <c r="N76" s="13">
        <v>63</v>
      </c>
      <c r="O76" s="53">
        <v>-2841</v>
      </c>
      <c r="P76" s="54"/>
      <c r="Q76" s="59"/>
      <c r="R76" s="59">
        <v>46299</v>
      </c>
      <c r="S76" s="59">
        <v>33584</v>
      </c>
      <c r="T76" s="59">
        <v>6695</v>
      </c>
      <c r="U76" s="59"/>
      <c r="V76" s="59"/>
      <c r="W76" s="59">
        <v>39604</v>
      </c>
    </row>
    <row r="77" spans="1:23">
      <c r="A77" s="12" t="s">
        <v>98</v>
      </c>
      <c r="B77" s="12" t="s">
        <v>32</v>
      </c>
      <c r="C77" s="12" t="s">
        <v>24</v>
      </c>
      <c r="D77" s="12">
        <v>0</v>
      </c>
      <c r="E77" s="12">
        <v>19</v>
      </c>
      <c r="F77" s="12">
        <f t="shared" si="7"/>
        <v>-0.35645872538830997</v>
      </c>
      <c r="G77" s="12">
        <f t="shared" si="8"/>
        <v>10.94787242191776</v>
      </c>
      <c r="H77" s="12">
        <f t="shared" si="9"/>
        <v>0.6677810427040628</v>
      </c>
      <c r="I77" s="12">
        <v>-4.9674163431497893E-2</v>
      </c>
      <c r="J77" s="12">
        <f t="shared" si="11"/>
        <v>-0.67215719506382077</v>
      </c>
      <c r="K77" s="86">
        <f t="shared" si="12"/>
        <v>0.50724637681159424</v>
      </c>
      <c r="L77" s="54"/>
      <c r="M77" s="13">
        <v>35</v>
      </c>
      <c r="N77" s="13">
        <v>69</v>
      </c>
      <c r="O77" s="53">
        <v>-12691</v>
      </c>
      <c r="P77" s="56"/>
      <c r="Q77" s="59"/>
      <c r="R77" s="59">
        <v>56833</v>
      </c>
      <c r="S77" s="59">
        <v>35603</v>
      </c>
      <c r="T77" s="59">
        <v>18881</v>
      </c>
      <c r="U77" s="59"/>
      <c r="V77" s="59"/>
      <c r="W77" s="59">
        <v>37952</v>
      </c>
    </row>
    <row r="78" spans="1:23">
      <c r="A78" s="12" t="s">
        <v>99</v>
      </c>
      <c r="B78" s="12" t="s">
        <v>32</v>
      </c>
      <c r="C78" s="12" t="s">
        <v>24</v>
      </c>
      <c r="D78" s="12">
        <v>0</v>
      </c>
      <c r="E78" s="12">
        <v>13</v>
      </c>
      <c r="F78" s="12">
        <f t="shared" si="7"/>
        <v>7.8931673797484767E-2</v>
      </c>
      <c r="G78" s="12">
        <f t="shared" si="8"/>
        <v>10.887324777062158</v>
      </c>
      <c r="H78" s="12">
        <f t="shared" si="9"/>
        <v>0.73526002916214905</v>
      </c>
      <c r="I78" s="12">
        <v>5.8199229376548096E-2</v>
      </c>
      <c r="J78" s="12">
        <f t="shared" si="11"/>
        <v>0.21494139245869229</v>
      </c>
      <c r="K78" s="86">
        <f t="shared" si="12"/>
        <v>0.80327868852459017</v>
      </c>
      <c r="L78" s="54"/>
      <c r="M78" s="13">
        <v>49</v>
      </c>
      <c r="N78" s="13">
        <v>61</v>
      </c>
      <c r="O78" s="53">
        <v>3044</v>
      </c>
      <c r="P78" s="54"/>
      <c r="Q78" s="59"/>
      <c r="R78" s="59">
        <v>53494</v>
      </c>
      <c r="S78" s="59">
        <v>38565</v>
      </c>
      <c r="T78" s="59">
        <v>14162</v>
      </c>
      <c r="U78" s="59"/>
      <c r="V78" s="59"/>
      <c r="W78" s="59">
        <v>39332</v>
      </c>
    </row>
    <row r="79" spans="1:23">
      <c r="A79" s="12" t="s">
        <v>100</v>
      </c>
      <c r="B79" s="12" t="s">
        <v>32</v>
      </c>
      <c r="C79" s="12" t="s">
        <v>24</v>
      </c>
      <c r="D79" s="12">
        <v>0</v>
      </c>
      <c r="E79" s="12">
        <v>9</v>
      </c>
      <c r="F79" s="12">
        <f t="shared" si="7"/>
        <v>2.328830926874709E-3</v>
      </c>
      <c r="G79" s="12">
        <f t="shared" si="8"/>
        <v>11.093006399891914</v>
      </c>
      <c r="H79" s="12">
        <f t="shared" si="9"/>
        <v>0.99319738243798505</v>
      </c>
      <c r="I79" s="12">
        <v>-6.0094775016481666E-4</v>
      </c>
      <c r="J79" s="12">
        <f t="shared" si="11"/>
        <v>0.26845637583892618</v>
      </c>
      <c r="K79" s="86">
        <f t="shared" si="12"/>
        <v>1.1458333333333333</v>
      </c>
      <c r="L79" s="54"/>
      <c r="M79" s="13">
        <v>55</v>
      </c>
      <c r="N79" s="13">
        <v>48</v>
      </c>
      <c r="O79" s="53">
        <v>120</v>
      </c>
      <c r="P79" s="56"/>
      <c r="Q79" s="59"/>
      <c r="R79" s="59">
        <v>65710</v>
      </c>
      <c r="S79" s="59">
        <v>51528</v>
      </c>
      <c r="T79" s="59">
        <v>447</v>
      </c>
      <c r="U79" s="59"/>
      <c r="V79" s="59"/>
      <c r="W79" s="59">
        <v>65263</v>
      </c>
    </row>
    <row r="80" spans="1:23" ht="17">
      <c r="A80" s="12" t="s">
        <v>105</v>
      </c>
      <c r="B80" s="12" t="s">
        <v>32</v>
      </c>
      <c r="C80" s="12" t="s">
        <v>24</v>
      </c>
      <c r="D80" s="12">
        <v>0</v>
      </c>
      <c r="E80" s="12">
        <v>5</v>
      </c>
      <c r="F80" s="12">
        <f t="shared" si="7"/>
        <v>-0.76042277583700946</v>
      </c>
      <c r="G80" s="12">
        <f t="shared" si="8"/>
        <v>11.121156139991051</v>
      </c>
      <c r="H80" s="12">
        <f t="shared" si="9"/>
        <v>0.79121415677803097</v>
      </c>
      <c r="I80" s="12">
        <v>-0.18375979852446345</v>
      </c>
      <c r="J80" s="12">
        <f t="shared" si="11"/>
        <v>-4.2267025724612006</v>
      </c>
      <c r="K80" s="86">
        <f t="shared" si="12"/>
        <v>1.4444444444444444</v>
      </c>
      <c r="L80" s="54"/>
      <c r="M80" s="13">
        <v>52</v>
      </c>
      <c r="N80" s="13">
        <v>36</v>
      </c>
      <c r="O80" s="87">
        <v>-59643</v>
      </c>
      <c r="P80" s="88" t="s">
        <v>79</v>
      </c>
      <c r="Q80" s="89" t="s">
        <v>79</v>
      </c>
      <c r="R80" s="89">
        <v>67586</v>
      </c>
      <c r="S80" s="89">
        <v>78434</v>
      </c>
      <c r="T80" s="89">
        <v>14111</v>
      </c>
      <c r="U80" s="89" t="s">
        <v>79</v>
      </c>
      <c r="V80" s="89" t="s">
        <v>79</v>
      </c>
      <c r="W80" s="59">
        <v>53475</v>
      </c>
    </row>
    <row r="81" spans="1:23" ht="17">
      <c r="A81" s="12" t="s">
        <v>106</v>
      </c>
      <c r="B81" s="12" t="s">
        <v>32</v>
      </c>
      <c r="C81" s="12" t="s">
        <v>24</v>
      </c>
      <c r="D81" s="12">
        <v>1</v>
      </c>
      <c r="E81" s="12">
        <v>2</v>
      </c>
      <c r="F81" s="12">
        <f t="shared" si="7"/>
        <v>-0.13049939170444835</v>
      </c>
      <c r="G81" s="12">
        <f t="shared" si="8"/>
        <v>12.407587984180815</v>
      </c>
      <c r="H81" s="12">
        <f t="shared" si="9"/>
        <v>0.89928919154223774</v>
      </c>
      <c r="I81" s="12">
        <v>-9.4340153856075443E-2</v>
      </c>
      <c r="J81" s="12">
        <f t="shared" si="11"/>
        <v>-1.2581679451276431</v>
      </c>
      <c r="K81" s="86">
        <f t="shared" si="12"/>
        <v>1.6578947368421053</v>
      </c>
      <c r="L81" s="54"/>
      <c r="M81" s="13">
        <v>63</v>
      </c>
      <c r="N81" s="13">
        <v>38</v>
      </c>
      <c r="O81" s="87">
        <v>-31000</v>
      </c>
      <c r="P81" s="88" t="s">
        <v>79</v>
      </c>
      <c r="Q81" s="89" t="s">
        <v>79</v>
      </c>
      <c r="R81" s="89">
        <v>244651</v>
      </c>
      <c r="S81" s="89">
        <v>237549</v>
      </c>
      <c r="T81" s="89">
        <v>24639</v>
      </c>
      <c r="U81" s="89" t="s">
        <v>79</v>
      </c>
      <c r="V81" s="89" t="s">
        <v>79</v>
      </c>
      <c r="W81" s="59">
        <v>220012</v>
      </c>
    </row>
    <row r="82" spans="1:23" ht="17">
      <c r="A82" s="12" t="s">
        <v>107</v>
      </c>
      <c r="B82" s="12" t="s">
        <v>32</v>
      </c>
      <c r="C82" s="12" t="s">
        <v>24</v>
      </c>
      <c r="D82" s="12">
        <v>0</v>
      </c>
      <c r="E82" s="12">
        <v>8</v>
      </c>
      <c r="F82" s="12">
        <f t="shared" si="7"/>
        <v>-2.4093483974325414E-2</v>
      </c>
      <c r="G82" s="12">
        <f t="shared" si="8"/>
        <v>13.21605952809143</v>
      </c>
      <c r="H82" s="12">
        <f t="shared" si="9"/>
        <v>0.99590976720638558</v>
      </c>
      <c r="I82" s="12">
        <v>0.1060832996538067</v>
      </c>
      <c r="J82" s="12">
        <f t="shared" si="11"/>
        <v>-2.0489759572573463</v>
      </c>
      <c r="K82" s="86">
        <f t="shared" si="12"/>
        <v>1.2941176470588236</v>
      </c>
      <c r="L82" s="54"/>
      <c r="M82" s="13">
        <v>66</v>
      </c>
      <c r="N82" s="13">
        <v>51</v>
      </c>
      <c r="O82" s="87">
        <v>-4602</v>
      </c>
      <c r="P82" s="88" t="s">
        <v>79</v>
      </c>
      <c r="Q82" s="89">
        <v>30132</v>
      </c>
      <c r="R82" s="89">
        <v>549113</v>
      </c>
      <c r="S82" s="89">
        <v>191006</v>
      </c>
      <c r="T82" s="89">
        <v>2246</v>
      </c>
      <c r="U82" s="89">
        <v>394875</v>
      </c>
      <c r="V82" s="89">
        <v>151991</v>
      </c>
      <c r="W82" s="59">
        <v>546867</v>
      </c>
    </row>
    <row r="83" spans="1:23" ht="17">
      <c r="A83" s="12" t="s">
        <v>110</v>
      </c>
      <c r="B83" s="12" t="s">
        <v>32</v>
      </c>
      <c r="C83" s="12" t="s">
        <v>24</v>
      </c>
      <c r="D83" s="12">
        <v>1</v>
      </c>
      <c r="E83" s="12">
        <v>1</v>
      </c>
      <c r="F83" s="12">
        <f t="shared" si="7"/>
        <v>-0.53825326754438363</v>
      </c>
      <c r="G83" s="12">
        <f t="shared" si="8"/>
        <v>13.838715234858867</v>
      </c>
      <c r="H83" s="12">
        <f t="shared" si="9"/>
        <v>0.85158030085707925</v>
      </c>
      <c r="I83" s="12">
        <v>2.7207427360840565E-2</v>
      </c>
      <c r="J83" s="12">
        <f t="shared" si="11"/>
        <v>-2.3727024963134613</v>
      </c>
      <c r="K83" s="86">
        <f t="shared" si="12"/>
        <v>2.5</v>
      </c>
      <c r="L83" s="54"/>
      <c r="M83" s="13">
        <v>90</v>
      </c>
      <c r="N83" s="13">
        <v>36</v>
      </c>
      <c r="O83" s="87">
        <v>-360423</v>
      </c>
      <c r="P83" s="88" t="s">
        <v>79</v>
      </c>
      <c r="Q83" s="89" t="s">
        <v>79</v>
      </c>
      <c r="R83" s="89">
        <v>1023476</v>
      </c>
      <c r="S83" s="89">
        <v>669616</v>
      </c>
      <c r="T83" s="89">
        <v>151904</v>
      </c>
      <c r="U83" s="89" t="s">
        <v>79</v>
      </c>
      <c r="V83" s="89" t="s">
        <v>79</v>
      </c>
      <c r="W83" s="59">
        <v>871572</v>
      </c>
    </row>
    <row r="84" spans="1:23">
      <c r="A84" s="12" t="s">
        <v>112</v>
      </c>
      <c r="B84" s="12" t="s">
        <v>32</v>
      </c>
      <c r="C84" s="12" t="s">
        <v>24</v>
      </c>
      <c r="D84" s="12">
        <v>0</v>
      </c>
      <c r="E84" s="12">
        <v>7</v>
      </c>
      <c r="F84" s="12">
        <f t="shared" si="7"/>
        <v>3.4546680148297947E-2</v>
      </c>
      <c r="G84" s="12">
        <f t="shared" si="8"/>
        <v>11.93165553647575</v>
      </c>
      <c r="H84" s="12">
        <f t="shared" si="9"/>
        <v>0.74924837009795864</v>
      </c>
      <c r="I84" s="12">
        <v>5.4213341999999998E-2</v>
      </c>
      <c r="J84" s="12">
        <f t="shared" si="11"/>
        <v>4.3027679391315757E-2</v>
      </c>
      <c r="K84" s="86">
        <f t="shared" si="12"/>
        <v>1.2916666666666667</v>
      </c>
      <c r="L84" s="54"/>
      <c r="M84" s="13">
        <v>62</v>
      </c>
      <c r="N84" s="13">
        <v>48</v>
      </c>
      <c r="O84" s="53">
        <v>1640</v>
      </c>
      <c r="P84" s="54"/>
      <c r="Q84" s="59"/>
      <c r="R84" s="59">
        <v>152003</v>
      </c>
      <c r="S84" s="59">
        <v>47472</v>
      </c>
      <c r="T84" s="59">
        <v>38115</v>
      </c>
      <c r="U84" s="59"/>
      <c r="V84" s="59"/>
      <c r="W84" s="59">
        <v>113888</v>
      </c>
    </row>
    <row r="85" spans="1:23">
      <c r="A85" s="12" t="s">
        <v>113</v>
      </c>
      <c r="B85" s="12" t="s">
        <v>32</v>
      </c>
      <c r="C85" s="12" t="s">
        <v>24</v>
      </c>
      <c r="D85" s="12">
        <v>0</v>
      </c>
      <c r="E85" s="12">
        <v>6</v>
      </c>
      <c r="F85" s="12">
        <f t="shared" si="7"/>
        <v>3.6574331848552341E-2</v>
      </c>
      <c r="G85" s="12">
        <f t="shared" si="8"/>
        <v>10.827567866685113</v>
      </c>
      <c r="H85" s="12">
        <f t="shared" si="9"/>
        <v>0.80030164116608127</v>
      </c>
      <c r="I85" s="12">
        <v>-6.8435747128025387E-2</v>
      </c>
      <c r="J85" s="12">
        <f t="shared" si="11"/>
        <v>0.20888403060717481</v>
      </c>
      <c r="K85" s="86">
        <f t="shared" si="12"/>
        <v>1.3953488372093024</v>
      </c>
      <c r="L85" s="54"/>
      <c r="M85" s="13">
        <v>60</v>
      </c>
      <c r="N85" s="13">
        <v>43</v>
      </c>
      <c r="O85" s="53">
        <v>2102</v>
      </c>
      <c r="P85" s="54"/>
      <c r="Q85" s="59"/>
      <c r="R85" s="59">
        <v>50391</v>
      </c>
      <c r="S85" s="59">
        <v>57472</v>
      </c>
      <c r="T85" s="59">
        <v>10063</v>
      </c>
      <c r="U85" s="59"/>
      <c r="V85" s="59"/>
      <c r="W85" s="59">
        <v>40328</v>
      </c>
    </row>
    <row r="86" spans="1:23">
      <c r="A86" s="12" t="s">
        <v>123</v>
      </c>
      <c r="B86" s="12" t="s">
        <v>32</v>
      </c>
      <c r="C86" s="12" t="s">
        <v>24</v>
      </c>
      <c r="D86" s="12">
        <v>0</v>
      </c>
      <c r="E86" s="12">
        <v>11</v>
      </c>
      <c r="F86" s="12">
        <f t="shared" si="7"/>
        <v>0.27530318741265047</v>
      </c>
      <c r="G86" s="12">
        <f t="shared" si="8"/>
        <v>10.753510268558554</v>
      </c>
      <c r="H86" s="12">
        <f t="shared" si="9"/>
        <v>0.76176432876009748</v>
      </c>
      <c r="I86" s="12">
        <v>-0.17056226685521353</v>
      </c>
      <c r="J86" s="12">
        <f t="shared" si="11"/>
        <v>1.0955328310010763</v>
      </c>
      <c r="K86" s="86">
        <f t="shared" si="12"/>
        <v>0.85964912280701755</v>
      </c>
      <c r="L86" s="54"/>
      <c r="M86" s="13">
        <v>49</v>
      </c>
      <c r="N86" s="13">
        <v>57</v>
      </c>
      <c r="O86" s="53">
        <v>12213</v>
      </c>
      <c r="P86" s="54"/>
      <c r="Q86" s="59"/>
      <c r="R86" s="59">
        <v>46794</v>
      </c>
      <c r="S86" s="59">
        <v>44362</v>
      </c>
      <c r="T86" s="59">
        <v>11148</v>
      </c>
      <c r="U86" s="59"/>
      <c r="V86" s="59"/>
      <c r="W86" s="59">
        <v>35646</v>
      </c>
    </row>
    <row r="87" spans="1:23">
      <c r="A87" s="12" t="s">
        <v>124</v>
      </c>
      <c r="B87" s="12" t="s">
        <v>32</v>
      </c>
      <c r="C87" s="12" t="s">
        <v>24</v>
      </c>
      <c r="D87" s="12">
        <v>0</v>
      </c>
      <c r="E87" s="12">
        <v>12</v>
      </c>
      <c r="F87" s="12">
        <f t="shared" si="7"/>
        <v>3.108523725834798E-2</v>
      </c>
      <c r="G87" s="12">
        <f t="shared" si="8"/>
        <v>11.121156139991051</v>
      </c>
      <c r="H87" s="12">
        <f t="shared" si="9"/>
        <v>0.79121415677803097</v>
      </c>
      <c r="I87" s="12">
        <v>5.5874927038224942E-2</v>
      </c>
      <c r="J87" s="12">
        <f t="shared" si="11"/>
        <v>8.0221104103181909E-2</v>
      </c>
      <c r="K87" s="86">
        <f t="shared" si="12"/>
        <v>0.97727272727272729</v>
      </c>
      <c r="L87" s="54"/>
      <c r="M87" s="13">
        <v>43</v>
      </c>
      <c r="N87" s="13">
        <v>44</v>
      </c>
      <c r="O87" s="53">
        <v>1132</v>
      </c>
      <c r="P87" s="13"/>
      <c r="Q87" s="59"/>
      <c r="R87" s="59">
        <v>67586</v>
      </c>
      <c r="S87" s="59">
        <v>36416</v>
      </c>
      <c r="T87" s="59">
        <v>14111</v>
      </c>
      <c r="U87" s="59"/>
      <c r="V87" s="59"/>
      <c r="W87" s="59">
        <v>53475</v>
      </c>
    </row>
    <row r="88" spans="1:23" ht="17">
      <c r="A88" s="12" t="s">
        <v>125</v>
      </c>
      <c r="B88" s="12" t="s">
        <v>32</v>
      </c>
      <c r="C88" s="12" t="s">
        <v>24</v>
      </c>
      <c r="D88" s="12">
        <v>0</v>
      </c>
      <c r="E88" s="12">
        <v>4</v>
      </c>
      <c r="F88" s="12">
        <f t="shared" si="7"/>
        <v>-0.14623279878318982</v>
      </c>
      <c r="G88" s="12">
        <f t="shared" si="8"/>
        <v>12.301369188877887</v>
      </c>
      <c r="H88" s="12">
        <f t="shared" si="9"/>
        <v>0.78349250217048416</v>
      </c>
      <c r="I88" s="12">
        <v>-8.0490360959109386E-2</v>
      </c>
      <c r="J88" s="12">
        <f t="shared" si="11"/>
        <v>-0.25634565724003278</v>
      </c>
      <c r="K88" s="86">
        <f t="shared" si="12"/>
        <v>2.0499999999999998</v>
      </c>
      <c r="L88" s="54"/>
      <c r="M88" s="13">
        <v>82</v>
      </c>
      <c r="N88" s="13">
        <v>40</v>
      </c>
      <c r="O88" s="87">
        <v>-12210</v>
      </c>
      <c r="P88" s="88" t="s">
        <v>79</v>
      </c>
      <c r="Q88" s="89" t="s">
        <v>79</v>
      </c>
      <c r="R88" s="89">
        <v>219997</v>
      </c>
      <c r="S88" s="89">
        <v>83497</v>
      </c>
      <c r="T88" s="89">
        <v>47631</v>
      </c>
      <c r="U88" s="89" t="s">
        <v>79</v>
      </c>
      <c r="V88" s="89" t="s">
        <v>79</v>
      </c>
      <c r="W88" s="59">
        <v>172366</v>
      </c>
    </row>
    <row r="89" spans="1:23">
      <c r="A89" s="12" t="s">
        <v>130</v>
      </c>
      <c r="B89" s="12" t="s">
        <v>32</v>
      </c>
      <c r="C89" s="12" t="s">
        <v>24</v>
      </c>
      <c r="D89" s="12">
        <v>0</v>
      </c>
      <c r="E89" s="12">
        <v>15</v>
      </c>
      <c r="F89" s="12">
        <f t="shared" si="7"/>
        <v>-1.182257389584205</v>
      </c>
      <c r="G89" s="12">
        <f t="shared" si="8"/>
        <v>10.746648295413559</v>
      </c>
      <c r="H89" s="12">
        <f t="shared" si="9"/>
        <v>0.4374919309721565</v>
      </c>
      <c r="I89" s="12">
        <v>6.3253470000000006E-2</v>
      </c>
      <c r="J89" s="12">
        <f t="shared" si="11"/>
        <v>-1.1888149338229668</v>
      </c>
      <c r="K89" s="86">
        <f t="shared" si="12"/>
        <v>0.69811320754716977</v>
      </c>
      <c r="L89" s="54"/>
      <c r="M89" s="13">
        <v>37</v>
      </c>
      <c r="N89" s="13">
        <v>53</v>
      </c>
      <c r="O89" s="53">
        <v>-31078</v>
      </c>
      <c r="P89" s="56"/>
      <c r="Q89" s="59"/>
      <c r="R89" s="55">
        <v>46474</v>
      </c>
      <c r="S89" s="59">
        <v>26287</v>
      </c>
      <c r="T89" s="59">
        <v>26142</v>
      </c>
      <c r="U89" s="59"/>
      <c r="V89" s="59"/>
      <c r="W89" s="59">
        <v>20332</v>
      </c>
    </row>
    <row r="90" spans="1:23">
      <c r="A90" s="12" t="s">
        <v>33</v>
      </c>
      <c r="B90" s="12" t="s">
        <v>32</v>
      </c>
      <c r="C90" s="12" t="s">
        <v>23</v>
      </c>
      <c r="D90" s="12">
        <v>0</v>
      </c>
      <c r="E90" s="12">
        <v>13</v>
      </c>
      <c r="F90" s="12">
        <f t="shared" si="7"/>
        <v>0.45543276599177218</v>
      </c>
      <c r="G90" s="12">
        <f t="shared" si="8"/>
        <v>10.503120439721929</v>
      </c>
      <c r="H90" s="12">
        <f t="shared" si="9"/>
        <v>1.1715117077053996</v>
      </c>
      <c r="I90" s="12">
        <v>-0.64783250951650473</v>
      </c>
      <c r="J90" s="12">
        <f t="shared" si="11"/>
        <v>-0.90364916773367476</v>
      </c>
      <c r="K90" s="86">
        <f t="shared" si="12"/>
        <v>0.68965517241379315</v>
      </c>
      <c r="L90" s="54"/>
      <c r="M90" s="13">
        <v>40</v>
      </c>
      <c r="N90" s="13">
        <v>58</v>
      </c>
      <c r="O90" s="53">
        <v>5646</v>
      </c>
      <c r="P90" s="56"/>
      <c r="Q90" s="59">
        <v>7969</v>
      </c>
      <c r="R90" s="59">
        <v>36429</v>
      </c>
      <c r="S90" s="59">
        <v>12397</v>
      </c>
      <c r="T90" s="59">
        <v>-6248</v>
      </c>
      <c r="U90" s="59"/>
      <c r="V90" s="59"/>
      <c r="W90" s="59">
        <v>42677</v>
      </c>
    </row>
    <row r="91" spans="1:23">
      <c r="A91" s="12" t="s">
        <v>38</v>
      </c>
      <c r="B91" s="12" t="s">
        <v>32</v>
      </c>
      <c r="C91" s="12" t="s">
        <v>23</v>
      </c>
      <c r="D91" s="12">
        <v>0</v>
      </c>
      <c r="E91" s="12">
        <v>3</v>
      </c>
      <c r="F91" s="12">
        <f t="shared" si="7"/>
        <v>-1.8285570162993789E-3</v>
      </c>
      <c r="G91" s="12">
        <f t="shared" si="8"/>
        <v>12.66130204636505</v>
      </c>
      <c r="H91" s="12">
        <f t="shared" si="9"/>
        <v>0.99552816778568187</v>
      </c>
      <c r="I91" s="12">
        <v>-0.26419690080727476</v>
      </c>
      <c r="J91" s="12">
        <f t="shared" si="11"/>
        <v>-8.2269503546099285E-2</v>
      </c>
      <c r="K91" s="86">
        <f t="shared" si="12"/>
        <v>1.8095238095238095</v>
      </c>
      <c r="L91" s="54"/>
      <c r="M91" s="13">
        <v>76</v>
      </c>
      <c r="N91" s="13">
        <v>42</v>
      </c>
      <c r="O91" s="53">
        <v>-116</v>
      </c>
      <c r="P91" s="56"/>
      <c r="Q91" s="59"/>
      <c r="R91" s="59">
        <v>315307</v>
      </c>
      <c r="S91" s="59">
        <v>63438</v>
      </c>
      <c r="T91" s="59">
        <v>1410</v>
      </c>
      <c r="U91" s="59"/>
      <c r="V91" s="59"/>
      <c r="W91" s="59">
        <v>313897</v>
      </c>
    </row>
    <row r="92" spans="1:23">
      <c r="A92" s="12" t="s">
        <v>39</v>
      </c>
      <c r="B92" s="12" t="s">
        <v>32</v>
      </c>
      <c r="C92" s="12" t="s">
        <v>23</v>
      </c>
      <c r="D92" s="12">
        <v>0</v>
      </c>
      <c r="E92" s="12">
        <v>11</v>
      </c>
      <c r="F92" s="12">
        <f t="shared" si="7"/>
        <v>6.1148205497420932E-4</v>
      </c>
      <c r="G92" s="12">
        <f t="shared" si="8"/>
        <v>11.542299784176407</v>
      </c>
      <c r="H92" s="12">
        <f t="shared" si="9"/>
        <v>0.77473514531806842</v>
      </c>
      <c r="I92" s="12">
        <v>0.40392683568491161</v>
      </c>
      <c r="J92" s="12">
        <f t="shared" si="11"/>
        <v>2.6726441934649538E-3</v>
      </c>
      <c r="K92" s="86">
        <f t="shared" si="12"/>
        <v>0.77777777777777779</v>
      </c>
      <c r="L92" s="54"/>
      <c r="M92" s="13">
        <v>42</v>
      </c>
      <c r="N92" s="13">
        <v>54</v>
      </c>
      <c r="O92" s="53">
        <v>62</v>
      </c>
      <c r="P92" s="56"/>
      <c r="Q92" s="59"/>
      <c r="R92" s="59">
        <v>102981</v>
      </c>
      <c r="S92" s="59">
        <v>101393</v>
      </c>
      <c r="T92" s="59">
        <v>23198</v>
      </c>
      <c r="U92" s="59"/>
      <c r="V92" s="59"/>
      <c r="W92" s="59">
        <v>79783</v>
      </c>
    </row>
    <row r="93" spans="1:23">
      <c r="A93" s="12" t="s">
        <v>61</v>
      </c>
      <c r="B93" s="12" t="s">
        <v>32</v>
      </c>
      <c r="C93" s="12" t="s">
        <v>23</v>
      </c>
      <c r="D93" s="12">
        <v>0</v>
      </c>
      <c r="E93" s="12">
        <v>20</v>
      </c>
      <c r="F93" s="12">
        <f t="shared" si="7"/>
        <v>3.1940619332303355E-2</v>
      </c>
      <c r="G93" s="12">
        <f t="shared" si="8"/>
        <v>10.780184701749807</v>
      </c>
      <c r="H93" s="12">
        <f t="shared" si="9"/>
        <v>0.64768305624336753</v>
      </c>
      <c r="I93" s="12">
        <v>4.4719924974676195E-2</v>
      </c>
      <c r="J93" s="12">
        <f t="shared" si="11"/>
        <v>5.6165839829907867E-2</v>
      </c>
      <c r="K93" s="86">
        <f t="shared" si="12"/>
        <v>0.34246575342465752</v>
      </c>
      <c r="L93" s="54"/>
      <c r="M93" s="13">
        <v>25</v>
      </c>
      <c r="N93" s="13">
        <v>73</v>
      </c>
      <c r="O93" s="53">
        <v>951</v>
      </c>
      <c r="P93" s="56"/>
      <c r="Q93" s="59"/>
      <c r="R93" s="59">
        <v>48059</v>
      </c>
      <c r="S93" s="59">
        <v>29774</v>
      </c>
      <c r="T93" s="59">
        <v>16932</v>
      </c>
      <c r="U93" s="59"/>
      <c r="V93" s="59"/>
      <c r="W93" s="59">
        <v>31127</v>
      </c>
    </row>
    <row r="94" spans="1:23" ht="17">
      <c r="A94" s="12" t="s">
        <v>78</v>
      </c>
      <c r="B94" s="12" t="s">
        <v>32</v>
      </c>
      <c r="C94" s="12" t="s">
        <v>23</v>
      </c>
      <c r="D94" s="12">
        <v>0</v>
      </c>
      <c r="E94" s="12">
        <v>12</v>
      </c>
      <c r="F94" s="12">
        <f t="shared" si="7"/>
        <v>-6.5300110470111694E-2</v>
      </c>
      <c r="G94" s="12">
        <f t="shared" si="8"/>
        <v>12.683194629069202</v>
      </c>
      <c r="H94" s="12">
        <f t="shared" si="9"/>
        <v>0.845997033690573</v>
      </c>
      <c r="I94" s="12">
        <v>-0.20895232546849207</v>
      </c>
      <c r="J94" s="12">
        <f t="shared" si="11"/>
        <v>-2.1437350150101748E-2</v>
      </c>
      <c r="K94" s="86">
        <f t="shared" si="12"/>
        <v>0.75</v>
      </c>
      <c r="L94" s="54"/>
      <c r="M94" s="13">
        <v>42</v>
      </c>
      <c r="N94" s="13">
        <v>56</v>
      </c>
      <c r="O94" s="87">
        <v>-1064</v>
      </c>
      <c r="P94" s="88" t="s">
        <v>79</v>
      </c>
      <c r="Q94" s="89">
        <v>3332</v>
      </c>
      <c r="R94" s="89">
        <v>322286</v>
      </c>
      <c r="S94" s="89">
        <v>16294</v>
      </c>
      <c r="T94" s="89">
        <v>49633</v>
      </c>
      <c r="U94" s="89">
        <v>253831</v>
      </c>
      <c r="V94" s="89">
        <v>18821</v>
      </c>
      <c r="W94" s="59">
        <v>272653</v>
      </c>
    </row>
    <row r="95" spans="1:23" ht="17">
      <c r="A95" s="12" t="s">
        <v>92</v>
      </c>
      <c r="B95" s="12" t="s">
        <v>32</v>
      </c>
      <c r="C95" s="12" t="s">
        <v>23</v>
      </c>
      <c r="D95" s="12">
        <v>1</v>
      </c>
      <c r="E95" s="12">
        <v>1</v>
      </c>
      <c r="F95" s="12">
        <f t="shared" si="7"/>
        <v>-0.26903808761294751</v>
      </c>
      <c r="G95" s="12">
        <f t="shared" si="8"/>
        <v>12.131645391642232</v>
      </c>
      <c r="H95" s="12">
        <f t="shared" si="9"/>
        <v>1.448380059788317</v>
      </c>
      <c r="I95" s="12">
        <v>-0.47033949644994788</v>
      </c>
      <c r="J95" s="12">
        <f t="shared" si="11"/>
        <v>0.28256691172937387</v>
      </c>
      <c r="K95" s="86">
        <f t="shared" si="12"/>
        <v>2.7826086956521738</v>
      </c>
      <c r="L95" s="54"/>
      <c r="M95" s="13">
        <v>64</v>
      </c>
      <c r="N95" s="13">
        <v>23</v>
      </c>
      <c r="O95" s="87">
        <v>-23522</v>
      </c>
      <c r="P95" s="88">
        <v>210</v>
      </c>
      <c r="Q95" s="89">
        <v>2387</v>
      </c>
      <c r="R95" s="89">
        <v>185655</v>
      </c>
      <c r="S95" s="89">
        <v>87430</v>
      </c>
      <c r="T95" s="89">
        <v>-83244</v>
      </c>
      <c r="U95" s="89">
        <v>133608</v>
      </c>
      <c r="V95" s="89">
        <v>135291</v>
      </c>
      <c r="W95" s="59">
        <v>268899</v>
      </c>
    </row>
    <row r="96" spans="1:23" ht="17">
      <c r="A96" s="12" t="s">
        <v>94</v>
      </c>
      <c r="B96" s="12" t="s">
        <v>32</v>
      </c>
      <c r="C96" s="12" t="s">
        <v>23</v>
      </c>
      <c r="D96" s="12">
        <v>0</v>
      </c>
      <c r="E96" s="12">
        <v>16</v>
      </c>
      <c r="F96" s="12">
        <f t="shared" si="7"/>
        <v>-0.12100494691790339</v>
      </c>
      <c r="G96" s="12">
        <f t="shared" si="8"/>
        <v>12.733814381672477</v>
      </c>
      <c r="H96" s="12">
        <f t="shared" si="9"/>
        <v>0.93671759778184183</v>
      </c>
      <c r="I96" s="12">
        <v>-0.46429847546450692</v>
      </c>
      <c r="J96" s="12">
        <f t="shared" si="11"/>
        <v>-0.10147291880302041</v>
      </c>
      <c r="K96" s="86">
        <f t="shared" si="12"/>
        <v>0.73529411764705888</v>
      </c>
      <c r="L96" s="54"/>
      <c r="M96" s="13">
        <v>50</v>
      </c>
      <c r="N96" s="13">
        <v>68</v>
      </c>
      <c r="O96" s="87">
        <v>-2177</v>
      </c>
      <c r="P96" s="88">
        <v>14</v>
      </c>
      <c r="Q96" s="89">
        <v>3730</v>
      </c>
      <c r="R96" s="89">
        <v>339020</v>
      </c>
      <c r="S96" s="89">
        <v>17991</v>
      </c>
      <c r="T96" s="89">
        <v>21454</v>
      </c>
      <c r="U96" s="89">
        <v>285057</v>
      </c>
      <c r="V96" s="89">
        <v>32509</v>
      </c>
      <c r="W96" s="59">
        <v>317566</v>
      </c>
    </row>
    <row r="97" spans="1:23">
      <c r="A97" s="12" t="s">
        <v>98</v>
      </c>
      <c r="B97" s="12" t="s">
        <v>32</v>
      </c>
      <c r="C97" s="12" t="s">
        <v>23</v>
      </c>
      <c r="D97" s="12">
        <v>0</v>
      </c>
      <c r="E97" s="12">
        <v>10</v>
      </c>
      <c r="F97" s="12">
        <f t="shared" si="7"/>
        <v>-0.28404243683692443</v>
      </c>
      <c r="G97" s="12">
        <f t="shared" si="8"/>
        <v>11.099937128211959</v>
      </c>
      <c r="H97" s="12">
        <f t="shared" si="9"/>
        <v>0.58213308749074311</v>
      </c>
      <c r="I97" s="12">
        <v>2.7216807572395585E-2</v>
      </c>
      <c r="J97" s="12">
        <f t="shared" si="11"/>
        <v>-0.37570979058917142</v>
      </c>
      <c r="K97" s="86">
        <f t="shared" si="12"/>
        <v>0.91666666666666663</v>
      </c>
      <c r="L97" s="54"/>
      <c r="M97" s="13">
        <v>44</v>
      </c>
      <c r="N97" s="13">
        <v>48</v>
      </c>
      <c r="O97" s="53">
        <v>-10388</v>
      </c>
      <c r="P97" s="56"/>
      <c r="Q97" s="59"/>
      <c r="R97" s="59">
        <v>66167</v>
      </c>
      <c r="S97" s="59">
        <v>36572</v>
      </c>
      <c r="T97" s="59">
        <v>27649</v>
      </c>
      <c r="U97" s="59"/>
      <c r="V97" s="59"/>
      <c r="W97" s="59">
        <v>38518</v>
      </c>
    </row>
    <row r="98" spans="1:23">
      <c r="A98" s="12" t="s">
        <v>99</v>
      </c>
      <c r="B98" s="12" t="s">
        <v>32</v>
      </c>
      <c r="C98" s="12" t="s">
        <v>23</v>
      </c>
      <c r="D98" s="12">
        <v>0</v>
      </c>
      <c r="E98" s="12">
        <v>8</v>
      </c>
      <c r="F98" s="12">
        <f t="shared" si="7"/>
        <v>-0.34018909351615362</v>
      </c>
      <c r="G98" s="12">
        <f t="shared" si="8"/>
        <v>10.98320580101775</v>
      </c>
      <c r="H98" s="12">
        <f t="shared" si="9"/>
        <v>0.80967100905277101</v>
      </c>
      <c r="I98" s="12">
        <v>0.15737067288992609</v>
      </c>
      <c r="J98" s="12">
        <f t="shared" si="11"/>
        <v>-1.3549883990719258</v>
      </c>
      <c r="K98" s="86">
        <f t="shared" si="12"/>
        <v>0.967741935483871</v>
      </c>
      <c r="L98" s="54"/>
      <c r="M98" s="13">
        <v>60</v>
      </c>
      <c r="N98" s="13">
        <v>62</v>
      </c>
      <c r="O98" s="53">
        <v>-15184</v>
      </c>
      <c r="P98" s="56"/>
      <c r="Q98" s="57"/>
      <c r="R98" s="90">
        <v>58877</v>
      </c>
      <c r="S98" s="90">
        <v>44634</v>
      </c>
      <c r="T98" s="90">
        <v>11206</v>
      </c>
      <c r="U98" s="90"/>
      <c r="V98" s="59"/>
      <c r="W98" s="59">
        <v>47671</v>
      </c>
    </row>
    <row r="99" spans="1:23">
      <c r="A99" s="12" t="s">
        <v>100</v>
      </c>
      <c r="B99" s="12" t="s">
        <v>32</v>
      </c>
      <c r="C99" s="12" t="s">
        <v>23</v>
      </c>
      <c r="D99" s="12">
        <v>0</v>
      </c>
      <c r="E99" s="12">
        <v>18</v>
      </c>
      <c r="F99" s="12">
        <f t="shared" si="7"/>
        <v>-2.6543272653310281E-2</v>
      </c>
      <c r="G99" s="12">
        <f t="shared" si="8"/>
        <v>11.402552407488859</v>
      </c>
      <c r="H99" s="12">
        <f t="shared" si="9"/>
        <v>0.22333891680625348</v>
      </c>
      <c r="I99" s="12">
        <v>-0.2366868498680329</v>
      </c>
      <c r="J99" s="12">
        <f t="shared" si="11"/>
        <v>-1.501078360891445E-2</v>
      </c>
      <c r="K99" s="86">
        <f t="shared" si="12"/>
        <v>0.8545454545454545</v>
      </c>
      <c r="L99" s="54"/>
      <c r="M99" s="13">
        <v>47</v>
      </c>
      <c r="N99" s="13">
        <v>55</v>
      </c>
      <c r="O99" s="53">
        <v>-1044</v>
      </c>
      <c r="P99" s="56"/>
      <c r="Q99" s="57"/>
      <c r="R99" s="90">
        <v>89550</v>
      </c>
      <c r="S99" s="90">
        <v>39332</v>
      </c>
      <c r="T99" s="90">
        <v>69550</v>
      </c>
      <c r="U99" s="90"/>
      <c r="V99" s="59"/>
      <c r="W99" s="59">
        <v>20000</v>
      </c>
    </row>
    <row r="100" spans="1:23">
      <c r="A100" s="12" t="s">
        <v>103</v>
      </c>
      <c r="B100" s="12" t="s">
        <v>32</v>
      </c>
      <c r="C100" s="12" t="s">
        <v>23</v>
      </c>
      <c r="D100" s="12">
        <v>0</v>
      </c>
      <c r="E100" s="12">
        <v>19</v>
      </c>
      <c r="F100" s="12">
        <f t="shared" si="7"/>
        <v>-0.31727860004906372</v>
      </c>
      <c r="G100" s="12">
        <f t="shared" si="8"/>
        <v>10.444415520118563</v>
      </c>
      <c r="H100" s="12">
        <f t="shared" si="9"/>
        <v>0.9603516534699581</v>
      </c>
      <c r="I100" s="12">
        <v>0.19912909191853548</v>
      </c>
      <c r="J100" s="12">
        <f t="shared" si="11"/>
        <v>-5.6975036710719529</v>
      </c>
      <c r="K100" s="86">
        <f t="shared" si="12"/>
        <v>0.56338028169014087</v>
      </c>
      <c r="L100" s="54"/>
      <c r="M100" s="13">
        <v>40</v>
      </c>
      <c r="N100" s="13">
        <v>71</v>
      </c>
      <c r="O100" s="53">
        <v>-7760</v>
      </c>
      <c r="P100" s="56"/>
      <c r="Q100" s="57"/>
      <c r="R100" s="90">
        <v>34352</v>
      </c>
      <c r="S100" s="90">
        <v>24458</v>
      </c>
      <c r="T100" s="90">
        <v>1362</v>
      </c>
      <c r="U100" s="90"/>
      <c r="V100" s="59"/>
      <c r="W100" s="59">
        <v>32990</v>
      </c>
    </row>
    <row r="101" spans="1:23">
      <c r="A101" s="12" t="s">
        <v>105</v>
      </c>
      <c r="B101" s="12" t="s">
        <v>32</v>
      </c>
      <c r="C101" s="12" t="s">
        <v>23</v>
      </c>
      <c r="D101" s="12">
        <v>0</v>
      </c>
      <c r="E101" s="12">
        <v>9</v>
      </c>
      <c r="F101" s="12">
        <f t="shared" si="7"/>
        <v>-0.44566759264731959</v>
      </c>
      <c r="G101" s="12">
        <f t="shared" si="8"/>
        <v>11.846916053419703</v>
      </c>
      <c r="H101" s="12">
        <f t="shared" si="9"/>
        <v>0.48280380657773198</v>
      </c>
      <c r="I101" s="12">
        <v>-0.13715990514317769</v>
      </c>
      <c r="J101" s="12">
        <f t="shared" si="11"/>
        <v>-0.41758043971866865</v>
      </c>
      <c r="K101" s="86">
        <f t="shared" si="12"/>
        <v>0.94339622641509435</v>
      </c>
      <c r="L101" s="54"/>
      <c r="M101" s="13">
        <v>50</v>
      </c>
      <c r="N101" s="13">
        <v>53</v>
      </c>
      <c r="O101" s="53">
        <v>-30161</v>
      </c>
      <c r="P101" s="56"/>
      <c r="Q101" s="57"/>
      <c r="R101" s="90">
        <v>139653</v>
      </c>
      <c r="S101" s="90">
        <v>67676</v>
      </c>
      <c r="T101" s="90">
        <v>72228</v>
      </c>
      <c r="U101" s="90"/>
      <c r="V101" s="59"/>
      <c r="W101" s="59">
        <v>67425</v>
      </c>
    </row>
    <row r="102" spans="1:23" ht="17">
      <c r="A102" s="12" t="s">
        <v>106</v>
      </c>
      <c r="B102" s="12" t="s">
        <v>32</v>
      </c>
      <c r="C102" s="12" t="s">
        <v>23</v>
      </c>
      <c r="D102" s="12">
        <v>1</v>
      </c>
      <c r="E102" s="12">
        <v>5</v>
      </c>
      <c r="F102" s="12">
        <f t="shared" si="7"/>
        <v>-5.2444047782507205E-2</v>
      </c>
      <c r="G102" s="12">
        <f t="shared" si="8"/>
        <v>12.002376266188522</v>
      </c>
      <c r="H102" s="12">
        <f t="shared" si="9"/>
        <v>1.0267313138247662</v>
      </c>
      <c r="I102" s="12">
        <v>-0.38682124530096951</v>
      </c>
      <c r="J102" s="12">
        <f t="shared" si="11"/>
        <v>1.751662462737904</v>
      </c>
      <c r="K102" s="86">
        <f t="shared" si="12"/>
        <v>1.1489361702127661</v>
      </c>
      <c r="L102" s="54"/>
      <c r="M102" s="13">
        <v>54</v>
      </c>
      <c r="N102" s="13">
        <v>47</v>
      </c>
      <c r="O102" s="87">
        <v>-7639</v>
      </c>
      <c r="P102" s="88" t="s">
        <v>79</v>
      </c>
      <c r="Q102" s="89" t="s">
        <v>79</v>
      </c>
      <c r="R102" s="89">
        <v>163142</v>
      </c>
      <c r="S102" s="89">
        <v>145660</v>
      </c>
      <c r="T102" s="89">
        <v>-4361</v>
      </c>
      <c r="U102" s="89" t="s">
        <v>79</v>
      </c>
      <c r="V102" s="89" t="s">
        <v>79</v>
      </c>
      <c r="W102" s="59">
        <v>167503</v>
      </c>
    </row>
    <row r="103" spans="1:23" ht="17">
      <c r="A103" s="12" t="s">
        <v>107</v>
      </c>
      <c r="B103" s="12" t="s">
        <v>32</v>
      </c>
      <c r="C103" s="12" t="s">
        <v>23</v>
      </c>
      <c r="D103" s="12">
        <v>0</v>
      </c>
      <c r="E103" s="12">
        <v>4</v>
      </c>
      <c r="F103" s="12">
        <f t="shared" si="7"/>
        <v>-0.62145034345033112</v>
      </c>
      <c r="G103" s="12">
        <f t="shared" si="8"/>
        <v>13.400561620174347</v>
      </c>
      <c r="H103" s="12">
        <f t="shared" si="9"/>
        <v>0.92689899965776967</v>
      </c>
      <c r="I103" s="12">
        <v>-0.15321508224872518</v>
      </c>
      <c r="J103" s="12">
        <f t="shared" si="11"/>
        <v>-2.0821560260181462</v>
      </c>
      <c r="K103" s="86">
        <f t="shared" si="12"/>
        <v>1.8837209302325582</v>
      </c>
      <c r="L103" s="54"/>
      <c r="M103" s="13">
        <v>81</v>
      </c>
      <c r="N103" s="13">
        <v>43</v>
      </c>
      <c r="O103" s="87">
        <v>-100514</v>
      </c>
      <c r="P103" s="88" t="s">
        <v>79</v>
      </c>
      <c r="Q103" s="89">
        <v>9062</v>
      </c>
      <c r="R103" s="89">
        <v>660374</v>
      </c>
      <c r="S103" s="89">
        <v>161741</v>
      </c>
      <c r="T103" s="89">
        <v>48274</v>
      </c>
      <c r="U103" s="89">
        <v>446853</v>
      </c>
      <c r="V103" s="89">
        <v>165247</v>
      </c>
      <c r="W103" s="59">
        <v>612100</v>
      </c>
    </row>
    <row r="104" spans="1:23" ht="17">
      <c r="A104" s="12" t="s">
        <v>110</v>
      </c>
      <c r="B104" s="12" t="s">
        <v>32</v>
      </c>
      <c r="C104" s="12" t="s">
        <v>23</v>
      </c>
      <c r="D104" s="12">
        <v>0</v>
      </c>
      <c r="E104" s="12">
        <v>2</v>
      </c>
      <c r="F104" s="12">
        <f t="shared" si="7"/>
        <v>-0.32601358481701243</v>
      </c>
      <c r="G104" s="12">
        <f t="shared" si="8"/>
        <v>13.787617128219823</v>
      </c>
      <c r="H104" s="12">
        <f t="shared" si="9"/>
        <v>0.67580093203851543</v>
      </c>
      <c r="I104" s="12">
        <v>-0.18629035148503023</v>
      </c>
      <c r="J104" s="12">
        <f t="shared" si="11"/>
        <v>-0.56342120203881618</v>
      </c>
      <c r="K104" s="86">
        <f t="shared" si="12"/>
        <v>3.0714285714285716</v>
      </c>
      <c r="L104" s="54"/>
      <c r="M104" s="13">
        <v>86</v>
      </c>
      <c r="N104" s="13">
        <v>28</v>
      </c>
      <c r="O104" s="87">
        <v>-177636</v>
      </c>
      <c r="P104" s="88">
        <v>643</v>
      </c>
      <c r="Q104" s="89">
        <v>68444</v>
      </c>
      <c r="R104" s="89">
        <v>972492</v>
      </c>
      <c r="S104" s="89">
        <v>544873</v>
      </c>
      <c r="T104" s="89">
        <v>315281</v>
      </c>
      <c r="U104" s="89">
        <v>151626</v>
      </c>
      <c r="V104" s="89">
        <v>505585</v>
      </c>
      <c r="W104" s="59">
        <v>657211</v>
      </c>
    </row>
    <row r="105" spans="1:23">
      <c r="A105" s="12" t="s">
        <v>112</v>
      </c>
      <c r="B105" s="12" t="s">
        <v>32</v>
      </c>
      <c r="C105" s="12" t="s">
        <v>23</v>
      </c>
      <c r="D105" s="12">
        <v>0</v>
      </c>
      <c r="E105" s="12">
        <v>7</v>
      </c>
      <c r="F105" s="12">
        <f t="shared" si="7"/>
        <v>-0.71510252956144293</v>
      </c>
      <c r="G105" s="12">
        <f t="shared" si="8"/>
        <v>11.552155793461898</v>
      </c>
      <c r="H105" s="12">
        <f t="shared" si="9"/>
        <v>0.62030172786800131</v>
      </c>
      <c r="I105" s="12">
        <v>-0.2963220424671385</v>
      </c>
      <c r="J105" s="12">
        <f t="shared" si="11"/>
        <v>-0.60492795462027404</v>
      </c>
      <c r="K105" s="86">
        <f t="shared" si="12"/>
        <v>1.0185185185185186</v>
      </c>
      <c r="L105" s="54"/>
      <c r="M105" s="13">
        <v>55</v>
      </c>
      <c r="N105" s="13">
        <v>54</v>
      </c>
      <c r="O105" s="53">
        <v>-23888</v>
      </c>
      <c r="P105" s="56"/>
      <c r="Q105" s="57"/>
      <c r="R105" s="90">
        <v>104001</v>
      </c>
      <c r="S105" s="90">
        <v>33405</v>
      </c>
      <c r="T105" s="90">
        <v>39489</v>
      </c>
      <c r="U105" s="90"/>
      <c r="V105" s="59"/>
      <c r="W105" s="59">
        <v>64512</v>
      </c>
    </row>
    <row r="106" spans="1:23">
      <c r="A106" s="12" t="s">
        <v>113</v>
      </c>
      <c r="B106" s="12" t="s">
        <v>32</v>
      </c>
      <c r="C106" s="12" t="s">
        <v>23</v>
      </c>
      <c r="D106" s="12">
        <v>0</v>
      </c>
      <c r="E106" s="12">
        <v>15</v>
      </c>
      <c r="F106" s="12">
        <f t="shared" si="7"/>
        <v>-0.18791233790854631</v>
      </c>
      <c r="G106" s="12">
        <f t="shared" si="8"/>
        <v>10.966334484757494</v>
      </c>
      <c r="H106" s="12">
        <f t="shared" si="9"/>
        <v>0.86227803496165278</v>
      </c>
      <c r="I106" s="12">
        <v>-0.3116474109131403</v>
      </c>
      <c r="J106" s="12">
        <f t="shared" si="11"/>
        <v>-0.93239683933274797</v>
      </c>
      <c r="K106" s="86">
        <f t="shared" si="12"/>
        <v>0.84482758620689657</v>
      </c>
      <c r="L106" s="54"/>
      <c r="M106" s="13">
        <v>49</v>
      </c>
      <c r="N106" s="13">
        <v>58</v>
      </c>
      <c r="O106" s="53">
        <v>-7434</v>
      </c>
      <c r="P106" s="56"/>
      <c r="Q106" s="57"/>
      <c r="R106" s="90">
        <v>57892</v>
      </c>
      <c r="S106" s="90">
        <v>39561</v>
      </c>
      <c r="T106" s="90">
        <v>7973</v>
      </c>
      <c r="U106" s="90"/>
      <c r="V106" s="59"/>
      <c r="W106" s="59">
        <v>49919</v>
      </c>
    </row>
    <row r="107" spans="1:23">
      <c r="A107" s="12" t="s">
        <v>123</v>
      </c>
      <c r="B107" s="12" t="s">
        <v>32</v>
      </c>
      <c r="C107" s="12" t="s">
        <v>23</v>
      </c>
      <c r="D107" s="12">
        <v>0</v>
      </c>
      <c r="E107" s="12">
        <v>17</v>
      </c>
      <c r="F107" s="12">
        <f t="shared" si="7"/>
        <v>-0.16527960286173163</v>
      </c>
      <c r="G107" s="12">
        <f t="shared" si="8"/>
        <v>10.623008857981173</v>
      </c>
      <c r="H107" s="12">
        <f t="shared" si="9"/>
        <v>1.0210377657113638</v>
      </c>
      <c r="I107" s="12">
        <v>-0.38244443442585996</v>
      </c>
      <c r="J107" s="12">
        <f t="shared" si="11"/>
        <v>5.2407407407407405</v>
      </c>
      <c r="K107" s="86">
        <f t="shared" si="12"/>
        <v>0.75757575757575757</v>
      </c>
      <c r="L107" s="54"/>
      <c r="M107" s="13">
        <v>50</v>
      </c>
      <c r="N107" s="13">
        <v>66</v>
      </c>
      <c r="O107" s="53">
        <v>-4528</v>
      </c>
      <c r="P107" s="56"/>
      <c r="Q107" s="57"/>
      <c r="R107" s="90">
        <v>41069</v>
      </c>
      <c r="S107" s="90">
        <v>27396</v>
      </c>
      <c r="T107" s="90">
        <v>-864</v>
      </c>
      <c r="U107" s="90"/>
      <c r="V107" s="59"/>
      <c r="W107" s="59">
        <v>41933</v>
      </c>
    </row>
    <row r="108" spans="1:23">
      <c r="A108" s="12" t="s">
        <v>124</v>
      </c>
      <c r="B108" s="12" t="s">
        <v>32</v>
      </c>
      <c r="C108" s="12" t="s">
        <v>23</v>
      </c>
      <c r="D108" s="12">
        <v>0</v>
      </c>
      <c r="E108" s="12">
        <v>14</v>
      </c>
      <c r="F108" s="12">
        <f t="shared" si="7"/>
        <v>5.4952409280190365E-2</v>
      </c>
      <c r="G108" s="12">
        <f t="shared" si="8"/>
        <v>11.127483548067531</v>
      </c>
      <c r="H108" s="12">
        <f t="shared" si="9"/>
        <v>0.78700286701462907</v>
      </c>
      <c r="I108" s="12">
        <v>0.10786467486818981</v>
      </c>
      <c r="J108" s="12">
        <f t="shared" si="11"/>
        <v>0.15303375440049699</v>
      </c>
      <c r="K108" s="86">
        <f t="shared" si="12"/>
        <v>0.84</v>
      </c>
      <c r="L108" s="54"/>
      <c r="M108" s="13">
        <v>42</v>
      </c>
      <c r="N108" s="13">
        <v>50</v>
      </c>
      <c r="O108" s="53">
        <v>2217</v>
      </c>
      <c r="P108" s="56"/>
      <c r="Q108" s="55"/>
      <c r="R108" s="90">
        <v>68015</v>
      </c>
      <c r="S108" s="90">
        <v>40344</v>
      </c>
      <c r="T108" s="90">
        <v>14487</v>
      </c>
      <c r="U108" s="90"/>
      <c r="V108" s="59"/>
      <c r="W108" s="59">
        <v>53528</v>
      </c>
    </row>
    <row r="109" spans="1:23" ht="17">
      <c r="A109" s="12" t="s">
        <v>125</v>
      </c>
      <c r="B109" s="12" t="s">
        <v>32</v>
      </c>
      <c r="C109" s="12" t="s">
        <v>23</v>
      </c>
      <c r="D109" s="12">
        <v>0</v>
      </c>
      <c r="E109" s="12">
        <v>6</v>
      </c>
      <c r="F109" s="12">
        <f t="shared" si="7"/>
        <v>-0.11253052559241125</v>
      </c>
      <c r="G109" s="12">
        <f t="shared" si="8"/>
        <v>12.524402732641466</v>
      </c>
      <c r="H109" s="12">
        <f t="shared" si="9"/>
        <v>1.015343715222973</v>
      </c>
      <c r="I109" s="12">
        <v>-2.4048768219217458E-2</v>
      </c>
      <c r="J109" s="12">
        <f t="shared" si="11"/>
        <v>2.1735008295804694</v>
      </c>
      <c r="K109" s="86">
        <f t="shared" si="12"/>
        <v>1.3</v>
      </c>
      <c r="L109" s="54"/>
      <c r="M109" s="13">
        <v>52</v>
      </c>
      <c r="N109" s="13">
        <v>40</v>
      </c>
      <c r="O109" s="87">
        <v>-9170</v>
      </c>
      <c r="P109" s="88">
        <v>221</v>
      </c>
      <c r="Q109" s="89">
        <v>152653</v>
      </c>
      <c r="R109" s="89">
        <v>274966</v>
      </c>
      <c r="S109" s="89">
        <v>81489</v>
      </c>
      <c r="T109" s="89">
        <v>-4219</v>
      </c>
      <c r="U109" s="89">
        <v>14389</v>
      </c>
      <c r="V109" s="89">
        <v>264795</v>
      </c>
      <c r="W109" s="59">
        <v>279185</v>
      </c>
    </row>
    <row r="110" spans="1:23">
      <c r="A110" s="12" t="s">
        <v>31</v>
      </c>
      <c r="B110" s="12" t="s">
        <v>32</v>
      </c>
      <c r="C110" s="12" t="s">
        <v>22</v>
      </c>
      <c r="D110" s="12">
        <v>0</v>
      </c>
      <c r="E110" s="12">
        <v>19</v>
      </c>
      <c r="F110" s="12">
        <f t="shared" si="7"/>
        <v>0.15619158878504674</v>
      </c>
      <c r="G110" s="12">
        <f t="shared" si="8"/>
        <v>10.891112413014609</v>
      </c>
      <c r="H110" s="12">
        <f t="shared" si="9"/>
        <v>0.73041324468778512</v>
      </c>
      <c r="I110" s="12">
        <v>8.4360124480913276E-2</v>
      </c>
      <c r="J110" s="12">
        <f t="shared" si="11"/>
        <v>0.27707930367504835</v>
      </c>
      <c r="K110" s="86">
        <f t="shared" si="12"/>
        <v>0.62</v>
      </c>
      <c r="L110" s="54"/>
      <c r="M110" s="13">
        <v>31</v>
      </c>
      <c r="N110" s="13">
        <v>50</v>
      </c>
      <c r="O110" s="53">
        <v>4011</v>
      </c>
      <c r="P110" s="56"/>
      <c r="Q110" s="59"/>
      <c r="R110" s="59">
        <v>53697</v>
      </c>
      <c r="S110" s="59">
        <v>25680</v>
      </c>
      <c r="T110" s="59">
        <v>14476</v>
      </c>
      <c r="U110" s="59"/>
      <c r="V110" s="59"/>
      <c r="W110" s="59">
        <v>39221</v>
      </c>
    </row>
    <row r="111" spans="1:23">
      <c r="A111" s="12" t="s">
        <v>33</v>
      </c>
      <c r="B111" s="12" t="s">
        <v>32</v>
      </c>
      <c r="C111" s="12" t="s">
        <v>22</v>
      </c>
      <c r="D111" s="12">
        <v>0</v>
      </c>
      <c r="E111" s="12">
        <v>11</v>
      </c>
      <c r="F111" s="12">
        <f t="shared" si="7"/>
        <v>0.29177002772508392</v>
      </c>
      <c r="G111" s="12">
        <f t="shared" si="8"/>
        <v>11.0483152650012</v>
      </c>
      <c r="H111" s="12">
        <f t="shared" si="9"/>
        <v>0.78665775486170786</v>
      </c>
      <c r="I111" s="12">
        <v>1.2111801242236024</v>
      </c>
      <c r="J111" s="12">
        <f t="shared" si="11"/>
        <v>0.59659853796807405</v>
      </c>
      <c r="K111" s="86">
        <f t="shared" si="12"/>
        <v>0.84848484848484851</v>
      </c>
      <c r="L111" s="54"/>
      <c r="M111" s="13">
        <v>28</v>
      </c>
      <c r="N111" s="13">
        <v>33</v>
      </c>
      <c r="O111" s="53">
        <v>7998</v>
      </c>
      <c r="P111" s="56"/>
      <c r="Q111" s="59"/>
      <c r="R111" s="59">
        <v>62838</v>
      </c>
      <c r="S111" s="59">
        <v>27412</v>
      </c>
      <c r="T111" s="59">
        <v>13406</v>
      </c>
      <c r="U111" s="59"/>
      <c r="V111" s="59"/>
      <c r="W111" s="59">
        <v>49432</v>
      </c>
    </row>
    <row r="112" spans="1:23">
      <c r="A112" s="12" t="s">
        <v>38</v>
      </c>
      <c r="B112" s="12" t="s">
        <v>32</v>
      </c>
      <c r="C112" s="12" t="s">
        <v>22</v>
      </c>
      <c r="D112" s="12">
        <v>0</v>
      </c>
      <c r="E112" s="12">
        <v>9</v>
      </c>
      <c r="F112" s="12">
        <f t="shared" si="7"/>
        <v>-3.2086247834178273E-5</v>
      </c>
      <c r="G112" s="12">
        <f t="shared" si="8"/>
        <v>12.82657386160524</v>
      </c>
      <c r="H112" s="12">
        <f t="shared" si="9"/>
        <v>0.99589754067510461</v>
      </c>
      <c r="I112" s="12">
        <v>-1.743434534506132E-2</v>
      </c>
      <c r="J112" s="12">
        <f t="shared" si="11"/>
        <v>-1.3106159895150721E-3</v>
      </c>
      <c r="K112" s="86">
        <f t="shared" si="12"/>
        <v>1</v>
      </c>
      <c r="L112" s="54"/>
      <c r="M112" s="13">
        <v>44</v>
      </c>
      <c r="N112" s="13">
        <v>44</v>
      </c>
      <c r="O112" s="53">
        <v>-2</v>
      </c>
      <c r="P112" s="56"/>
      <c r="Q112" s="59"/>
      <c r="R112" s="59">
        <v>371972</v>
      </c>
      <c r="S112" s="59">
        <v>62332</v>
      </c>
      <c r="T112" s="59">
        <v>1526</v>
      </c>
      <c r="U112" s="59"/>
      <c r="V112" s="59"/>
      <c r="W112" s="59">
        <v>370446</v>
      </c>
    </row>
    <row r="113" spans="1:23">
      <c r="A113" s="12" t="s">
        <v>39</v>
      </c>
      <c r="B113" s="12" t="s">
        <v>32</v>
      </c>
      <c r="C113" s="12" t="s">
        <v>22</v>
      </c>
      <c r="D113" s="12">
        <v>0</v>
      </c>
      <c r="E113" s="12">
        <v>17</v>
      </c>
      <c r="F113" s="12">
        <f t="shared" si="7"/>
        <v>3.9097107199260427E-3</v>
      </c>
      <c r="G113" s="12">
        <f t="shared" si="8"/>
        <v>11.445609757685361</v>
      </c>
      <c r="H113" s="12">
        <f t="shared" si="9"/>
        <v>0.8650764787677826</v>
      </c>
      <c r="I113" s="12">
        <v>2.4173266399061078E-2</v>
      </c>
      <c r="J113" s="12">
        <f t="shared" si="11"/>
        <v>3.2186459489456157E-2</v>
      </c>
      <c r="K113" s="86">
        <f t="shared" si="12"/>
        <v>0.64444444444444449</v>
      </c>
      <c r="L113" s="54"/>
      <c r="M113" s="13">
        <v>29</v>
      </c>
      <c r="N113" s="13">
        <v>45</v>
      </c>
      <c r="O113" s="53">
        <v>406</v>
      </c>
      <c r="P113" s="56"/>
      <c r="Q113" s="59"/>
      <c r="R113" s="59">
        <v>93490</v>
      </c>
      <c r="S113" s="59">
        <v>103844</v>
      </c>
      <c r="T113" s="59">
        <v>12614</v>
      </c>
      <c r="U113" s="59"/>
      <c r="V113" s="59"/>
      <c r="W113" s="59">
        <v>80876</v>
      </c>
    </row>
    <row r="114" spans="1:23">
      <c r="A114" s="12" t="s">
        <v>61</v>
      </c>
      <c r="B114" s="12" t="s">
        <v>32</v>
      </c>
      <c r="C114" s="12" t="s">
        <v>22</v>
      </c>
      <c r="D114" s="12">
        <v>0</v>
      </c>
      <c r="E114" s="12">
        <v>16</v>
      </c>
      <c r="F114" s="12">
        <f t="shared" si="7"/>
        <v>0.1284693248195044</v>
      </c>
      <c r="G114" s="12">
        <f t="shared" si="8"/>
        <v>10.632050138317028</v>
      </c>
      <c r="H114" s="12">
        <f t="shared" si="9"/>
        <v>0.61367694609333523</v>
      </c>
      <c r="I114" s="12">
        <v>-7.4259420971317255E-2</v>
      </c>
      <c r="J114" s="12">
        <f t="shared" si="11"/>
        <v>0.2211742660836977</v>
      </c>
      <c r="K114" s="86">
        <f t="shared" si="12"/>
        <v>0.72972972972972971</v>
      </c>
      <c r="L114" s="54"/>
      <c r="M114" s="13">
        <v>27</v>
      </c>
      <c r="N114" s="13">
        <v>37</v>
      </c>
      <c r="O114" s="53">
        <v>3541</v>
      </c>
      <c r="P114" s="56"/>
      <c r="Q114" s="59"/>
      <c r="R114" s="59">
        <v>41442</v>
      </c>
      <c r="S114" s="59">
        <v>27563</v>
      </c>
      <c r="T114" s="59">
        <v>16010</v>
      </c>
      <c r="U114" s="59"/>
      <c r="V114" s="59"/>
      <c r="W114" s="59">
        <v>25432</v>
      </c>
    </row>
    <row r="115" spans="1:23" ht="17">
      <c r="A115" s="12" t="s">
        <v>78</v>
      </c>
      <c r="B115" s="12" t="s">
        <v>32</v>
      </c>
      <c r="C115" s="12" t="s">
        <v>22</v>
      </c>
      <c r="D115" s="12">
        <v>0</v>
      </c>
      <c r="E115" s="12">
        <v>12</v>
      </c>
      <c r="F115" s="12">
        <f t="shared" si="7"/>
        <v>-8.3922011867759258E-2</v>
      </c>
      <c r="G115" s="12">
        <f t="shared" si="8"/>
        <v>12.718554896331538</v>
      </c>
      <c r="H115" s="12">
        <f t="shared" si="9"/>
        <v>0.84067316389426328</v>
      </c>
      <c r="I115" s="12">
        <v>-0.13121394378298759</v>
      </c>
      <c r="J115" s="12">
        <f t="shared" si="11"/>
        <v>-2.2332086395849389E-2</v>
      </c>
      <c r="K115" s="86">
        <f t="shared" si="12"/>
        <v>1.1764705882352942</v>
      </c>
      <c r="L115" s="54"/>
      <c r="M115" s="13">
        <v>40</v>
      </c>
      <c r="N115" s="13">
        <v>34</v>
      </c>
      <c r="O115" s="87">
        <v>-1188</v>
      </c>
      <c r="P115" s="88">
        <v>12</v>
      </c>
      <c r="Q115" s="89">
        <v>3237</v>
      </c>
      <c r="R115" s="89">
        <v>333886</v>
      </c>
      <c r="S115" s="89">
        <v>14156</v>
      </c>
      <c r="T115" s="89">
        <v>53197</v>
      </c>
      <c r="U115" s="89">
        <v>263207</v>
      </c>
      <c r="V115" s="89">
        <v>17482</v>
      </c>
      <c r="W115" s="59">
        <v>280689</v>
      </c>
    </row>
    <row r="116" spans="1:23" ht="17">
      <c r="A116" s="12" t="s">
        <v>92</v>
      </c>
      <c r="B116" s="12" t="s">
        <v>32</v>
      </c>
      <c r="C116" s="12" t="s">
        <v>22</v>
      </c>
      <c r="D116" s="12">
        <v>1</v>
      </c>
      <c r="E116" s="12">
        <v>4</v>
      </c>
      <c r="F116" s="12">
        <f t="shared" si="7"/>
        <v>0.23306971141255958</v>
      </c>
      <c r="G116" s="12">
        <f t="shared" si="8"/>
        <v>12.122935571907316</v>
      </c>
      <c r="H116" s="12">
        <f t="shared" si="9"/>
        <v>1.2543508381102448</v>
      </c>
      <c r="I116" s="12">
        <v>9.1902093103053875E-2</v>
      </c>
      <c r="J116" s="12">
        <f t="shared" si="11"/>
        <v>-0.47530547722806116</v>
      </c>
      <c r="K116" s="86">
        <f t="shared" si="12"/>
        <v>1.2962962962962963</v>
      </c>
      <c r="L116" s="54"/>
      <c r="M116" s="13">
        <v>35</v>
      </c>
      <c r="N116" s="13">
        <v>27</v>
      </c>
      <c r="O116" s="87">
        <v>22250</v>
      </c>
      <c r="P116" s="88" t="s">
        <v>79</v>
      </c>
      <c r="Q116" s="89" t="s">
        <v>79</v>
      </c>
      <c r="R116" s="89">
        <v>184045</v>
      </c>
      <c r="S116" s="89">
        <v>95465</v>
      </c>
      <c r="T116" s="89">
        <v>-46812</v>
      </c>
      <c r="U116" s="89" t="s">
        <v>79</v>
      </c>
      <c r="V116" s="89" t="s">
        <v>79</v>
      </c>
      <c r="W116" s="59">
        <v>230857</v>
      </c>
    </row>
    <row r="117" spans="1:23">
      <c r="A117" s="12" t="s">
        <v>98</v>
      </c>
      <c r="B117" s="12" t="s">
        <v>32</v>
      </c>
      <c r="C117" s="12" t="s">
        <v>22</v>
      </c>
      <c r="D117" s="12">
        <v>0</v>
      </c>
      <c r="E117" s="12">
        <v>15</v>
      </c>
      <c r="F117" s="12">
        <f t="shared" si="7"/>
        <v>-0.37080476362324072</v>
      </c>
      <c r="G117" s="12">
        <f t="shared" si="8"/>
        <v>10.782263315647524</v>
      </c>
      <c r="H117" s="12">
        <f t="shared" si="9"/>
        <v>0.5451940447268423</v>
      </c>
      <c r="I117" s="12">
        <v>-0.2423165263042765</v>
      </c>
      <c r="J117" s="12">
        <f t="shared" si="11"/>
        <v>-0.46911382002465418</v>
      </c>
      <c r="K117" s="86">
        <f t="shared" si="12"/>
        <v>0.77142857142857146</v>
      </c>
      <c r="L117" s="54"/>
      <c r="M117" s="13">
        <v>27</v>
      </c>
      <c r="N117" s="13">
        <v>35</v>
      </c>
      <c r="O117" s="53">
        <v>-10275</v>
      </c>
      <c r="P117" s="54"/>
      <c r="Q117" s="55"/>
      <c r="R117" s="59">
        <v>48159</v>
      </c>
      <c r="S117" s="59">
        <v>27710</v>
      </c>
      <c r="T117" s="59">
        <v>21903</v>
      </c>
      <c r="U117" s="59"/>
      <c r="V117" s="59"/>
      <c r="W117" s="59">
        <v>26256</v>
      </c>
    </row>
    <row r="118" spans="1:23">
      <c r="A118" s="12" t="s">
        <v>99</v>
      </c>
      <c r="B118" s="12" t="s">
        <v>32</v>
      </c>
      <c r="C118" s="12" t="s">
        <v>22</v>
      </c>
      <c r="D118" s="12">
        <v>0</v>
      </c>
      <c r="E118" s="12">
        <v>8</v>
      </c>
      <c r="F118" s="12">
        <f t="shared" si="7"/>
        <v>7.7129143877664924E-2</v>
      </c>
      <c r="G118" s="12">
        <f t="shared" si="8"/>
        <v>11.053188948080271</v>
      </c>
      <c r="H118" s="12">
        <f t="shared" si="9"/>
        <v>0.58074273497505746</v>
      </c>
      <c r="I118" s="12">
        <v>-0.19711430747860376</v>
      </c>
      <c r="J118" s="12">
        <f t="shared" si="11"/>
        <v>0.10440432122082043</v>
      </c>
      <c r="K118" s="86">
        <f t="shared" si="12"/>
        <v>1.0294117647058822</v>
      </c>
      <c r="L118" s="54"/>
      <c r="M118" s="13">
        <v>35</v>
      </c>
      <c r="N118" s="13">
        <v>34</v>
      </c>
      <c r="O118" s="53">
        <v>2764</v>
      </c>
      <c r="P118" s="54"/>
      <c r="Q118" s="55"/>
      <c r="R118" s="59">
        <v>63145</v>
      </c>
      <c r="S118" s="59">
        <v>35836</v>
      </c>
      <c r="T118" s="59">
        <v>26474</v>
      </c>
      <c r="U118" s="59"/>
      <c r="V118" s="59"/>
      <c r="W118" s="59">
        <v>36671</v>
      </c>
    </row>
    <row r="119" spans="1:23">
      <c r="A119" s="12" t="s">
        <v>100</v>
      </c>
      <c r="B119" s="12" t="s">
        <v>32</v>
      </c>
      <c r="C119" s="12" t="s">
        <v>22</v>
      </c>
      <c r="D119" s="12">
        <v>0</v>
      </c>
      <c r="E119" s="12">
        <v>13</v>
      </c>
      <c r="F119" s="12">
        <f t="shared" si="7"/>
        <v>-3.1511289048669552E-2</v>
      </c>
      <c r="G119" s="12">
        <f t="shared" si="8"/>
        <v>11.170857601991855</v>
      </c>
      <c r="H119" s="12">
        <f t="shared" si="9"/>
        <v>0.98013515416021402</v>
      </c>
      <c r="I119" s="12">
        <v>-6.6485304586596156E-2</v>
      </c>
      <c r="J119" s="12">
        <f t="shared" si="11"/>
        <v>-0.81998582565556344</v>
      </c>
      <c r="K119" s="86">
        <f t="shared" si="12"/>
        <v>0.90322580645161288</v>
      </c>
      <c r="L119" s="54"/>
      <c r="M119" s="13">
        <v>28</v>
      </c>
      <c r="N119" s="13">
        <v>31</v>
      </c>
      <c r="O119" s="53">
        <v>-1157</v>
      </c>
      <c r="P119" s="54"/>
      <c r="Q119" s="55"/>
      <c r="R119" s="59">
        <v>71030</v>
      </c>
      <c r="S119" s="59">
        <v>36717</v>
      </c>
      <c r="T119" s="59">
        <v>1411</v>
      </c>
      <c r="U119" s="59"/>
      <c r="V119" s="59"/>
      <c r="W119" s="59">
        <v>69619</v>
      </c>
    </row>
    <row r="120" spans="1:23">
      <c r="A120" s="12" t="s">
        <v>103</v>
      </c>
      <c r="B120" s="12" t="s">
        <v>32</v>
      </c>
      <c r="C120" s="12" t="s">
        <v>22</v>
      </c>
      <c r="D120" s="12">
        <v>0</v>
      </c>
      <c r="E120" s="12">
        <v>18</v>
      </c>
      <c r="F120" s="12">
        <f t="shared" si="7"/>
        <v>0.40488038277511962</v>
      </c>
      <c r="G120" s="12">
        <f t="shared" si="8"/>
        <v>10.656647403002244</v>
      </c>
      <c r="H120" s="12">
        <f t="shared" si="9"/>
        <v>0.78165465932099643</v>
      </c>
      <c r="I120" s="12">
        <v>-0.145473873579197</v>
      </c>
      <c r="J120" s="12">
        <f t="shared" si="11"/>
        <v>0.9124433901229243</v>
      </c>
      <c r="K120" s="86">
        <f t="shared" si="12"/>
        <v>0.65909090909090906</v>
      </c>
      <c r="L120" s="54"/>
      <c r="M120" s="13">
        <v>29</v>
      </c>
      <c r="N120" s="13">
        <v>44</v>
      </c>
      <c r="O120" s="53">
        <v>8462</v>
      </c>
      <c r="P120" s="13"/>
      <c r="Q120" s="55"/>
      <c r="R120" s="59">
        <v>42474</v>
      </c>
      <c r="S120" s="59">
        <v>20900</v>
      </c>
      <c r="T120" s="59">
        <v>9274</v>
      </c>
      <c r="U120" s="59"/>
      <c r="V120" s="59"/>
      <c r="W120" s="59">
        <v>33200</v>
      </c>
    </row>
    <row r="121" spans="1:23" ht="17">
      <c r="A121" s="12" t="s">
        <v>105</v>
      </c>
      <c r="B121" s="12" t="s">
        <v>32</v>
      </c>
      <c r="C121" s="12" t="s">
        <v>22</v>
      </c>
      <c r="D121" s="12">
        <v>0</v>
      </c>
      <c r="E121" s="12">
        <v>5</v>
      </c>
      <c r="F121" s="12">
        <f t="shared" si="7"/>
        <v>-0.12510628649169547</v>
      </c>
      <c r="G121" s="12">
        <f t="shared" si="8"/>
        <v>12.730141193411955</v>
      </c>
      <c r="H121" s="12">
        <f t="shared" si="9"/>
        <v>0.92356791611033318</v>
      </c>
      <c r="I121" s="12">
        <v>-0.73933152077545949</v>
      </c>
      <c r="J121" s="12">
        <f t="shared" si="11"/>
        <v>-8.5486307471820899E-2</v>
      </c>
      <c r="K121" s="86">
        <f t="shared" si="12"/>
        <v>1.0789473684210527</v>
      </c>
      <c r="L121" s="54"/>
      <c r="M121" s="13">
        <v>41</v>
      </c>
      <c r="N121" s="13">
        <v>38</v>
      </c>
      <c r="O121" s="87">
        <v>-2207</v>
      </c>
      <c r="P121" s="88" t="s">
        <v>79</v>
      </c>
      <c r="Q121" s="89">
        <v>0</v>
      </c>
      <c r="R121" s="89">
        <v>337777</v>
      </c>
      <c r="S121" s="89">
        <v>17641</v>
      </c>
      <c r="T121" s="89">
        <v>25817</v>
      </c>
      <c r="U121" s="89">
        <v>122129</v>
      </c>
      <c r="V121" s="89">
        <v>189831</v>
      </c>
      <c r="W121" s="59">
        <v>311960</v>
      </c>
    </row>
    <row r="122" spans="1:23" ht="17">
      <c r="A122" s="12" t="s">
        <v>106</v>
      </c>
      <c r="B122" s="12" t="s">
        <v>32</v>
      </c>
      <c r="C122" s="12" t="s">
        <v>22</v>
      </c>
      <c r="D122" s="12">
        <v>1</v>
      </c>
      <c r="E122" s="12">
        <v>2</v>
      </c>
      <c r="F122" s="12">
        <f t="shared" si="7"/>
        <v>-0.82302619404115007</v>
      </c>
      <c r="G122" s="12">
        <f t="shared" si="8"/>
        <v>12.327741455112179</v>
      </c>
      <c r="H122" s="12">
        <f t="shared" si="9"/>
        <v>1.2440852503143318</v>
      </c>
      <c r="I122" s="12">
        <v>-0.18383907730330909</v>
      </c>
      <c r="J122" s="12">
        <f t="shared" si="11"/>
        <v>1.7746721564217438</v>
      </c>
      <c r="K122" s="86">
        <f t="shared" si="12"/>
        <v>1.4137931034482758</v>
      </c>
      <c r="L122" s="54"/>
      <c r="M122" s="13">
        <v>41</v>
      </c>
      <c r="N122" s="13">
        <v>29</v>
      </c>
      <c r="O122" s="87">
        <v>-97843</v>
      </c>
      <c r="P122" s="88" t="s">
        <v>79</v>
      </c>
      <c r="Q122" s="89" t="s">
        <v>79</v>
      </c>
      <c r="R122" s="89">
        <v>225876</v>
      </c>
      <c r="S122" s="89">
        <v>118882</v>
      </c>
      <c r="T122" s="89">
        <v>-55133</v>
      </c>
      <c r="U122" s="89" t="s">
        <v>79</v>
      </c>
      <c r="V122" s="89" t="s">
        <v>79</v>
      </c>
      <c r="W122" s="59">
        <v>281009</v>
      </c>
    </row>
    <row r="123" spans="1:23" ht="17">
      <c r="A123" s="12" t="s">
        <v>107</v>
      </c>
      <c r="B123" s="12" t="s">
        <v>32</v>
      </c>
      <c r="C123" s="12" t="s">
        <v>22</v>
      </c>
      <c r="D123" s="12">
        <v>0</v>
      </c>
      <c r="E123" s="12">
        <v>7</v>
      </c>
      <c r="F123" s="12">
        <f t="shared" si="7"/>
        <v>-0.18714613327750765</v>
      </c>
      <c r="G123" s="12">
        <f t="shared" si="8"/>
        <v>13.410446369477096</v>
      </c>
      <c r="H123" s="12">
        <f t="shared" si="9"/>
        <v>0.77690746010849654</v>
      </c>
      <c r="I123" s="12">
        <v>0.29947261362301458</v>
      </c>
      <c r="J123" s="12">
        <f t="shared" si="11"/>
        <v>-0.26436271742344813</v>
      </c>
      <c r="K123" s="86">
        <f t="shared" si="12"/>
        <v>1.5555555555555556</v>
      </c>
      <c r="L123" s="54"/>
      <c r="M123" s="13">
        <v>42</v>
      </c>
      <c r="N123" s="13">
        <v>27</v>
      </c>
      <c r="O123" s="87">
        <v>-39334</v>
      </c>
      <c r="P123" s="88" t="s">
        <v>79</v>
      </c>
      <c r="Q123" s="89">
        <v>16689</v>
      </c>
      <c r="R123" s="89">
        <v>666934</v>
      </c>
      <c r="S123" s="89">
        <v>210178</v>
      </c>
      <c r="T123" s="89">
        <v>148788</v>
      </c>
      <c r="U123" s="89">
        <v>346812</v>
      </c>
      <c r="V123" s="89">
        <v>171334</v>
      </c>
      <c r="W123" s="59">
        <v>518146</v>
      </c>
    </row>
    <row r="124" spans="1:23" ht="17">
      <c r="A124" s="12" t="s">
        <v>110</v>
      </c>
      <c r="B124" s="12" t="s">
        <v>32</v>
      </c>
      <c r="C124" s="12" t="s">
        <v>22</v>
      </c>
      <c r="D124" s="12">
        <v>0</v>
      </c>
      <c r="E124" s="12">
        <v>1</v>
      </c>
      <c r="F124" s="12">
        <f t="shared" si="7"/>
        <v>-0.33729219357226575</v>
      </c>
      <c r="G124" s="12">
        <f t="shared" si="8"/>
        <v>13.89929088740374</v>
      </c>
      <c r="H124" s="12">
        <f t="shared" si="9"/>
        <v>0.70216665593761207</v>
      </c>
      <c r="I124" s="12">
        <v>-4.7939611615917838E-2</v>
      </c>
      <c r="J124" s="12">
        <f t="shared" si="11"/>
        <v>-0.5402657312859529</v>
      </c>
      <c r="K124" s="86">
        <f t="shared" si="12"/>
        <v>3.125</v>
      </c>
      <c r="L124" s="54"/>
      <c r="M124" s="13">
        <v>75</v>
      </c>
      <c r="N124" s="13">
        <v>24</v>
      </c>
      <c r="O124" s="87">
        <v>-174971</v>
      </c>
      <c r="P124" s="88" t="s">
        <v>79</v>
      </c>
      <c r="Q124" s="89">
        <v>197494</v>
      </c>
      <c r="R124" s="89">
        <v>1087390</v>
      </c>
      <c r="S124" s="89">
        <v>518752</v>
      </c>
      <c r="T124" s="89">
        <v>323861</v>
      </c>
      <c r="U124" s="89">
        <v>97947</v>
      </c>
      <c r="V124" s="89">
        <v>665582</v>
      </c>
      <c r="W124" s="59">
        <v>763529</v>
      </c>
    </row>
    <row r="125" spans="1:23">
      <c r="A125" s="12" t="s">
        <v>113</v>
      </c>
      <c r="B125" s="12" t="s">
        <v>32</v>
      </c>
      <c r="C125" s="12" t="s">
        <v>22</v>
      </c>
      <c r="D125" s="12">
        <v>0</v>
      </c>
      <c r="E125" s="12">
        <v>10</v>
      </c>
      <c r="F125" s="12">
        <f t="shared" si="7"/>
        <v>6.1518532226510866E-2</v>
      </c>
      <c r="G125" s="12">
        <f t="shared" si="8"/>
        <v>11.291642681353503</v>
      </c>
      <c r="H125" s="12">
        <f t="shared" si="9"/>
        <v>0.80733384072165593</v>
      </c>
      <c r="I125" s="12">
        <v>-4.3856323146533205E-2</v>
      </c>
      <c r="J125" s="12">
        <f t="shared" si="11"/>
        <v>0.15069291542546304</v>
      </c>
      <c r="K125" s="86">
        <f t="shared" si="12"/>
        <v>1</v>
      </c>
      <c r="L125" s="54"/>
      <c r="M125" s="13">
        <v>32</v>
      </c>
      <c r="N125" s="13">
        <v>32</v>
      </c>
      <c r="O125" s="53">
        <v>2327</v>
      </c>
      <c r="P125" s="54"/>
      <c r="Q125" s="55"/>
      <c r="R125" s="59">
        <v>80149</v>
      </c>
      <c r="S125" s="59">
        <v>37826</v>
      </c>
      <c r="T125" s="59">
        <v>15442</v>
      </c>
      <c r="U125" s="59"/>
      <c r="V125" s="59"/>
      <c r="W125" s="59">
        <v>64707</v>
      </c>
    </row>
    <row r="126" spans="1:23">
      <c r="A126" s="12" t="s">
        <v>123</v>
      </c>
      <c r="B126" s="12" t="s">
        <v>32</v>
      </c>
      <c r="C126" s="12" t="s">
        <v>22</v>
      </c>
      <c r="D126" s="12">
        <v>0</v>
      </c>
      <c r="E126" s="12">
        <v>14</v>
      </c>
      <c r="F126" s="12">
        <f t="shared" si="7"/>
        <v>0.10260095344924285</v>
      </c>
      <c r="G126" s="12">
        <f t="shared" si="8"/>
        <v>9.7737204944770628</v>
      </c>
      <c r="H126" s="12">
        <f t="shared" si="9"/>
        <v>0.77923260844813846</v>
      </c>
      <c r="I126" s="12">
        <v>4.1319900715432907E-2</v>
      </c>
      <c r="J126" s="12">
        <f t="shared" si="11"/>
        <v>0.75477050025786485</v>
      </c>
      <c r="K126" s="86">
        <f t="shared" si="12"/>
        <v>0.91891891891891897</v>
      </c>
      <c r="L126" s="54"/>
      <c r="M126" s="13">
        <v>34</v>
      </c>
      <c r="N126" s="13">
        <v>37</v>
      </c>
      <c r="O126" s="53">
        <v>2927</v>
      </c>
      <c r="P126" s="54"/>
      <c r="Q126" s="55"/>
      <c r="R126" s="59">
        <v>17566</v>
      </c>
      <c r="S126" s="59">
        <v>28528</v>
      </c>
      <c r="T126" s="59">
        <v>3878</v>
      </c>
      <c r="U126" s="59"/>
      <c r="V126" s="59"/>
      <c r="W126" s="59">
        <v>13688</v>
      </c>
    </row>
    <row r="127" spans="1:23">
      <c r="A127" s="12" t="s">
        <v>124</v>
      </c>
      <c r="B127" s="12" t="s">
        <v>32</v>
      </c>
      <c r="C127" s="12" t="s">
        <v>22</v>
      </c>
      <c r="D127" s="12">
        <v>0</v>
      </c>
      <c r="E127" s="12">
        <v>6</v>
      </c>
      <c r="F127" s="12">
        <f t="shared" si="7"/>
        <v>5.7468910021945867E-2</v>
      </c>
      <c r="G127" s="12">
        <f t="shared" si="8"/>
        <v>11.089255652207218</v>
      </c>
      <c r="H127" s="12">
        <f t="shared" si="9"/>
        <v>0.83485579860686787</v>
      </c>
      <c r="I127" s="12">
        <v>-0.15290997422169345</v>
      </c>
      <c r="J127" s="12">
        <f t="shared" si="11"/>
        <v>3.5735080058224164E-2</v>
      </c>
      <c r="K127" s="86">
        <f t="shared" si="12"/>
        <v>1.2380952380952381</v>
      </c>
      <c r="L127" s="54"/>
      <c r="M127" s="13">
        <v>26</v>
      </c>
      <c r="N127" s="13">
        <v>21</v>
      </c>
      <c r="O127" s="53">
        <v>1964</v>
      </c>
      <c r="P127" s="54"/>
      <c r="Q127" s="55"/>
      <c r="R127" s="59">
        <v>65464</v>
      </c>
      <c r="S127" s="59">
        <v>34175</v>
      </c>
      <c r="T127" s="59">
        <v>54960</v>
      </c>
      <c r="U127" s="59"/>
      <c r="V127" s="59"/>
      <c r="W127" s="59">
        <v>54653</v>
      </c>
    </row>
    <row r="128" spans="1:23" ht="17">
      <c r="A128" s="12" t="s">
        <v>125</v>
      </c>
      <c r="B128" s="12" t="s">
        <v>32</v>
      </c>
      <c r="C128" s="12" t="s">
        <v>22</v>
      </c>
      <c r="D128" s="12">
        <v>0</v>
      </c>
      <c r="E128" s="12">
        <v>3</v>
      </c>
      <c r="F128" s="12">
        <f t="shared" si="7"/>
        <v>-3.1616097250134798E-2</v>
      </c>
      <c r="G128" s="12">
        <f t="shared" si="8"/>
        <v>11.775674270876797</v>
      </c>
      <c r="H128" s="12">
        <f t="shared" si="9"/>
        <v>0.88771241830065362</v>
      </c>
      <c r="I128" s="12">
        <v>-0.24894157493649449</v>
      </c>
      <c r="J128" s="12">
        <f t="shared" si="11"/>
        <v>-0.13250701910566323</v>
      </c>
      <c r="K128" s="86">
        <f t="shared" si="12"/>
        <v>1.5833333333333333</v>
      </c>
      <c r="L128" s="54"/>
      <c r="M128" s="13">
        <v>38</v>
      </c>
      <c r="N128" s="13">
        <v>24</v>
      </c>
      <c r="O128" s="87">
        <v>-1935</v>
      </c>
      <c r="P128" s="88" t="s">
        <v>79</v>
      </c>
      <c r="Q128" s="89" t="s">
        <v>79</v>
      </c>
      <c r="R128" s="89">
        <v>130050</v>
      </c>
      <c r="S128" s="89">
        <v>61203</v>
      </c>
      <c r="T128" s="89">
        <v>14603</v>
      </c>
      <c r="U128" s="89" t="s">
        <v>79</v>
      </c>
      <c r="V128" s="89" t="s">
        <v>79</v>
      </c>
      <c r="W128" s="59">
        <v>115447</v>
      </c>
    </row>
    <row r="129" spans="1:23">
      <c r="A129" s="12" t="s">
        <v>128</v>
      </c>
      <c r="B129" s="12" t="s">
        <v>32</v>
      </c>
      <c r="C129" s="12" t="s">
        <v>22</v>
      </c>
      <c r="D129" s="12">
        <v>0</v>
      </c>
      <c r="E129" s="12">
        <v>20</v>
      </c>
      <c r="F129" s="12">
        <f t="shared" si="7"/>
        <v>-0.13484110286789946</v>
      </c>
      <c r="G129" s="12">
        <f t="shared" si="8"/>
        <v>10.842869615633681</v>
      </c>
      <c r="H129" s="12">
        <f t="shared" si="9"/>
        <v>0.88866088180112568</v>
      </c>
      <c r="I129" s="12">
        <v>2.0882461936934535E-2</v>
      </c>
      <c r="J129" s="12">
        <f t="shared" si="11"/>
        <v>-0.85501140951377919</v>
      </c>
      <c r="K129" s="86">
        <f t="shared" si="12"/>
        <v>0.37931034482758619</v>
      </c>
      <c r="L129" s="54"/>
      <c r="M129" s="13">
        <v>22</v>
      </c>
      <c r="N129" s="13">
        <v>58</v>
      </c>
      <c r="O129" s="53">
        <v>-4871</v>
      </c>
      <c r="P129" s="56"/>
      <c r="Q129" s="57"/>
      <c r="R129" s="55">
        <v>51168</v>
      </c>
      <c r="S129" s="59">
        <v>36124</v>
      </c>
      <c r="T129" s="59">
        <v>5697</v>
      </c>
      <c r="U129" s="59"/>
      <c r="V129" s="59"/>
      <c r="W129" s="59">
        <v>45471</v>
      </c>
    </row>
    <row r="130" spans="1:23">
      <c r="A130" s="12" t="s">
        <v>31</v>
      </c>
      <c r="B130" s="12" t="s">
        <v>32</v>
      </c>
      <c r="C130" s="12" t="s">
        <v>21</v>
      </c>
      <c r="D130" s="12">
        <v>0</v>
      </c>
      <c r="E130" s="12">
        <v>15</v>
      </c>
      <c r="F130" s="12">
        <f t="shared" ref="F130:F193" si="13">O130/S130</f>
        <v>0.10246369214640313</v>
      </c>
      <c r="G130" s="12">
        <f t="shared" ref="G130:G193" si="14">LN(R130)</f>
        <v>10.571727097389889</v>
      </c>
      <c r="H130" s="12">
        <f t="shared" ref="H130:H193" si="15">W130/R130</f>
        <v>0.73177670699200326</v>
      </c>
      <c r="I130" s="12">
        <v>0.26288940809968847</v>
      </c>
      <c r="J130" s="12">
        <f t="shared" si="11"/>
        <v>0.31753463927376968</v>
      </c>
      <c r="K130" s="86">
        <f t="shared" si="12"/>
        <v>0.59615384615384615</v>
      </c>
      <c r="L130" s="54"/>
      <c r="M130" s="13">
        <v>31</v>
      </c>
      <c r="N130" s="13">
        <v>52</v>
      </c>
      <c r="O130" s="53">
        <v>3323</v>
      </c>
      <c r="P130" s="56"/>
      <c r="Q130" s="59"/>
      <c r="R130" s="59">
        <v>39016</v>
      </c>
      <c r="S130" s="59">
        <v>32431</v>
      </c>
      <c r="T130" s="59">
        <v>10465</v>
      </c>
      <c r="U130" s="59"/>
      <c r="V130" s="59"/>
      <c r="W130" s="59">
        <v>28551</v>
      </c>
    </row>
    <row r="131" spans="1:23" ht="17">
      <c r="A131" s="12" t="s">
        <v>33</v>
      </c>
      <c r="B131" s="12" t="s">
        <v>32</v>
      </c>
      <c r="C131" s="12" t="s">
        <v>21</v>
      </c>
      <c r="D131" s="12">
        <v>0</v>
      </c>
      <c r="E131" s="12">
        <v>13</v>
      </c>
      <c r="F131" s="12">
        <f t="shared" si="13"/>
        <v>-0.3270423917121173</v>
      </c>
      <c r="G131" s="12">
        <f t="shared" si="14"/>
        <v>10.023712049842496</v>
      </c>
      <c r="H131" s="12">
        <f t="shared" si="15"/>
        <v>0.76023054755043229</v>
      </c>
      <c r="I131" s="12">
        <v>0.26415438494090182</v>
      </c>
      <c r="J131" s="12">
        <f t="shared" ref="J131:J194" si="16">O131/T131</f>
        <v>-2.0955991124260356</v>
      </c>
      <c r="K131" s="86">
        <f t="shared" ref="K131:K169" si="17">M131/N131</f>
        <v>0.89795918367346939</v>
      </c>
      <c r="L131" s="54"/>
      <c r="M131" s="13">
        <v>44</v>
      </c>
      <c r="N131" s="13">
        <v>49</v>
      </c>
      <c r="O131" s="91">
        <v>-11333</v>
      </c>
      <c r="P131" s="92"/>
      <c r="Q131" s="89"/>
      <c r="R131" s="89">
        <v>22555</v>
      </c>
      <c r="S131" s="89">
        <v>34653</v>
      </c>
      <c r="T131" s="89">
        <v>5408</v>
      </c>
      <c r="U131" s="89"/>
      <c r="V131" s="89"/>
      <c r="W131" s="59">
        <v>17147</v>
      </c>
    </row>
    <row r="132" spans="1:23">
      <c r="A132" s="12" t="s">
        <v>38</v>
      </c>
      <c r="B132" s="12" t="s">
        <v>32</v>
      </c>
      <c r="C132" s="12" t="s">
        <v>21</v>
      </c>
      <c r="D132" s="12">
        <v>0</v>
      </c>
      <c r="E132" s="12">
        <v>17</v>
      </c>
      <c r="F132" s="12">
        <f t="shared" si="13"/>
        <v>2.6870404041308767E-5</v>
      </c>
      <c r="G132" s="12">
        <f t="shared" si="14"/>
        <v>13.079522680007152</v>
      </c>
      <c r="H132" s="12">
        <f t="shared" si="15"/>
        <v>0.99681023397184321</v>
      </c>
      <c r="I132" s="12">
        <v>0.79116665597125069</v>
      </c>
      <c r="J132" s="12">
        <f t="shared" si="16"/>
        <v>1.963350785340314E-3</v>
      </c>
      <c r="K132" s="86">
        <f t="shared" si="17"/>
        <v>0.66666666666666663</v>
      </c>
      <c r="L132" s="54"/>
      <c r="M132" s="13">
        <v>38</v>
      </c>
      <c r="N132" s="13">
        <v>57</v>
      </c>
      <c r="O132" s="53">
        <v>3</v>
      </c>
      <c r="P132" s="56"/>
      <c r="Q132" s="59"/>
      <c r="R132" s="59">
        <v>479032</v>
      </c>
      <c r="S132" s="59">
        <v>111647</v>
      </c>
      <c r="T132" s="59">
        <v>1528</v>
      </c>
      <c r="U132" s="59"/>
      <c r="V132" s="59"/>
      <c r="W132" s="59">
        <v>477504</v>
      </c>
    </row>
    <row r="133" spans="1:23">
      <c r="A133" s="12" t="s">
        <v>39</v>
      </c>
      <c r="B133" s="12" t="s">
        <v>32</v>
      </c>
      <c r="C133" s="12" t="s">
        <v>21</v>
      </c>
      <c r="D133" s="12">
        <v>0</v>
      </c>
      <c r="E133" s="12">
        <v>4</v>
      </c>
      <c r="F133" s="12">
        <f t="shared" si="13"/>
        <v>7.2068195874902524E-3</v>
      </c>
      <c r="G133" s="12">
        <f t="shared" si="14"/>
        <v>11.324533520598992</v>
      </c>
      <c r="H133" s="12">
        <f t="shared" si="15"/>
        <v>0.85014910236752828</v>
      </c>
      <c r="I133" s="12">
        <v>-0.28379107122221792</v>
      </c>
      <c r="J133" s="12">
        <f t="shared" si="16"/>
        <v>4.3184015468901063E-2</v>
      </c>
      <c r="K133" s="86">
        <f t="shared" si="17"/>
        <v>1.4390243902439024</v>
      </c>
      <c r="L133" s="54"/>
      <c r="M133" s="13">
        <v>59</v>
      </c>
      <c r="N133" s="13">
        <v>41</v>
      </c>
      <c r="O133" s="53">
        <v>536</v>
      </c>
      <c r="P133" s="56"/>
      <c r="Q133" s="59"/>
      <c r="R133" s="59">
        <v>82829</v>
      </c>
      <c r="S133" s="59">
        <v>74374</v>
      </c>
      <c r="T133" s="59">
        <v>12412</v>
      </c>
      <c r="U133" s="59"/>
      <c r="V133" s="59"/>
      <c r="W133" s="59">
        <v>70417</v>
      </c>
    </row>
    <row r="134" spans="1:23">
      <c r="A134" s="12" t="s">
        <v>55</v>
      </c>
      <c r="B134" s="12" t="s">
        <v>32</v>
      </c>
      <c r="C134" s="12" t="s">
        <v>21</v>
      </c>
      <c r="D134" s="12">
        <v>0</v>
      </c>
      <c r="E134" s="12">
        <v>19</v>
      </c>
      <c r="F134" s="12">
        <f t="shared" si="13"/>
        <v>1.9279105095981217E-2</v>
      </c>
      <c r="G134" s="12">
        <f t="shared" si="14"/>
        <v>10.470220808240414</v>
      </c>
      <c r="H134" s="12">
        <f t="shared" si="15"/>
        <v>0.64036879432624116</v>
      </c>
      <c r="I134" s="12">
        <v>-3.6426432000000002E-2</v>
      </c>
      <c r="J134" s="12">
        <f t="shared" si="16"/>
        <v>5.5060345507612213E-2</v>
      </c>
      <c r="K134" s="86">
        <f t="shared" si="17"/>
        <v>0.53703703703703709</v>
      </c>
      <c r="L134" s="54"/>
      <c r="M134" s="13">
        <v>29</v>
      </c>
      <c r="N134" s="13">
        <v>54</v>
      </c>
      <c r="O134" s="53">
        <v>698</v>
      </c>
      <c r="P134" s="56"/>
      <c r="Q134" s="59"/>
      <c r="R134" s="59">
        <v>35250</v>
      </c>
      <c r="S134" s="59">
        <v>36205</v>
      </c>
      <c r="T134" s="59">
        <v>12677</v>
      </c>
      <c r="U134" s="59"/>
      <c r="V134" s="59"/>
      <c r="W134" s="59">
        <v>22573</v>
      </c>
    </row>
    <row r="135" spans="1:23">
      <c r="A135" s="12" t="s">
        <v>61</v>
      </c>
      <c r="B135" s="12" t="s">
        <v>32</v>
      </c>
      <c r="C135" s="12" t="s">
        <v>21</v>
      </c>
      <c r="D135" s="12">
        <v>0</v>
      </c>
      <c r="E135" s="12">
        <v>18</v>
      </c>
      <c r="F135" s="12">
        <f t="shared" si="13"/>
        <v>4.0698526180081455E-2</v>
      </c>
      <c r="G135" s="12">
        <f t="shared" si="14"/>
        <v>10.358948446965533</v>
      </c>
      <c r="H135" s="12">
        <f t="shared" si="15"/>
        <v>0.60102099055108127</v>
      </c>
      <c r="I135" s="12">
        <v>0.23821790080905561</v>
      </c>
      <c r="J135" s="12">
        <f t="shared" si="16"/>
        <v>0.11038703012000319</v>
      </c>
      <c r="K135" s="86">
        <f t="shared" si="17"/>
        <v>0.51666666666666672</v>
      </c>
      <c r="L135" s="54"/>
      <c r="M135" s="13">
        <v>31</v>
      </c>
      <c r="N135" s="13">
        <v>60</v>
      </c>
      <c r="O135" s="53">
        <v>1389</v>
      </c>
      <c r="P135" s="56"/>
      <c r="Q135" s="59"/>
      <c r="R135" s="59">
        <v>31538</v>
      </c>
      <c r="S135" s="59">
        <v>34129</v>
      </c>
      <c r="T135" s="59">
        <v>12583</v>
      </c>
      <c r="U135" s="59"/>
      <c r="V135" s="59"/>
      <c r="W135" s="59">
        <v>18955</v>
      </c>
    </row>
    <row r="136" spans="1:23" ht="17">
      <c r="A136" s="12" t="s">
        <v>78</v>
      </c>
      <c r="B136" s="12" t="s">
        <v>32</v>
      </c>
      <c r="C136" s="12" t="s">
        <v>21</v>
      </c>
      <c r="D136" s="12">
        <v>0</v>
      </c>
      <c r="E136" s="12">
        <v>14</v>
      </c>
      <c r="F136" s="12">
        <f t="shared" si="13"/>
        <v>-0.12836247866008396</v>
      </c>
      <c r="G136" s="12">
        <f t="shared" si="14"/>
        <v>12.752536611876987</v>
      </c>
      <c r="H136" s="12">
        <f t="shared" si="15"/>
        <v>0.83531976365483884</v>
      </c>
      <c r="I136" s="12">
        <v>0.53101158519355751</v>
      </c>
      <c r="J136" s="12">
        <f t="shared" si="16"/>
        <v>-4.8905686912191264E-2</v>
      </c>
      <c r="K136" s="86">
        <f t="shared" si="17"/>
        <v>0.80952380952380953</v>
      </c>
      <c r="L136" s="54"/>
      <c r="M136" s="13">
        <v>34</v>
      </c>
      <c r="N136" s="13">
        <v>42</v>
      </c>
      <c r="O136" s="87">
        <v>-2782</v>
      </c>
      <c r="P136" s="88" t="s">
        <v>79</v>
      </c>
      <c r="Q136" s="89">
        <v>3500</v>
      </c>
      <c r="R136" s="89">
        <v>345427</v>
      </c>
      <c r="S136" s="89">
        <v>21673</v>
      </c>
      <c r="T136" s="89">
        <v>56885</v>
      </c>
      <c r="U136" s="89">
        <v>271835</v>
      </c>
      <c r="V136" s="89">
        <v>16707</v>
      </c>
      <c r="W136" s="59">
        <v>288542</v>
      </c>
    </row>
    <row r="137" spans="1:23" ht="17">
      <c r="A137" s="12" t="s">
        <v>92</v>
      </c>
      <c r="B137" s="12" t="s">
        <v>32</v>
      </c>
      <c r="C137" s="12" t="s">
        <v>21</v>
      </c>
      <c r="D137" s="12">
        <v>0</v>
      </c>
      <c r="E137" s="12">
        <v>2</v>
      </c>
      <c r="F137" s="12">
        <f t="shared" si="13"/>
        <v>-1.0366155522690121</v>
      </c>
      <c r="G137" s="12">
        <f t="shared" si="14"/>
        <v>11.947651596360352</v>
      </c>
      <c r="H137" s="12">
        <f t="shared" si="15"/>
        <v>1.447129889805379</v>
      </c>
      <c r="I137" s="12">
        <v>-0.32713559943434767</v>
      </c>
      <c r="J137" s="12">
        <f t="shared" si="16"/>
        <v>0.96417659750076024</v>
      </c>
      <c r="K137" s="86">
        <f t="shared" si="17"/>
        <v>2.0606060606060606</v>
      </c>
      <c r="L137" s="54"/>
      <c r="M137" s="13">
        <v>68</v>
      </c>
      <c r="N137" s="13">
        <v>33</v>
      </c>
      <c r="O137" s="87">
        <v>-66587</v>
      </c>
      <c r="P137" s="88" t="s">
        <v>79</v>
      </c>
      <c r="Q137" s="89" t="s">
        <v>79</v>
      </c>
      <c r="R137" s="89">
        <v>154454</v>
      </c>
      <c r="S137" s="89">
        <v>64235</v>
      </c>
      <c r="T137" s="89">
        <v>-69061</v>
      </c>
      <c r="U137" s="89" t="s">
        <v>79</v>
      </c>
      <c r="V137" s="89" t="s">
        <v>79</v>
      </c>
      <c r="W137" s="59">
        <v>223515</v>
      </c>
    </row>
    <row r="138" spans="1:23">
      <c r="A138" s="12" t="s">
        <v>99</v>
      </c>
      <c r="B138" s="12" t="s">
        <v>32</v>
      </c>
      <c r="C138" s="12" t="s">
        <v>21</v>
      </c>
      <c r="D138" s="12">
        <v>0</v>
      </c>
      <c r="E138" s="12">
        <v>6</v>
      </c>
      <c r="F138" s="12">
        <f t="shared" si="13"/>
        <v>6.7974470417792393E-2</v>
      </c>
      <c r="G138" s="12">
        <f t="shared" si="14"/>
        <v>10.865439749778165</v>
      </c>
      <c r="H138" s="12">
        <f t="shared" si="15"/>
        <v>0.54660272088046469</v>
      </c>
      <c r="I138" s="12">
        <v>0.42532648733117534</v>
      </c>
      <c r="J138" s="12">
        <f t="shared" si="16"/>
        <v>0.1463188503518901</v>
      </c>
      <c r="K138" s="86">
        <f t="shared" si="17"/>
        <v>1.2619047619047619</v>
      </c>
      <c r="L138" s="54"/>
      <c r="M138" s="13">
        <v>53</v>
      </c>
      <c r="N138" s="13">
        <v>42</v>
      </c>
      <c r="O138" s="53">
        <v>3472</v>
      </c>
      <c r="P138" s="54"/>
      <c r="Q138" s="55"/>
      <c r="R138" s="59">
        <v>52336</v>
      </c>
      <c r="S138" s="59">
        <v>51078</v>
      </c>
      <c r="T138" s="59">
        <v>23729</v>
      </c>
      <c r="U138" s="59"/>
      <c r="V138" s="59"/>
      <c r="W138" s="59">
        <v>28607</v>
      </c>
    </row>
    <row r="139" spans="1:23">
      <c r="A139" s="12" t="s">
        <v>103</v>
      </c>
      <c r="B139" s="12" t="s">
        <v>32</v>
      </c>
      <c r="C139" s="12" t="s">
        <v>21</v>
      </c>
      <c r="D139" s="12">
        <v>0</v>
      </c>
      <c r="E139" s="12">
        <v>9</v>
      </c>
      <c r="F139" s="12">
        <f t="shared" si="13"/>
        <v>9.936771634019341E-2</v>
      </c>
      <c r="G139" s="12">
        <f t="shared" si="14"/>
        <v>10.028356534581997</v>
      </c>
      <c r="H139" s="12">
        <f t="shared" si="15"/>
        <v>0.97060900264783756</v>
      </c>
      <c r="I139" s="12">
        <v>0.54373205741626796</v>
      </c>
      <c r="J139" s="12">
        <f t="shared" si="16"/>
        <v>4.8138138138138142</v>
      </c>
      <c r="K139" s="86">
        <f t="shared" si="17"/>
        <v>0.98275862068965514</v>
      </c>
      <c r="L139" s="54"/>
      <c r="M139" s="13">
        <v>57</v>
      </c>
      <c r="N139" s="13">
        <v>58</v>
      </c>
      <c r="O139" s="53">
        <v>3206</v>
      </c>
      <c r="P139" s="13"/>
      <c r="Q139" s="55"/>
      <c r="R139" s="59">
        <v>22660</v>
      </c>
      <c r="S139" s="59">
        <v>32264</v>
      </c>
      <c r="T139" s="59">
        <v>666</v>
      </c>
      <c r="U139" s="59"/>
      <c r="V139" s="59"/>
      <c r="W139" s="59">
        <v>21994</v>
      </c>
    </row>
    <row r="140" spans="1:23" ht="17">
      <c r="A140" s="12" t="s">
        <v>105</v>
      </c>
      <c r="B140" s="12" t="s">
        <v>32</v>
      </c>
      <c r="C140" s="12" t="s">
        <v>21</v>
      </c>
      <c r="D140" s="12">
        <v>0</v>
      </c>
      <c r="E140" s="12">
        <v>7</v>
      </c>
      <c r="F140" s="12">
        <f t="shared" si="13"/>
        <v>-7.2812034411496127E-2</v>
      </c>
      <c r="G140" s="12">
        <f t="shared" si="14"/>
        <v>12.790826939661995</v>
      </c>
      <c r="H140" s="12">
        <f t="shared" si="15"/>
        <v>0.91580897718090881</v>
      </c>
      <c r="I140" s="12">
        <v>0.17946828411087806</v>
      </c>
      <c r="J140" s="12">
        <f t="shared" si="16"/>
        <v>-5.0137339907998811E-2</v>
      </c>
      <c r="K140" s="86">
        <f t="shared" si="17"/>
        <v>0.8571428571428571</v>
      </c>
      <c r="L140" s="54"/>
      <c r="M140" s="13">
        <v>30</v>
      </c>
      <c r="N140" s="13">
        <v>35</v>
      </c>
      <c r="O140" s="87">
        <v>-1515</v>
      </c>
      <c r="P140" s="88">
        <v>15</v>
      </c>
      <c r="Q140" s="89">
        <v>4356</v>
      </c>
      <c r="R140" s="89">
        <v>358910</v>
      </c>
      <c r="S140" s="89">
        <v>20807</v>
      </c>
      <c r="T140" s="89">
        <v>30217</v>
      </c>
      <c r="U140" s="89">
        <v>301995</v>
      </c>
      <c r="V140" s="89">
        <v>26698</v>
      </c>
      <c r="W140" s="59">
        <v>328693</v>
      </c>
    </row>
    <row r="141" spans="1:23" ht="17">
      <c r="A141" s="12" t="s">
        <v>106</v>
      </c>
      <c r="B141" s="12" t="s">
        <v>32</v>
      </c>
      <c r="C141" s="12" t="s">
        <v>21</v>
      </c>
      <c r="D141" s="12">
        <v>1</v>
      </c>
      <c r="E141" s="12">
        <v>5</v>
      </c>
      <c r="F141" s="12">
        <f t="shared" si="13"/>
        <v>-0.7055273434485313</v>
      </c>
      <c r="G141" s="12">
        <f t="shared" si="14"/>
        <v>12.351267628263496</v>
      </c>
      <c r="H141" s="12">
        <f t="shared" si="15"/>
        <v>0.8153105040799471</v>
      </c>
      <c r="I141" s="12">
        <v>8.9937921636580806E-2</v>
      </c>
      <c r="J141" s="12">
        <f t="shared" si="16"/>
        <v>-2.1404354952001872</v>
      </c>
      <c r="K141" s="86">
        <f t="shared" si="17"/>
        <v>1.1538461538461537</v>
      </c>
      <c r="L141" s="54"/>
      <c r="M141" s="13">
        <v>60</v>
      </c>
      <c r="N141" s="13">
        <v>52</v>
      </c>
      <c r="O141" s="87">
        <v>-91418</v>
      </c>
      <c r="P141" s="88" t="s">
        <v>79</v>
      </c>
      <c r="Q141" s="89" t="s">
        <v>79</v>
      </c>
      <c r="R141" s="89">
        <v>231253</v>
      </c>
      <c r="S141" s="89">
        <v>129574</v>
      </c>
      <c r="T141" s="89">
        <v>42710</v>
      </c>
      <c r="U141" s="89" t="s">
        <v>79</v>
      </c>
      <c r="V141" s="89" t="s">
        <v>79</v>
      </c>
      <c r="W141" s="59">
        <v>188543</v>
      </c>
    </row>
    <row r="142" spans="1:23" ht="17">
      <c r="A142" s="12" t="s">
        <v>107</v>
      </c>
      <c r="B142" s="12" t="s">
        <v>32</v>
      </c>
      <c r="C142" s="12" t="s">
        <v>21</v>
      </c>
      <c r="D142" s="12">
        <v>0</v>
      </c>
      <c r="E142" s="12">
        <v>3</v>
      </c>
      <c r="F142" s="12">
        <f t="shared" si="13"/>
        <v>1.1618042417604302E-2</v>
      </c>
      <c r="G142" s="12">
        <f t="shared" si="14"/>
        <v>13.331787648289493</v>
      </c>
      <c r="H142" s="12">
        <f t="shared" si="15"/>
        <v>0.69484690600242671</v>
      </c>
      <c r="I142" s="12">
        <v>0.1945826870557337</v>
      </c>
      <c r="J142" s="12">
        <f t="shared" si="16"/>
        <v>1.5505895110619705E-2</v>
      </c>
      <c r="K142" s="86">
        <f t="shared" si="17"/>
        <v>1.4893617021276595</v>
      </c>
      <c r="L142" s="54"/>
      <c r="M142" s="13">
        <v>70</v>
      </c>
      <c r="N142" s="13">
        <v>47</v>
      </c>
      <c r="O142" s="87">
        <v>2917</v>
      </c>
      <c r="P142" s="88">
        <v>171</v>
      </c>
      <c r="Q142" s="89">
        <v>8983</v>
      </c>
      <c r="R142" s="89">
        <v>616484</v>
      </c>
      <c r="S142" s="89">
        <v>251075</v>
      </c>
      <c r="T142" s="89">
        <v>188122</v>
      </c>
      <c r="U142" s="89">
        <v>311671</v>
      </c>
      <c r="V142" s="89">
        <v>116692</v>
      </c>
      <c r="W142" s="59">
        <v>428362</v>
      </c>
    </row>
    <row r="143" spans="1:23" ht="17">
      <c r="A143" s="12" t="s">
        <v>110</v>
      </c>
      <c r="B143" s="12" t="s">
        <v>32</v>
      </c>
      <c r="C143" s="12" t="s">
        <v>21</v>
      </c>
      <c r="D143" s="12">
        <v>1</v>
      </c>
      <c r="E143" s="12">
        <v>1</v>
      </c>
      <c r="F143" s="12">
        <f t="shared" si="13"/>
        <v>4.194316789564536E-2</v>
      </c>
      <c r="G143" s="12">
        <f t="shared" si="14"/>
        <v>13.800543102362488</v>
      </c>
      <c r="H143" s="12">
        <f t="shared" si="15"/>
        <v>0.52538004596282373</v>
      </c>
      <c r="I143" s="12">
        <v>0.26973389982110912</v>
      </c>
      <c r="J143" s="12">
        <f t="shared" si="16"/>
        <v>5.9086466382501833E-2</v>
      </c>
      <c r="K143" s="86">
        <f t="shared" si="17"/>
        <v>3</v>
      </c>
      <c r="L143" s="54"/>
      <c r="M143" s="13">
        <v>105</v>
      </c>
      <c r="N143" s="13">
        <v>35</v>
      </c>
      <c r="O143" s="87">
        <v>27627</v>
      </c>
      <c r="P143" s="88" t="s">
        <v>79</v>
      </c>
      <c r="Q143" s="89" t="s">
        <v>79</v>
      </c>
      <c r="R143" s="89">
        <v>985144</v>
      </c>
      <c r="S143" s="89">
        <v>658677</v>
      </c>
      <c r="T143" s="89">
        <v>467569</v>
      </c>
      <c r="U143" s="89" t="s">
        <v>79</v>
      </c>
      <c r="V143" s="89" t="s">
        <v>79</v>
      </c>
      <c r="W143" s="59">
        <v>517575</v>
      </c>
    </row>
    <row r="144" spans="1:23">
      <c r="A144" s="12" t="s">
        <v>113</v>
      </c>
      <c r="B144" s="12" t="s">
        <v>32</v>
      </c>
      <c r="C144" s="12" t="s">
        <v>21</v>
      </c>
      <c r="D144" s="12">
        <v>0</v>
      </c>
      <c r="E144" s="12">
        <v>11</v>
      </c>
      <c r="F144" s="12">
        <f t="shared" si="13"/>
        <v>0.10123903260936569</v>
      </c>
      <c r="G144" s="12">
        <f t="shared" si="14"/>
        <v>10.596609732783568</v>
      </c>
      <c r="H144" s="12">
        <f t="shared" si="15"/>
        <v>0.67111677791944802</v>
      </c>
      <c r="I144" s="12">
        <v>0.28660180828001902</v>
      </c>
      <c r="J144" s="12">
        <f t="shared" si="16"/>
        <v>0.37453439756746482</v>
      </c>
      <c r="K144" s="86">
        <f t="shared" si="17"/>
        <v>1.2083333333333333</v>
      </c>
      <c r="L144" s="54"/>
      <c r="M144" s="13">
        <v>58</v>
      </c>
      <c r="N144" s="13">
        <v>48</v>
      </c>
      <c r="O144" s="53">
        <v>4927</v>
      </c>
      <c r="P144" s="54"/>
      <c r="Q144" s="55"/>
      <c r="R144" s="59">
        <v>39999</v>
      </c>
      <c r="S144" s="59">
        <v>48667</v>
      </c>
      <c r="T144" s="59">
        <v>13155</v>
      </c>
      <c r="U144" s="59"/>
      <c r="V144" s="59"/>
      <c r="W144" s="59">
        <v>26844</v>
      </c>
    </row>
    <row r="145" spans="1:23">
      <c r="A145" s="12" t="s">
        <v>124</v>
      </c>
      <c r="B145" s="12" t="s">
        <v>32</v>
      </c>
      <c r="C145" s="12" t="s">
        <v>21</v>
      </c>
      <c r="D145" s="12">
        <v>0</v>
      </c>
      <c r="E145" s="12">
        <v>8</v>
      </c>
      <c r="F145" s="12">
        <f t="shared" si="13"/>
        <v>2.4853413121636949E-3</v>
      </c>
      <c r="G145" s="12">
        <f t="shared" si="14"/>
        <v>10.527070269710164</v>
      </c>
      <c r="H145" s="12">
        <f t="shared" si="15"/>
        <v>0.75594982847341341</v>
      </c>
      <c r="I145" s="12">
        <v>0.21267008046817848</v>
      </c>
      <c r="J145" s="12">
        <f t="shared" si="16"/>
        <v>1.1311223369207117E-2</v>
      </c>
      <c r="K145" s="86">
        <f t="shared" si="17"/>
        <v>0.9285714285714286</v>
      </c>
      <c r="L145" s="54"/>
      <c r="M145" s="13">
        <v>39</v>
      </c>
      <c r="N145" s="13">
        <v>42</v>
      </c>
      <c r="O145" s="53">
        <v>103</v>
      </c>
      <c r="P145" s="54"/>
      <c r="Q145" s="55"/>
      <c r="R145" s="59">
        <v>37312</v>
      </c>
      <c r="S145" s="59">
        <v>41443</v>
      </c>
      <c r="T145" s="59">
        <v>9106</v>
      </c>
      <c r="U145" s="59"/>
      <c r="V145" s="59"/>
      <c r="W145" s="59">
        <v>28206</v>
      </c>
    </row>
    <row r="146" spans="1:23" ht="17">
      <c r="A146" s="12" t="s">
        <v>125</v>
      </c>
      <c r="B146" s="12" t="s">
        <v>32</v>
      </c>
      <c r="C146" s="12" t="s">
        <v>21</v>
      </c>
      <c r="D146" s="12">
        <v>0</v>
      </c>
      <c r="E146" s="12">
        <v>10</v>
      </c>
      <c r="F146" s="12">
        <f t="shared" si="13"/>
        <v>0.11649142224681792</v>
      </c>
      <c r="G146" s="12">
        <f t="shared" si="14"/>
        <v>11.946232692306483</v>
      </c>
      <c r="H146" s="12">
        <f t="shared" si="15"/>
        <v>0.79404155995720815</v>
      </c>
      <c r="I146" s="12">
        <v>0.24003725307582963</v>
      </c>
      <c r="J146" s="12">
        <f t="shared" si="16"/>
        <v>0.27831643895989422</v>
      </c>
      <c r="K146" s="86">
        <f t="shared" si="17"/>
        <v>1.0576923076923077</v>
      </c>
      <c r="L146" s="54"/>
      <c r="M146" s="13">
        <v>55</v>
      </c>
      <c r="N146" s="13">
        <v>52</v>
      </c>
      <c r="O146" s="87">
        <v>8841</v>
      </c>
      <c r="P146" s="88">
        <v>208</v>
      </c>
      <c r="Q146" s="89">
        <v>43160</v>
      </c>
      <c r="R146" s="89">
        <v>154235</v>
      </c>
      <c r="S146" s="89">
        <v>75894</v>
      </c>
      <c r="T146" s="89">
        <v>31766</v>
      </c>
      <c r="U146" s="89">
        <v>11501</v>
      </c>
      <c r="V146" s="89">
        <v>110968</v>
      </c>
      <c r="W146" s="59">
        <v>122469</v>
      </c>
    </row>
    <row r="147" spans="1:23">
      <c r="A147" s="12" t="s">
        <v>128</v>
      </c>
      <c r="B147" s="12" t="s">
        <v>32</v>
      </c>
      <c r="C147" s="12" t="s">
        <v>21</v>
      </c>
      <c r="D147" s="12">
        <v>0</v>
      </c>
      <c r="E147" s="12">
        <v>16</v>
      </c>
      <c r="F147" s="12">
        <f t="shared" si="13"/>
        <v>0.28034271993014626</v>
      </c>
      <c r="G147" s="12">
        <f t="shared" si="14"/>
        <v>10.852051844960579</v>
      </c>
      <c r="H147" s="12">
        <f t="shared" si="15"/>
        <v>0.79825716498838106</v>
      </c>
      <c r="I147" s="12">
        <v>1.4505591850293435E-2</v>
      </c>
      <c r="J147" s="12">
        <f t="shared" si="16"/>
        <v>0.98617776924553657</v>
      </c>
      <c r="K147" s="86">
        <f t="shared" si="17"/>
        <v>0.61403508771929827</v>
      </c>
      <c r="L147" s="54"/>
      <c r="M147" s="13">
        <v>35</v>
      </c>
      <c r="N147" s="13">
        <v>57</v>
      </c>
      <c r="O147" s="53">
        <v>10274</v>
      </c>
      <c r="P147" s="56"/>
      <c r="Q147" s="57"/>
      <c r="R147" s="55">
        <v>51640</v>
      </c>
      <c r="S147" s="59">
        <v>36648</v>
      </c>
      <c r="T147" s="59">
        <v>10418</v>
      </c>
      <c r="U147" s="59"/>
      <c r="V147" s="59"/>
      <c r="W147" s="59">
        <v>41222</v>
      </c>
    </row>
    <row r="148" spans="1:23">
      <c r="A148" s="12" t="s">
        <v>62</v>
      </c>
      <c r="B148" s="12" t="s">
        <v>32</v>
      </c>
      <c r="C148" s="12" t="s">
        <v>63</v>
      </c>
      <c r="D148" s="12">
        <v>0</v>
      </c>
      <c r="E148" s="12">
        <v>20</v>
      </c>
      <c r="F148" s="12">
        <f t="shared" si="13"/>
        <v>1.0811777936816277E-2</v>
      </c>
      <c r="G148" s="12">
        <f t="shared" si="14"/>
        <v>10.363346144474624</v>
      </c>
      <c r="H148" s="12">
        <f t="shared" si="15"/>
        <v>0.58215740126905957</v>
      </c>
      <c r="I148" s="12">
        <v>-0.1190543345</v>
      </c>
      <c r="J148" s="12">
        <f t="shared" si="16"/>
        <v>3.1958295557570265E-2</v>
      </c>
      <c r="K148" s="86">
        <f t="shared" si="17"/>
        <v>0.41176470588235292</v>
      </c>
      <c r="L148" s="54"/>
      <c r="M148" s="13">
        <v>28</v>
      </c>
      <c r="N148" s="13">
        <v>68</v>
      </c>
      <c r="O148" s="53">
        <v>423</v>
      </c>
      <c r="P148" s="56"/>
      <c r="Q148" s="59"/>
      <c r="R148" s="59">
        <v>31677</v>
      </c>
      <c r="S148" s="59">
        <v>39124</v>
      </c>
      <c r="T148" s="59">
        <v>13236</v>
      </c>
      <c r="U148" s="59"/>
      <c r="V148" s="59"/>
      <c r="W148" s="59">
        <v>18441</v>
      </c>
    </row>
    <row r="149" spans="1:23">
      <c r="A149" s="12" t="s">
        <v>100</v>
      </c>
      <c r="B149" s="12" t="s">
        <v>32</v>
      </c>
      <c r="C149" s="12" t="s">
        <v>63</v>
      </c>
      <c r="D149" s="12">
        <v>0</v>
      </c>
      <c r="E149" s="12">
        <v>12</v>
      </c>
      <c r="F149" s="12">
        <f t="shared" si="13"/>
        <v>1.0098637858149366E-2</v>
      </c>
      <c r="G149" s="12">
        <f t="shared" si="14"/>
        <v>11.008777495957478</v>
      </c>
      <c r="H149" s="12">
        <f t="shared" si="15"/>
        <v>0.95692195622661502</v>
      </c>
      <c r="I149" s="12">
        <v>0.39161696217011194</v>
      </c>
      <c r="J149" s="12">
        <f t="shared" si="16"/>
        <v>0.19830899308224442</v>
      </c>
      <c r="K149" s="86">
        <f t="shared" si="17"/>
        <v>1</v>
      </c>
      <c r="L149" s="54"/>
      <c r="M149" s="13">
        <v>48</v>
      </c>
      <c r="N149" s="13">
        <v>48</v>
      </c>
      <c r="O149" s="53">
        <v>516</v>
      </c>
      <c r="P149" s="54"/>
      <c r="Q149" s="55"/>
      <c r="R149" s="59">
        <v>60402</v>
      </c>
      <c r="S149" s="59">
        <v>51096</v>
      </c>
      <c r="T149" s="59">
        <v>2602</v>
      </c>
      <c r="U149" s="59"/>
      <c r="V149" s="59"/>
      <c r="W149" s="59">
        <v>57800</v>
      </c>
    </row>
    <row r="150" spans="1:23">
      <c r="A150" s="12" t="s">
        <v>31</v>
      </c>
      <c r="B150" s="12" t="s">
        <v>32</v>
      </c>
      <c r="C150" s="12" t="s">
        <v>20</v>
      </c>
      <c r="D150" s="12">
        <v>0</v>
      </c>
      <c r="E150" s="12">
        <v>13</v>
      </c>
      <c r="F150" s="12">
        <f t="shared" si="13"/>
        <v>0.20757735643530653</v>
      </c>
      <c r="G150" s="12">
        <f t="shared" si="14"/>
        <v>9.9938765522638082</v>
      </c>
      <c r="H150" s="12">
        <f t="shared" si="15"/>
        <v>0.67362506851818016</v>
      </c>
      <c r="I150" s="12">
        <v>-9.4169159137861919E-2</v>
      </c>
      <c r="J150" s="12">
        <f t="shared" si="16"/>
        <v>0.85346396081175646</v>
      </c>
      <c r="K150" s="86">
        <f t="shared" si="17"/>
        <v>0.88095238095238093</v>
      </c>
      <c r="L150" s="54"/>
      <c r="M150" s="12">
        <v>37</v>
      </c>
      <c r="N150" s="12">
        <v>42</v>
      </c>
      <c r="O150" s="53">
        <v>6098</v>
      </c>
      <c r="P150" s="56"/>
      <c r="Q150" s="59"/>
      <c r="R150" s="59">
        <v>21892</v>
      </c>
      <c r="S150" s="59">
        <v>29377</v>
      </c>
      <c r="T150" s="59">
        <v>7145</v>
      </c>
      <c r="U150" s="59"/>
      <c r="V150" s="59"/>
      <c r="W150" s="59">
        <v>14747</v>
      </c>
    </row>
    <row r="151" spans="1:23">
      <c r="A151" s="12" t="s">
        <v>33</v>
      </c>
      <c r="B151" s="12" t="s">
        <v>32</v>
      </c>
      <c r="C151" s="12" t="s">
        <v>20</v>
      </c>
      <c r="D151" s="12">
        <v>0</v>
      </c>
      <c r="E151" s="12">
        <v>14</v>
      </c>
      <c r="F151" s="12">
        <f t="shared" si="13"/>
        <v>0.3649803722932759</v>
      </c>
      <c r="G151" s="12">
        <f t="shared" si="14"/>
        <v>10.752462577125415</v>
      </c>
      <c r="H151" s="12">
        <f t="shared" si="15"/>
        <v>0.64188683281634396</v>
      </c>
      <c r="I151" s="12">
        <v>-8.8448330591867949E-2</v>
      </c>
      <c r="J151" s="12">
        <f t="shared" si="16"/>
        <v>0.68870967741935485</v>
      </c>
      <c r="K151" s="86">
        <f t="shared" si="17"/>
        <v>0.80769230769230771</v>
      </c>
      <c r="L151" s="54"/>
      <c r="M151" s="12">
        <v>42</v>
      </c>
      <c r="N151" s="12">
        <v>52</v>
      </c>
      <c r="O151" s="53">
        <v>11529</v>
      </c>
      <c r="P151" s="56"/>
      <c r="Q151" s="59"/>
      <c r="R151" s="59">
        <v>46745</v>
      </c>
      <c r="S151" s="59">
        <v>31588</v>
      </c>
      <c r="T151" s="59">
        <v>16740</v>
      </c>
      <c r="U151" s="59"/>
      <c r="V151" s="59"/>
      <c r="W151" s="59">
        <v>30005</v>
      </c>
    </row>
    <row r="152" spans="1:23">
      <c r="A152" s="12" t="s">
        <v>38</v>
      </c>
      <c r="B152" s="12" t="s">
        <v>32</v>
      </c>
      <c r="C152" s="12" t="s">
        <v>20</v>
      </c>
      <c r="D152" s="12">
        <v>1</v>
      </c>
      <c r="E152" s="12">
        <v>2</v>
      </c>
      <c r="F152" s="12">
        <f t="shared" si="13"/>
        <v>1.1327777328262804E-4</v>
      </c>
      <c r="G152" s="12">
        <f t="shared" si="14"/>
        <v>13.31808968769692</v>
      </c>
      <c r="H152" s="12">
        <f t="shared" si="15"/>
        <v>0.98701522947819176</v>
      </c>
      <c r="I152" s="12">
        <v>0.10697107848845021</v>
      </c>
      <c r="J152" s="12">
        <f t="shared" si="16"/>
        <v>1.7730496453900709E-3</v>
      </c>
      <c r="K152" s="86">
        <f t="shared" si="17"/>
        <v>1.8888888888888888</v>
      </c>
      <c r="L152" s="54"/>
      <c r="M152" s="12">
        <v>85</v>
      </c>
      <c r="N152" s="12">
        <v>45</v>
      </c>
      <c r="O152" s="53">
        <v>14</v>
      </c>
      <c r="P152" s="56"/>
      <c r="Q152" s="59"/>
      <c r="R152" s="59">
        <v>608097</v>
      </c>
      <c r="S152" s="59">
        <v>123590</v>
      </c>
      <c r="T152" s="59">
        <v>7896</v>
      </c>
      <c r="U152" s="59"/>
      <c r="V152" s="59"/>
      <c r="W152" s="59">
        <v>600201</v>
      </c>
    </row>
    <row r="153" spans="1:23">
      <c r="A153" s="12" t="s">
        <v>39</v>
      </c>
      <c r="B153" s="12" t="s">
        <v>32</v>
      </c>
      <c r="C153" s="12" t="s">
        <v>20</v>
      </c>
      <c r="D153" s="12">
        <v>0</v>
      </c>
      <c r="E153" s="12">
        <v>7</v>
      </c>
      <c r="F153" s="12">
        <f t="shared" si="13"/>
        <v>8.0868907245097415E-3</v>
      </c>
      <c r="G153" s="12">
        <f t="shared" si="14"/>
        <v>11.001216117502114</v>
      </c>
      <c r="H153" s="12">
        <f t="shared" si="15"/>
        <v>0.7934175188082806</v>
      </c>
      <c r="I153" s="12">
        <v>-0.14706752359695593</v>
      </c>
      <c r="J153" s="12">
        <f t="shared" si="16"/>
        <v>4.142441860465116E-2</v>
      </c>
      <c r="K153" s="86">
        <f t="shared" si="17"/>
        <v>0.94</v>
      </c>
      <c r="L153" s="54"/>
      <c r="M153" s="12">
        <v>47</v>
      </c>
      <c r="N153" s="12">
        <v>50</v>
      </c>
      <c r="O153" s="53">
        <v>513</v>
      </c>
      <c r="P153" s="56"/>
      <c r="Q153" s="59"/>
      <c r="R153" s="59">
        <v>59947</v>
      </c>
      <c r="S153" s="59">
        <v>63436</v>
      </c>
      <c r="T153" s="59">
        <v>12384</v>
      </c>
      <c r="U153" s="59"/>
      <c r="V153" s="59"/>
      <c r="W153" s="59">
        <v>47563</v>
      </c>
    </row>
    <row r="154" spans="1:23">
      <c r="A154" s="12" t="s">
        <v>55</v>
      </c>
      <c r="B154" s="12" t="s">
        <v>32</v>
      </c>
      <c r="C154" s="12" t="s">
        <v>20</v>
      </c>
      <c r="D154" s="12">
        <v>0</v>
      </c>
      <c r="E154" s="12">
        <v>16</v>
      </c>
      <c r="F154" s="12">
        <f t="shared" si="13"/>
        <v>1.4304042802937242E-2</v>
      </c>
      <c r="G154" s="12">
        <f t="shared" si="14"/>
        <v>10.474354098387241</v>
      </c>
      <c r="H154" s="12">
        <f t="shared" si="15"/>
        <v>0.66809809017968136</v>
      </c>
      <c r="I154" s="12">
        <v>1.182157160613175E-2</v>
      </c>
      <c r="J154" s="12">
        <f t="shared" si="16"/>
        <v>4.4603336738168201E-2</v>
      </c>
      <c r="K154" s="86">
        <f t="shared" si="17"/>
        <v>0.51923076923076927</v>
      </c>
      <c r="L154" s="54"/>
      <c r="M154" s="12">
        <v>27</v>
      </c>
      <c r="N154" s="12">
        <v>52</v>
      </c>
      <c r="O154" s="53">
        <v>524</v>
      </c>
      <c r="P154" s="56"/>
      <c r="Q154" s="59"/>
      <c r="R154" s="59">
        <v>35396</v>
      </c>
      <c r="S154" s="59">
        <v>36633</v>
      </c>
      <c r="T154" s="59">
        <v>11748</v>
      </c>
      <c r="U154" s="59"/>
      <c r="V154" s="59"/>
      <c r="W154" s="59">
        <v>23648</v>
      </c>
    </row>
    <row r="155" spans="1:23">
      <c r="A155" s="12" t="s">
        <v>61</v>
      </c>
      <c r="B155" s="12" t="s">
        <v>32</v>
      </c>
      <c r="C155" s="12" t="s">
        <v>20</v>
      </c>
      <c r="D155" s="12">
        <v>0</v>
      </c>
      <c r="E155" s="12">
        <v>11</v>
      </c>
      <c r="F155" s="12">
        <f t="shared" si="13"/>
        <v>0.17917975356366272</v>
      </c>
      <c r="G155" s="12">
        <f t="shared" si="14"/>
        <v>10.277152348094495</v>
      </c>
      <c r="H155" s="12">
        <f t="shared" si="15"/>
        <v>0.60658614638174868</v>
      </c>
      <c r="I155" s="12">
        <v>-2.9798704913709749E-2</v>
      </c>
      <c r="J155" s="12">
        <f t="shared" si="16"/>
        <v>0.51893641214029562</v>
      </c>
      <c r="K155" s="86">
        <f t="shared" si="17"/>
        <v>0.75342465753424659</v>
      </c>
      <c r="L155" s="54"/>
      <c r="M155" s="12">
        <v>55</v>
      </c>
      <c r="N155" s="12">
        <v>73</v>
      </c>
      <c r="O155" s="53">
        <v>5933</v>
      </c>
      <c r="P155" s="56"/>
      <c r="Q155" s="59"/>
      <c r="R155" s="59">
        <v>29061</v>
      </c>
      <c r="S155" s="59">
        <v>33112</v>
      </c>
      <c r="T155" s="59">
        <v>11433</v>
      </c>
      <c r="U155" s="59"/>
      <c r="V155" s="59"/>
      <c r="W155" s="59">
        <v>17628</v>
      </c>
    </row>
    <row r="156" spans="1:23">
      <c r="A156" s="12" t="s">
        <v>62</v>
      </c>
      <c r="B156" s="12" t="s">
        <v>32</v>
      </c>
      <c r="C156" s="12" t="s">
        <v>20</v>
      </c>
      <c r="D156" s="12">
        <v>0</v>
      </c>
      <c r="E156" s="12">
        <v>17</v>
      </c>
      <c r="F156" s="12">
        <f t="shared" si="13"/>
        <v>2.3481804451283804E-2</v>
      </c>
      <c r="G156" s="12">
        <f t="shared" si="14"/>
        <v>10.319364930991602</v>
      </c>
      <c r="H156" s="12">
        <f t="shared" si="15"/>
        <v>0.56805436432011613</v>
      </c>
      <c r="I156" s="12">
        <v>-0.10308250690113485</v>
      </c>
      <c r="J156" s="12">
        <f t="shared" si="16"/>
        <v>6.2929586069955704E-2</v>
      </c>
      <c r="K156" s="86">
        <f t="shared" si="17"/>
        <v>0.81355932203389836</v>
      </c>
      <c r="L156" s="54"/>
      <c r="M156" s="12">
        <v>48</v>
      </c>
      <c r="N156" s="12">
        <v>59</v>
      </c>
      <c r="O156" s="53">
        <v>824</v>
      </c>
      <c r="P156" s="56"/>
      <c r="Q156" s="59"/>
      <c r="R156" s="59">
        <v>30314</v>
      </c>
      <c r="S156" s="59">
        <v>35091</v>
      </c>
      <c r="T156" s="59">
        <v>13094</v>
      </c>
      <c r="U156" s="59"/>
      <c r="V156" s="59"/>
      <c r="W156" s="59">
        <v>17220</v>
      </c>
    </row>
    <row r="157" spans="1:23" ht="17">
      <c r="A157" s="12" t="s">
        <v>78</v>
      </c>
      <c r="B157" s="12" t="s">
        <v>32</v>
      </c>
      <c r="C157" s="12" t="s">
        <v>20</v>
      </c>
      <c r="D157" s="12">
        <v>0</v>
      </c>
      <c r="E157" s="12">
        <v>6</v>
      </c>
      <c r="F157" s="12">
        <f t="shared" si="13"/>
        <v>-0.16328725864572688</v>
      </c>
      <c r="G157" s="12">
        <f t="shared" si="14"/>
        <v>12.799167419682593</v>
      </c>
      <c r="H157" s="12">
        <f t="shared" si="15"/>
        <v>0.82822809712751022</v>
      </c>
      <c r="I157" s="12">
        <v>-0.14211230563373783</v>
      </c>
      <c r="J157" s="12">
        <f t="shared" si="16"/>
        <v>-4.8836199269709009E-2</v>
      </c>
      <c r="K157" s="86">
        <f t="shared" si="17"/>
        <v>1.1041666666666667</v>
      </c>
      <c r="L157" s="54"/>
      <c r="M157" s="12">
        <v>53</v>
      </c>
      <c r="N157" s="12">
        <v>48</v>
      </c>
      <c r="O157" s="87">
        <v>-3036</v>
      </c>
      <c r="P157" s="88" t="s">
        <v>79</v>
      </c>
      <c r="Q157" s="89">
        <v>3055</v>
      </c>
      <c r="R157" s="89">
        <v>361916</v>
      </c>
      <c r="S157" s="89">
        <v>18593</v>
      </c>
      <c r="T157" s="89">
        <v>62167</v>
      </c>
      <c r="U157" s="89">
        <v>278978</v>
      </c>
      <c r="V157" s="89">
        <v>20771</v>
      </c>
      <c r="W157" s="59">
        <v>299749</v>
      </c>
    </row>
    <row r="158" spans="1:23" ht="17">
      <c r="A158" s="12" t="s">
        <v>92</v>
      </c>
      <c r="B158" s="12" t="s">
        <v>32</v>
      </c>
      <c r="C158" s="12" t="s">
        <v>20</v>
      </c>
      <c r="D158" s="12">
        <v>0</v>
      </c>
      <c r="E158" s="12">
        <v>12</v>
      </c>
      <c r="F158" s="12">
        <f t="shared" si="13"/>
        <v>-2.6318835203561162</v>
      </c>
      <c r="G158" s="12">
        <f t="shared" si="14"/>
        <v>12.267280626571289</v>
      </c>
      <c r="H158" s="12">
        <f t="shared" si="15"/>
        <v>1.6672341786439913</v>
      </c>
      <c r="I158" s="12">
        <v>-0.16066007628240056</v>
      </c>
      <c r="J158" s="12">
        <f t="shared" si="16"/>
        <v>1.0001973637837456</v>
      </c>
      <c r="K158" s="86">
        <f t="shared" si="17"/>
        <v>0.61194029850746268</v>
      </c>
      <c r="L158" s="54"/>
      <c r="M158" s="12">
        <v>41</v>
      </c>
      <c r="N158" s="12">
        <v>67</v>
      </c>
      <c r="O158" s="87">
        <v>-141898</v>
      </c>
      <c r="P158" s="88" t="s">
        <v>79</v>
      </c>
      <c r="Q158" s="89" t="s">
        <v>79</v>
      </c>
      <c r="R158" s="89">
        <v>212624</v>
      </c>
      <c r="S158" s="89">
        <v>53915</v>
      </c>
      <c r="T158" s="89">
        <v>-141870</v>
      </c>
      <c r="U158" s="89" t="s">
        <v>79</v>
      </c>
      <c r="V158" s="89" t="s">
        <v>79</v>
      </c>
      <c r="W158" s="59">
        <v>354494</v>
      </c>
    </row>
    <row r="159" spans="1:23">
      <c r="A159" s="12" t="s">
        <v>98</v>
      </c>
      <c r="B159" s="12" t="s">
        <v>32</v>
      </c>
      <c r="C159" s="12" t="s">
        <v>20</v>
      </c>
      <c r="D159" s="12">
        <v>0</v>
      </c>
      <c r="E159" s="12">
        <v>20</v>
      </c>
      <c r="F159" s="12">
        <f t="shared" si="13"/>
        <v>1.4996107105378964E-2</v>
      </c>
      <c r="G159" s="12">
        <f t="shared" si="14"/>
        <v>10.314835323802448</v>
      </c>
      <c r="H159" s="12">
        <f t="shared" si="15"/>
        <v>0.56884382145342482</v>
      </c>
      <c r="I159" s="12">
        <v>6.6077228437387225E-2</v>
      </c>
      <c r="J159" s="12">
        <f t="shared" si="16"/>
        <v>3.4048113135039582E-2</v>
      </c>
      <c r="K159" s="86">
        <f t="shared" si="17"/>
        <v>0.44736842105263158</v>
      </c>
      <c r="L159" s="54"/>
      <c r="M159" s="12">
        <v>34</v>
      </c>
      <c r="N159" s="12">
        <v>76</v>
      </c>
      <c r="O159" s="53">
        <v>443</v>
      </c>
      <c r="P159" s="54"/>
      <c r="Q159" s="55"/>
      <c r="R159" s="59">
        <v>30177</v>
      </c>
      <c r="S159" s="59">
        <v>29541</v>
      </c>
      <c r="T159" s="59">
        <v>13011</v>
      </c>
      <c r="U159" s="59"/>
      <c r="V159" s="59"/>
      <c r="W159" s="59">
        <v>17166</v>
      </c>
    </row>
    <row r="160" spans="1:23">
      <c r="A160" s="12" t="s">
        <v>99</v>
      </c>
      <c r="B160" s="12" t="s">
        <v>32</v>
      </c>
      <c r="C160" s="12" t="s">
        <v>20</v>
      </c>
      <c r="D160" s="12">
        <v>0</v>
      </c>
      <c r="E160" s="12">
        <v>10</v>
      </c>
      <c r="F160" s="12">
        <f t="shared" si="13"/>
        <v>0.13266626611822341</v>
      </c>
      <c r="G160" s="12">
        <f t="shared" si="14"/>
        <v>10.685972568448268</v>
      </c>
      <c r="H160" s="12">
        <f t="shared" si="15"/>
        <v>0.53507247702226901</v>
      </c>
      <c r="I160" s="12">
        <v>-0.15278593523630526</v>
      </c>
      <c r="J160" s="12">
        <f t="shared" si="16"/>
        <v>0.28232112121957215</v>
      </c>
      <c r="K160" s="86">
        <f t="shared" si="17"/>
        <v>1.0909090909090908</v>
      </c>
      <c r="L160" s="54"/>
      <c r="M160" s="12">
        <v>36</v>
      </c>
      <c r="N160" s="12">
        <v>33</v>
      </c>
      <c r="O160" s="53">
        <v>5741</v>
      </c>
      <c r="P160" s="54"/>
      <c r="Q160" s="55"/>
      <c r="R160" s="59">
        <v>43738</v>
      </c>
      <c r="S160" s="59">
        <v>43274</v>
      </c>
      <c r="T160" s="59">
        <v>20335</v>
      </c>
      <c r="U160" s="59"/>
      <c r="V160" s="59"/>
      <c r="W160" s="59">
        <v>23403</v>
      </c>
    </row>
    <row r="161" spans="1:23">
      <c r="A161" s="12" t="s">
        <v>100</v>
      </c>
      <c r="B161" s="12" t="s">
        <v>32</v>
      </c>
      <c r="C161" s="12" t="s">
        <v>20</v>
      </c>
      <c r="D161" s="12">
        <v>0</v>
      </c>
      <c r="E161" s="12">
        <v>9</v>
      </c>
      <c r="F161" s="12">
        <f t="shared" si="13"/>
        <v>-2.9922073449003316E-3</v>
      </c>
      <c r="G161" s="12">
        <f t="shared" si="14"/>
        <v>10.326596095816887</v>
      </c>
      <c r="H161" s="12">
        <f t="shared" si="15"/>
        <v>0.9306019519224471</v>
      </c>
      <c r="I161" s="12">
        <v>-9.0848598716142162E-2</v>
      </c>
      <c r="J161" s="12">
        <f t="shared" si="16"/>
        <v>-6.5596979707409159E-2</v>
      </c>
      <c r="K161" s="86">
        <f t="shared" si="17"/>
        <v>0.87804878048780488</v>
      </c>
      <c r="L161" s="54"/>
      <c r="M161" s="12">
        <v>36</v>
      </c>
      <c r="N161" s="12">
        <v>41</v>
      </c>
      <c r="O161" s="53">
        <v>-139</v>
      </c>
      <c r="P161" s="54"/>
      <c r="Q161" s="55"/>
      <c r="R161" s="59">
        <v>30534</v>
      </c>
      <c r="S161" s="59">
        <v>46454</v>
      </c>
      <c r="T161" s="59">
        <v>2119</v>
      </c>
      <c r="U161" s="59"/>
      <c r="V161" s="59"/>
      <c r="W161" s="59">
        <v>28415</v>
      </c>
    </row>
    <row r="162" spans="1:23" ht="17">
      <c r="A162" s="12" t="s">
        <v>105</v>
      </c>
      <c r="B162" s="12" t="s">
        <v>32</v>
      </c>
      <c r="C162" s="12" t="s">
        <v>20</v>
      </c>
      <c r="D162" s="12">
        <v>0</v>
      </c>
      <c r="E162" s="12">
        <v>8</v>
      </c>
      <c r="F162" s="12">
        <f t="shared" si="13"/>
        <v>-8.8828936850519583E-2</v>
      </c>
      <c r="G162" s="12">
        <f t="shared" si="14"/>
        <v>12.835800678220464</v>
      </c>
      <c r="H162" s="12">
        <f t="shared" si="15"/>
        <v>0.90965052474561825</v>
      </c>
      <c r="I162" s="12">
        <v>-3.8016052290094679E-2</v>
      </c>
      <c r="J162" s="12">
        <f t="shared" si="16"/>
        <v>-5.2418998201597927E-2</v>
      </c>
      <c r="K162" s="86">
        <f t="shared" si="17"/>
        <v>1.0192307692307692</v>
      </c>
      <c r="L162" s="54"/>
      <c r="M162" s="12">
        <v>53</v>
      </c>
      <c r="N162" s="12">
        <v>52</v>
      </c>
      <c r="O162" s="87">
        <v>-1778</v>
      </c>
      <c r="P162" s="88" t="s">
        <v>79</v>
      </c>
      <c r="Q162" s="89">
        <v>0</v>
      </c>
      <c r="R162" s="89">
        <v>375420</v>
      </c>
      <c r="S162" s="89">
        <v>20016</v>
      </c>
      <c r="T162" s="89">
        <v>33919</v>
      </c>
      <c r="U162" s="89">
        <v>129640</v>
      </c>
      <c r="V162" s="89">
        <v>211861</v>
      </c>
      <c r="W162" s="59">
        <v>341501</v>
      </c>
    </row>
    <row r="163" spans="1:23" ht="17">
      <c r="A163" s="12" t="s">
        <v>106</v>
      </c>
      <c r="B163" s="12" t="s">
        <v>32</v>
      </c>
      <c r="C163" s="12" t="s">
        <v>20</v>
      </c>
      <c r="D163" s="12">
        <v>1</v>
      </c>
      <c r="E163" s="12">
        <v>4</v>
      </c>
      <c r="F163" s="12">
        <f t="shared" si="13"/>
        <v>-0.54966530737862584</v>
      </c>
      <c r="G163" s="12">
        <f t="shared" si="14"/>
        <v>12.09332379208818</v>
      </c>
      <c r="H163" s="12">
        <f t="shared" si="15"/>
        <v>0.85044354274520773</v>
      </c>
      <c r="I163" s="12">
        <v>0.10336178554339605</v>
      </c>
      <c r="J163" s="12">
        <f t="shared" si="16"/>
        <v>-2.9407978444727192</v>
      </c>
      <c r="K163" s="86">
        <f t="shared" si="17"/>
        <v>1.7021276595744681</v>
      </c>
      <c r="L163" s="54"/>
      <c r="M163" s="12">
        <v>80</v>
      </c>
      <c r="N163" s="12">
        <v>47</v>
      </c>
      <c r="O163" s="87">
        <v>-78584</v>
      </c>
      <c r="P163" s="88" t="s">
        <v>79</v>
      </c>
      <c r="Q163" s="89" t="s">
        <v>79</v>
      </c>
      <c r="R163" s="89">
        <v>178675</v>
      </c>
      <c r="S163" s="89">
        <v>142967</v>
      </c>
      <c r="T163" s="89">
        <v>26722</v>
      </c>
      <c r="U163" s="89" t="s">
        <v>79</v>
      </c>
      <c r="V163" s="89" t="s">
        <v>79</v>
      </c>
      <c r="W163" s="59">
        <v>151953</v>
      </c>
    </row>
    <row r="164" spans="1:23" ht="17">
      <c r="A164" s="12" t="s">
        <v>107</v>
      </c>
      <c r="B164" s="12" t="s">
        <v>32</v>
      </c>
      <c r="C164" s="12" t="s">
        <v>20</v>
      </c>
      <c r="D164" s="12">
        <v>0</v>
      </c>
      <c r="E164" s="12">
        <v>3</v>
      </c>
      <c r="F164" s="12">
        <f t="shared" si="13"/>
        <v>9.9618435659724006E-3</v>
      </c>
      <c r="G164" s="12">
        <f t="shared" si="14"/>
        <v>13.299506549477837</v>
      </c>
      <c r="H164" s="12">
        <f t="shared" si="15"/>
        <v>0.68972241628008668</v>
      </c>
      <c r="I164" s="12">
        <v>8.3492980185203625E-2</v>
      </c>
      <c r="J164" s="12">
        <f t="shared" si="16"/>
        <v>1.4632434329526741E-2</v>
      </c>
      <c r="K164" s="86">
        <f t="shared" si="17"/>
        <v>2.0232558139534884</v>
      </c>
      <c r="L164" s="54"/>
      <c r="M164" s="12">
        <v>87</v>
      </c>
      <c r="N164" s="12">
        <v>43</v>
      </c>
      <c r="O164" s="87">
        <v>2710</v>
      </c>
      <c r="P164" s="88">
        <v>153</v>
      </c>
      <c r="Q164" s="89">
        <v>8987</v>
      </c>
      <c r="R164" s="89">
        <v>596901</v>
      </c>
      <c r="S164" s="89">
        <v>272038</v>
      </c>
      <c r="T164" s="89">
        <v>185205</v>
      </c>
      <c r="U164" s="89">
        <v>301641</v>
      </c>
      <c r="V164" s="89">
        <v>110055</v>
      </c>
      <c r="W164" s="59">
        <v>411696</v>
      </c>
    </row>
    <row r="165" spans="1:23" ht="17">
      <c r="A165" s="12" t="s">
        <v>110</v>
      </c>
      <c r="B165" s="12" t="s">
        <v>32</v>
      </c>
      <c r="C165" s="12" t="s">
        <v>20</v>
      </c>
      <c r="D165" s="12">
        <v>1</v>
      </c>
      <c r="E165" s="12">
        <v>1</v>
      </c>
      <c r="F165" s="12">
        <f t="shared" si="13"/>
        <v>6.763322606881432E-2</v>
      </c>
      <c r="G165" s="12">
        <f t="shared" si="14"/>
        <v>13.889179147889475</v>
      </c>
      <c r="H165" s="12">
        <f t="shared" si="15"/>
        <v>0.55477356124297461</v>
      </c>
      <c r="I165" s="12">
        <v>7.3325772723201205E-2</v>
      </c>
      <c r="J165" s="12">
        <f t="shared" si="16"/>
        <v>9.97675602590639E-2</v>
      </c>
      <c r="K165" s="86">
        <f t="shared" si="17"/>
        <v>3.7241379310344827</v>
      </c>
      <c r="L165" s="54"/>
      <c r="M165" s="12">
        <v>108</v>
      </c>
      <c r="N165" s="12">
        <v>29</v>
      </c>
      <c r="O165" s="87">
        <v>47815</v>
      </c>
      <c r="P165" s="88">
        <v>632</v>
      </c>
      <c r="Q165" s="89">
        <v>103885</v>
      </c>
      <c r="R165" s="89">
        <v>1076450</v>
      </c>
      <c r="S165" s="89">
        <v>706975</v>
      </c>
      <c r="T165" s="89">
        <v>479264</v>
      </c>
      <c r="U165" s="89">
        <v>81730</v>
      </c>
      <c r="V165" s="89">
        <v>515456</v>
      </c>
      <c r="W165" s="59">
        <v>597186</v>
      </c>
    </row>
    <row r="166" spans="1:23">
      <c r="A166" s="12" t="s">
        <v>113</v>
      </c>
      <c r="B166" s="12" t="s">
        <v>32</v>
      </c>
      <c r="C166" s="12" t="s">
        <v>20</v>
      </c>
      <c r="D166" s="12">
        <v>0</v>
      </c>
      <c r="E166" s="12">
        <v>15</v>
      </c>
      <c r="F166" s="12">
        <f t="shared" si="13"/>
        <v>0.14341826450979378</v>
      </c>
      <c r="G166" s="12">
        <f t="shared" si="14"/>
        <v>10.292857153479407</v>
      </c>
      <c r="H166" s="12">
        <f t="shared" si="15"/>
        <v>0.7197926899495275</v>
      </c>
      <c r="I166" s="12">
        <v>-0.20484106273244704</v>
      </c>
      <c r="J166" s="12">
        <f t="shared" si="16"/>
        <v>0.6709381044487428</v>
      </c>
      <c r="K166" s="86">
        <f t="shared" si="17"/>
        <v>0.65671641791044777</v>
      </c>
      <c r="L166" s="54"/>
      <c r="M166" s="12">
        <v>44</v>
      </c>
      <c r="N166" s="12">
        <v>67</v>
      </c>
      <c r="O166" s="53">
        <v>5550</v>
      </c>
      <c r="P166" s="54"/>
      <c r="Q166" s="55"/>
      <c r="R166" s="59">
        <v>29521</v>
      </c>
      <c r="S166" s="59">
        <v>38698</v>
      </c>
      <c r="T166" s="59">
        <v>8272</v>
      </c>
      <c r="U166" s="59"/>
      <c r="V166" s="59"/>
      <c r="W166" s="59">
        <v>21249</v>
      </c>
    </row>
    <row r="167" spans="1:23" ht="17">
      <c r="A167" s="12" t="s">
        <v>125</v>
      </c>
      <c r="B167" s="12" t="s">
        <v>32</v>
      </c>
      <c r="C167" s="12" t="s">
        <v>20</v>
      </c>
      <c r="D167" s="12">
        <v>0</v>
      </c>
      <c r="E167" s="12">
        <v>5</v>
      </c>
      <c r="F167" s="12">
        <f t="shared" si="13"/>
        <v>8.5934025203854708E-2</v>
      </c>
      <c r="G167" s="12">
        <f t="shared" si="14"/>
        <v>11.304769043464267</v>
      </c>
      <c r="H167" s="12">
        <f t="shared" si="15"/>
        <v>0.78372820411782096</v>
      </c>
      <c r="I167" s="12">
        <v>-0.2890083537565552</v>
      </c>
      <c r="J167" s="12">
        <f t="shared" si="16"/>
        <v>0.26402095314012414</v>
      </c>
      <c r="K167" s="86">
        <f t="shared" si="17"/>
        <v>1.1363636363636365</v>
      </c>
      <c r="L167" s="54"/>
      <c r="M167" s="12">
        <v>50</v>
      </c>
      <c r="N167" s="12">
        <v>44</v>
      </c>
      <c r="O167" s="87">
        <v>4637</v>
      </c>
      <c r="P167" s="88" t="s">
        <v>79</v>
      </c>
      <c r="Q167" s="89" t="s">
        <v>79</v>
      </c>
      <c r="R167" s="89">
        <v>81208</v>
      </c>
      <c r="S167" s="89">
        <v>53960</v>
      </c>
      <c r="T167" s="89">
        <v>17563</v>
      </c>
      <c r="U167" s="89" t="s">
        <v>79</v>
      </c>
      <c r="V167" s="89" t="s">
        <v>79</v>
      </c>
      <c r="W167" s="59">
        <v>63645</v>
      </c>
    </row>
    <row r="168" spans="1:23">
      <c r="A168" s="12" t="s">
        <v>128</v>
      </c>
      <c r="B168" s="12" t="s">
        <v>32</v>
      </c>
      <c r="C168" s="12" t="s">
        <v>20</v>
      </c>
      <c r="D168" s="12">
        <v>0</v>
      </c>
      <c r="E168" s="12">
        <v>18</v>
      </c>
      <c r="F168" s="12">
        <f t="shared" si="13"/>
        <v>-1.1262517597683746E-2</v>
      </c>
      <c r="G168" s="12">
        <f t="shared" si="14"/>
        <v>10.31982665719617</v>
      </c>
      <c r="H168" s="12">
        <f t="shared" si="15"/>
        <v>0.98196386177789496</v>
      </c>
      <c r="I168" s="12">
        <v>2.7259332023575639E-2</v>
      </c>
      <c r="J168" s="12">
        <f t="shared" si="16"/>
        <v>-0.77513711151736742</v>
      </c>
      <c r="K168" s="86">
        <f t="shared" si="17"/>
        <v>0.70370370370370372</v>
      </c>
      <c r="L168" s="54"/>
      <c r="M168" s="12">
        <v>38</v>
      </c>
      <c r="N168" s="12">
        <v>54</v>
      </c>
      <c r="O168" s="53">
        <v>-424</v>
      </c>
      <c r="P168" s="56"/>
      <c r="Q168" s="57"/>
      <c r="R168" s="55">
        <v>30328</v>
      </c>
      <c r="S168" s="59">
        <v>37647</v>
      </c>
      <c r="T168" s="59">
        <v>547</v>
      </c>
      <c r="U168" s="59"/>
      <c r="V168" s="59"/>
      <c r="W168" s="59">
        <v>29781</v>
      </c>
    </row>
    <row r="169" spans="1:23">
      <c r="A169" s="12" t="s">
        <v>130</v>
      </c>
      <c r="B169" s="12" t="s">
        <v>32</v>
      </c>
      <c r="C169" s="12" t="s">
        <v>20</v>
      </c>
      <c r="D169" s="12">
        <v>0</v>
      </c>
      <c r="E169" s="12">
        <v>19</v>
      </c>
      <c r="F169" s="12">
        <f t="shared" si="13"/>
        <v>5.2586453272363533E-2</v>
      </c>
      <c r="G169" s="12">
        <f t="shared" si="14"/>
        <v>8.527539483470381</v>
      </c>
      <c r="H169" s="12">
        <f t="shared" si="15"/>
        <v>0.72367379255740305</v>
      </c>
      <c r="I169" s="12">
        <v>-6.8246661848061774E-2</v>
      </c>
      <c r="J169" s="12">
        <f t="shared" si="16"/>
        <v>0.92263610315186251</v>
      </c>
      <c r="K169" s="86">
        <f t="shared" si="17"/>
        <v>0.5423728813559322</v>
      </c>
      <c r="L169" s="54"/>
      <c r="M169" s="12">
        <v>32</v>
      </c>
      <c r="N169" s="12">
        <v>59</v>
      </c>
      <c r="O169" s="53">
        <v>1288</v>
      </c>
      <c r="P169" s="56"/>
      <c r="Q169" s="55"/>
      <c r="R169" s="55">
        <v>5052</v>
      </c>
      <c r="S169" s="59">
        <v>24493</v>
      </c>
      <c r="T169" s="59">
        <v>1396</v>
      </c>
      <c r="U169" s="59"/>
      <c r="V169" s="59"/>
      <c r="W169" s="59">
        <v>3656</v>
      </c>
    </row>
    <row r="170" spans="1:23">
      <c r="A170" s="5" t="s">
        <v>36</v>
      </c>
      <c r="B170" s="5" t="s">
        <v>37</v>
      </c>
      <c r="C170" s="5" t="s">
        <v>24</v>
      </c>
      <c r="D170" s="5">
        <v>0</v>
      </c>
      <c r="E170" s="5">
        <v>5</v>
      </c>
      <c r="F170" s="5">
        <f t="shared" si="13"/>
        <v>-0.12229511272604128</v>
      </c>
      <c r="G170" s="5">
        <f t="shared" si="14"/>
        <v>13.794257299010576</v>
      </c>
      <c r="H170" s="5">
        <f t="shared" si="15"/>
        <v>0.7691800880720675</v>
      </c>
      <c r="I170" s="5">
        <v>1.7842862893578518E-2</v>
      </c>
      <c r="J170" s="5">
        <f t="shared" si="16"/>
        <v>-0.23652673411044139</v>
      </c>
      <c r="K170" s="5">
        <f>M170/N170</f>
        <v>1.2708333333333333</v>
      </c>
      <c r="L170" s="5"/>
      <c r="M170" s="5">
        <v>61</v>
      </c>
      <c r="N170" s="5">
        <v>48</v>
      </c>
      <c r="O170" s="21">
        <v>-53447</v>
      </c>
      <c r="P170" s="22">
        <v>649</v>
      </c>
      <c r="Q170" s="23">
        <v>0</v>
      </c>
      <c r="R170" s="23">
        <v>978971</v>
      </c>
      <c r="S170" s="23">
        <v>437033</v>
      </c>
      <c r="T170" s="23">
        <v>225966</v>
      </c>
      <c r="U170" s="23">
        <v>433857</v>
      </c>
      <c r="V170" s="23">
        <v>319148</v>
      </c>
      <c r="W170" s="23">
        <f t="shared" ref="W170:W189" si="18">U170+V170</f>
        <v>753005</v>
      </c>
    </row>
    <row r="171" spans="1:23">
      <c r="A171" s="5" t="s">
        <v>40</v>
      </c>
      <c r="B171" s="5" t="s">
        <v>37</v>
      </c>
      <c r="C171" s="5" t="s">
        <v>24</v>
      </c>
      <c r="D171" s="5">
        <v>0</v>
      </c>
      <c r="E171" s="5">
        <v>14</v>
      </c>
      <c r="F171" s="5">
        <f t="shared" si="13"/>
        <v>3.9528526437235603E-2</v>
      </c>
      <c r="G171" s="5">
        <f t="shared" si="14"/>
        <v>12.605184279666164</v>
      </c>
      <c r="H171" s="5">
        <f t="shared" si="15"/>
        <v>1.0877859778597787</v>
      </c>
      <c r="I171" s="5">
        <v>-0.17811193517890792</v>
      </c>
      <c r="J171" s="5">
        <f t="shared" si="16"/>
        <v>-0.29064924146891358</v>
      </c>
      <c r="K171" s="5">
        <f t="shared" ref="K171:K234" si="19">M171/N171</f>
        <v>0.96296296296296291</v>
      </c>
      <c r="L171" s="5"/>
      <c r="M171" s="5">
        <v>52</v>
      </c>
      <c r="N171" s="5">
        <v>54</v>
      </c>
      <c r="O171" s="21">
        <v>7606</v>
      </c>
      <c r="P171" s="22">
        <v>642</v>
      </c>
      <c r="Q171" s="23">
        <v>275311</v>
      </c>
      <c r="R171" s="23">
        <v>298100</v>
      </c>
      <c r="S171" s="23">
        <v>192418</v>
      </c>
      <c r="T171" s="23">
        <v>-26169</v>
      </c>
      <c r="U171" s="23">
        <v>0</v>
      </c>
      <c r="V171" s="23">
        <v>324269</v>
      </c>
      <c r="W171" s="23">
        <f t="shared" si="18"/>
        <v>324269</v>
      </c>
    </row>
    <row r="172" spans="1:23">
      <c r="A172" s="5" t="s">
        <v>50</v>
      </c>
      <c r="B172" s="5" t="s">
        <v>37</v>
      </c>
      <c r="C172" s="5" t="s">
        <v>24</v>
      </c>
      <c r="D172" s="5">
        <v>0</v>
      </c>
      <c r="E172" s="5">
        <v>13</v>
      </c>
      <c r="F172" s="5">
        <f t="shared" si="13"/>
        <v>0.18214690090945615</v>
      </c>
      <c r="G172" s="5">
        <f t="shared" si="14"/>
        <v>12.236616399440733</v>
      </c>
      <c r="H172" s="5">
        <f t="shared" si="15"/>
        <v>0.732671202649816</v>
      </c>
      <c r="I172" s="5">
        <v>0.15903133999999999</v>
      </c>
      <c r="J172" s="5">
        <f t="shared" si="16"/>
        <v>0.54281256802844491</v>
      </c>
      <c r="K172" s="5">
        <f t="shared" si="19"/>
        <v>0.8571428571428571</v>
      </c>
      <c r="L172" s="5"/>
      <c r="M172" s="5">
        <v>48</v>
      </c>
      <c r="N172" s="5">
        <v>56</v>
      </c>
      <c r="O172" s="21">
        <v>29922</v>
      </c>
      <c r="P172" s="22">
        <v>190</v>
      </c>
      <c r="Q172" s="23">
        <v>27324</v>
      </c>
      <c r="R172" s="23">
        <v>206203</v>
      </c>
      <c r="S172" s="23">
        <v>164274</v>
      </c>
      <c r="T172" s="23">
        <v>55124</v>
      </c>
      <c r="U172" s="23">
        <v>72809</v>
      </c>
      <c r="V172" s="23">
        <v>78270</v>
      </c>
      <c r="W172" s="23">
        <f t="shared" si="18"/>
        <v>151079</v>
      </c>
    </row>
    <row r="173" spans="1:23">
      <c r="A173" s="5" t="s">
        <v>51</v>
      </c>
      <c r="B173" s="5" t="s">
        <v>37</v>
      </c>
      <c r="C173" s="5" t="s">
        <v>24</v>
      </c>
      <c r="D173" s="5">
        <v>0</v>
      </c>
      <c r="E173" s="5">
        <v>9</v>
      </c>
      <c r="F173" s="5">
        <f t="shared" si="13"/>
        <v>0.16362341561382476</v>
      </c>
      <c r="G173" s="5">
        <f t="shared" si="14"/>
        <v>12.501763809412871</v>
      </c>
      <c r="H173" s="5">
        <f t="shared" si="15"/>
        <v>1.9162087860987831</v>
      </c>
      <c r="I173" s="5">
        <v>-4.301077826426733E-2</v>
      </c>
      <c r="J173" s="5">
        <f t="shared" si="16"/>
        <v>-0.12967391701551442</v>
      </c>
      <c r="K173" s="5">
        <f t="shared" si="19"/>
        <v>0.95454545454545459</v>
      </c>
      <c r="L173" s="5"/>
      <c r="M173" s="5">
        <v>42</v>
      </c>
      <c r="N173" s="5">
        <v>44</v>
      </c>
      <c r="O173" s="21">
        <v>31937</v>
      </c>
      <c r="P173" s="22">
        <v>828</v>
      </c>
      <c r="Q173" s="23">
        <v>395201</v>
      </c>
      <c r="R173" s="23">
        <v>268811</v>
      </c>
      <c r="S173" s="23">
        <v>195186</v>
      </c>
      <c r="T173" s="23">
        <v>-246287</v>
      </c>
      <c r="U173" s="23">
        <v>12695</v>
      </c>
      <c r="V173" s="23">
        <v>502403</v>
      </c>
      <c r="W173" s="23">
        <f t="shared" si="18"/>
        <v>515098</v>
      </c>
    </row>
    <row r="174" spans="1:23">
      <c r="A174" s="5" t="s">
        <v>52</v>
      </c>
      <c r="B174" s="5" t="s">
        <v>37</v>
      </c>
      <c r="C174" s="5" t="s">
        <v>24</v>
      </c>
      <c r="D174" s="5">
        <v>0</v>
      </c>
      <c r="E174" s="5">
        <v>18</v>
      </c>
      <c r="F174" s="5">
        <f t="shared" si="13"/>
        <v>0.25295083301676885</v>
      </c>
      <c r="G174" s="5">
        <f t="shared" si="14"/>
        <v>12.524962645106148</v>
      </c>
      <c r="H174" s="5">
        <f t="shared" si="15"/>
        <v>0.52979063681302707</v>
      </c>
      <c r="I174" s="5">
        <v>1.7430286695986265E-2</v>
      </c>
      <c r="J174" s="5">
        <f t="shared" si="16"/>
        <v>0.28824866268822857</v>
      </c>
      <c r="K174" s="5">
        <f t="shared" si="19"/>
        <v>0.64150943396226412</v>
      </c>
      <c r="L174" s="5"/>
      <c r="M174" s="5">
        <v>34</v>
      </c>
      <c r="N174" s="5">
        <v>53</v>
      </c>
      <c r="O174" s="21">
        <v>37289</v>
      </c>
      <c r="P174" s="22">
        <v>273</v>
      </c>
      <c r="Q174" s="23">
        <v>20059</v>
      </c>
      <c r="R174" s="23">
        <v>275120</v>
      </c>
      <c r="S174" s="23">
        <v>147416</v>
      </c>
      <c r="T174" s="23">
        <v>129364</v>
      </c>
      <c r="U174" s="23">
        <v>38369</v>
      </c>
      <c r="V174" s="23">
        <v>107387</v>
      </c>
      <c r="W174" s="23">
        <f t="shared" si="18"/>
        <v>145756</v>
      </c>
    </row>
    <row r="175" spans="1:23">
      <c r="A175" s="5" t="s">
        <v>57</v>
      </c>
      <c r="B175" s="5" t="s">
        <v>37</v>
      </c>
      <c r="C175" s="5" t="s">
        <v>24</v>
      </c>
      <c r="D175" s="5">
        <v>1</v>
      </c>
      <c r="E175" s="5">
        <v>3</v>
      </c>
      <c r="F175" s="5">
        <f t="shared" si="13"/>
        <v>-0.25200065589431547</v>
      </c>
      <c r="G175" s="5">
        <f t="shared" si="14"/>
        <v>13.834276373446992</v>
      </c>
      <c r="H175" s="5">
        <f t="shared" si="15"/>
        <v>0.49564499682514135</v>
      </c>
      <c r="I175" s="5">
        <v>-2.4165516555855481E-2</v>
      </c>
      <c r="J175" s="5">
        <f t="shared" si="16"/>
        <v>-0.27512458431356523</v>
      </c>
      <c r="K175" s="5">
        <f t="shared" si="19"/>
        <v>2.3030303030303032</v>
      </c>
      <c r="L175" s="5"/>
      <c r="M175" s="5">
        <v>76</v>
      </c>
      <c r="N175" s="5">
        <v>33</v>
      </c>
      <c r="O175" s="21">
        <v>-141389</v>
      </c>
      <c r="P175" s="22">
        <v>788</v>
      </c>
      <c r="Q175" s="23">
        <v>0</v>
      </c>
      <c r="R175" s="23">
        <v>1018943</v>
      </c>
      <c r="S175" s="23">
        <v>561066</v>
      </c>
      <c r="T175" s="23">
        <v>513909</v>
      </c>
      <c r="U175" s="23">
        <v>93836</v>
      </c>
      <c r="V175" s="23">
        <v>411198</v>
      </c>
      <c r="W175" s="23">
        <f t="shared" si="18"/>
        <v>505034</v>
      </c>
    </row>
    <row r="176" spans="1:23">
      <c r="A176" s="5" t="s">
        <v>59</v>
      </c>
      <c r="B176" s="5" t="s">
        <v>37</v>
      </c>
      <c r="C176" s="5" t="s">
        <v>24</v>
      </c>
      <c r="D176" s="5">
        <v>0</v>
      </c>
      <c r="E176" s="5">
        <v>12</v>
      </c>
      <c r="F176" s="5">
        <f t="shared" si="13"/>
        <v>-0.17144482153013457</v>
      </c>
      <c r="G176" s="5">
        <f t="shared" si="14"/>
        <v>12.071008650498905</v>
      </c>
      <c r="H176" s="5">
        <f t="shared" si="15"/>
        <v>0.89993246800814963</v>
      </c>
      <c r="I176" s="5">
        <v>-1.0414605344124372E-2</v>
      </c>
      <c r="J176" s="5">
        <f t="shared" si="16"/>
        <v>4.0518463810930578</v>
      </c>
      <c r="K176" s="5">
        <f t="shared" si="19"/>
        <v>1.0869565217391304</v>
      </c>
      <c r="L176" s="5"/>
      <c r="M176" s="5">
        <v>50</v>
      </c>
      <c r="N176" s="5">
        <v>46</v>
      </c>
      <c r="O176" s="21">
        <v>-27431</v>
      </c>
      <c r="P176" s="22">
        <v>295</v>
      </c>
      <c r="Q176" s="23">
        <v>30000</v>
      </c>
      <c r="R176" s="23">
        <v>174732</v>
      </c>
      <c r="S176" s="23">
        <v>159999</v>
      </c>
      <c r="T176" s="23">
        <v>-6770</v>
      </c>
      <c r="U176" s="23">
        <v>63286</v>
      </c>
      <c r="V176" s="23">
        <v>93961</v>
      </c>
      <c r="W176" s="23">
        <f t="shared" si="18"/>
        <v>157247</v>
      </c>
    </row>
    <row r="177" spans="1:23">
      <c r="A177" s="5" t="s">
        <v>68</v>
      </c>
      <c r="B177" s="5" t="s">
        <v>37</v>
      </c>
      <c r="C177" s="5" t="s">
        <v>24</v>
      </c>
      <c r="D177" s="5">
        <v>0</v>
      </c>
      <c r="E177" s="5">
        <v>16</v>
      </c>
      <c r="F177" s="5">
        <f t="shared" si="13"/>
        <v>-0.24712935099400515</v>
      </c>
      <c r="G177" s="5">
        <f t="shared" si="14"/>
        <v>13.352253717865493</v>
      </c>
      <c r="H177" s="5">
        <f t="shared" si="15"/>
        <v>0.56578903455169882</v>
      </c>
      <c r="I177" s="5">
        <v>7.1975497767130109E-3</v>
      </c>
      <c r="J177" s="5">
        <f t="shared" si="16"/>
        <v>-0.19086520337165425</v>
      </c>
      <c r="K177" s="5">
        <f t="shared" si="19"/>
        <v>0.65151515151515149</v>
      </c>
      <c r="L177" s="5"/>
      <c r="M177" s="5">
        <v>43</v>
      </c>
      <c r="N177" s="5">
        <v>66</v>
      </c>
      <c r="O177" s="21">
        <v>-52148</v>
      </c>
      <c r="P177" s="22">
        <v>442</v>
      </c>
      <c r="Q177" s="23">
        <v>16825</v>
      </c>
      <c r="R177" s="23">
        <v>629231</v>
      </c>
      <c r="S177" s="23">
        <v>211015</v>
      </c>
      <c r="T177" s="23">
        <v>273219</v>
      </c>
      <c r="U177" s="23">
        <v>208672</v>
      </c>
      <c r="V177" s="23">
        <v>147340</v>
      </c>
      <c r="W177" s="23">
        <f t="shared" si="18"/>
        <v>356012</v>
      </c>
    </row>
    <row r="178" spans="1:23">
      <c r="A178" s="5" t="s">
        <v>90</v>
      </c>
      <c r="B178" s="5" t="s">
        <v>37</v>
      </c>
      <c r="C178" s="5" t="s">
        <v>24</v>
      </c>
      <c r="D178" s="5">
        <v>0</v>
      </c>
      <c r="E178" s="5">
        <v>17</v>
      </c>
      <c r="F178" s="5">
        <f t="shared" si="13"/>
        <v>-0.19402105415869503</v>
      </c>
      <c r="G178" s="5">
        <f t="shared" si="14"/>
        <v>12.333863216124113</v>
      </c>
      <c r="H178" s="5">
        <f t="shared" si="15"/>
        <v>1.3075247620598163</v>
      </c>
      <c r="I178" s="5">
        <v>0.49061324099999998</v>
      </c>
      <c r="J178" s="5">
        <f t="shared" si="16"/>
        <v>0.61233366719130067</v>
      </c>
      <c r="K178" s="5">
        <f t="shared" si="19"/>
        <v>0.53164556962025311</v>
      </c>
      <c r="L178" s="5"/>
      <c r="M178" s="5">
        <v>42</v>
      </c>
      <c r="N178" s="5">
        <v>79</v>
      </c>
      <c r="O178" s="21">
        <v>-42796</v>
      </c>
      <c r="P178" s="22">
        <v>999</v>
      </c>
      <c r="Q178" s="23">
        <v>58339</v>
      </c>
      <c r="R178" s="23">
        <v>227263</v>
      </c>
      <c r="S178" s="23">
        <v>220574</v>
      </c>
      <c r="T178" s="23">
        <v>-69890</v>
      </c>
      <c r="U178" s="23">
        <v>106058</v>
      </c>
      <c r="V178" s="23">
        <v>191094</v>
      </c>
      <c r="W178" s="23">
        <f t="shared" si="18"/>
        <v>297152</v>
      </c>
    </row>
    <row r="179" spans="1:23">
      <c r="A179" s="5" t="s">
        <v>91</v>
      </c>
      <c r="B179" s="5" t="s">
        <v>37</v>
      </c>
      <c r="C179" s="5" t="s">
        <v>24</v>
      </c>
      <c r="D179" s="5">
        <v>0</v>
      </c>
      <c r="E179" s="5">
        <v>8</v>
      </c>
      <c r="F179" s="5">
        <f t="shared" si="13"/>
        <v>-0.43103407252307985</v>
      </c>
      <c r="G179" s="5">
        <f t="shared" si="14"/>
        <v>13.161407151827953</v>
      </c>
      <c r="H179" s="5">
        <f t="shared" si="15"/>
        <v>1.1013890919162621</v>
      </c>
      <c r="I179" s="5">
        <v>-0.1782759705970702</v>
      </c>
      <c r="J179" s="5">
        <f t="shared" si="16"/>
        <v>2.0619771213932045</v>
      </c>
      <c r="K179" s="5">
        <f t="shared" si="19"/>
        <v>1.0508474576271187</v>
      </c>
      <c r="L179" s="5"/>
      <c r="M179" s="5">
        <v>62</v>
      </c>
      <c r="N179" s="5">
        <v>59</v>
      </c>
      <c r="O179" s="21">
        <v>-108693</v>
      </c>
      <c r="P179" s="22">
        <v>467</v>
      </c>
      <c r="Q179" s="23">
        <v>60426</v>
      </c>
      <c r="R179" s="23">
        <v>519908</v>
      </c>
      <c r="S179" s="23">
        <v>252168</v>
      </c>
      <c r="T179" s="23">
        <v>-52713</v>
      </c>
      <c r="U179" s="23">
        <v>403931</v>
      </c>
      <c r="V179" s="23">
        <v>168690</v>
      </c>
      <c r="W179" s="23">
        <f t="shared" si="18"/>
        <v>572621</v>
      </c>
    </row>
    <row r="180" spans="1:23">
      <c r="A180" s="5" t="s">
        <v>93</v>
      </c>
      <c r="B180" s="5" t="s">
        <v>37</v>
      </c>
      <c r="C180" s="5" t="s">
        <v>24</v>
      </c>
      <c r="D180" s="5">
        <v>0</v>
      </c>
      <c r="E180" s="5">
        <v>2</v>
      </c>
      <c r="F180" s="5">
        <f t="shared" si="13"/>
        <v>4.0997456811620765E-3</v>
      </c>
      <c r="G180" s="5">
        <f t="shared" si="14"/>
        <v>13.58697499585235</v>
      </c>
      <c r="H180" s="5">
        <f t="shared" si="15"/>
        <v>0.70216841062815294</v>
      </c>
      <c r="I180" s="5">
        <v>-6.4984047815518586E-2</v>
      </c>
      <c r="J180" s="5">
        <f t="shared" si="16"/>
        <v>1.2080984370252843E-2</v>
      </c>
      <c r="K180" s="5">
        <f t="shared" si="19"/>
        <v>3.6153846153846154</v>
      </c>
      <c r="L180" s="5"/>
      <c r="M180" s="5">
        <v>94</v>
      </c>
      <c r="N180" s="5">
        <v>26</v>
      </c>
      <c r="O180" s="21">
        <v>2863</v>
      </c>
      <c r="P180" s="22">
        <v>1005</v>
      </c>
      <c r="Q180" s="23">
        <v>83903</v>
      </c>
      <c r="R180" s="23">
        <v>795698</v>
      </c>
      <c r="S180" s="23">
        <v>698336</v>
      </c>
      <c r="T180" s="23">
        <v>236984</v>
      </c>
      <c r="U180" s="23">
        <v>174231</v>
      </c>
      <c r="V180" s="23">
        <v>384483</v>
      </c>
      <c r="W180" s="23">
        <f t="shared" si="18"/>
        <v>558714</v>
      </c>
    </row>
    <row r="181" spans="1:23">
      <c r="A181" s="5" t="s">
        <v>96</v>
      </c>
      <c r="B181" s="5" t="s">
        <v>37</v>
      </c>
      <c r="C181" s="5" t="s">
        <v>24</v>
      </c>
      <c r="D181" s="5">
        <v>0</v>
      </c>
      <c r="E181" s="5">
        <v>1</v>
      </c>
      <c r="F181" s="5">
        <f t="shared" si="13"/>
        <v>6.8067647857248809E-2</v>
      </c>
      <c r="G181" s="5">
        <f t="shared" si="14"/>
        <v>14.221589477651561</v>
      </c>
      <c r="H181" s="5">
        <f t="shared" si="15"/>
        <v>0.45783155808999942</v>
      </c>
      <c r="I181" s="5">
        <v>-4.9412320077129951E-2</v>
      </c>
      <c r="J181" s="5">
        <f t="shared" si="16"/>
        <v>5.9777499505376953E-2</v>
      </c>
      <c r="K181" s="5">
        <f t="shared" si="19"/>
        <v>3.8076923076923075</v>
      </c>
      <c r="L181" s="5"/>
      <c r="M181" s="5">
        <v>99</v>
      </c>
      <c r="N181" s="5">
        <v>26</v>
      </c>
      <c r="O181" s="21">
        <v>48644</v>
      </c>
      <c r="P181" s="22">
        <v>549</v>
      </c>
      <c r="Q181" s="23">
        <v>57831</v>
      </c>
      <c r="R181" s="23">
        <v>1500921</v>
      </c>
      <c r="S181" s="23">
        <v>714642</v>
      </c>
      <c r="T181" s="23">
        <v>813751</v>
      </c>
      <c r="U181" s="23">
        <v>152122</v>
      </c>
      <c r="V181" s="23">
        <v>535047</v>
      </c>
      <c r="W181" s="23">
        <f t="shared" si="18"/>
        <v>687169</v>
      </c>
    </row>
    <row r="182" spans="1:23">
      <c r="A182" s="5" t="s">
        <v>97</v>
      </c>
      <c r="B182" s="5" t="s">
        <v>37</v>
      </c>
      <c r="C182" s="5" t="s">
        <v>24</v>
      </c>
      <c r="D182" s="5">
        <v>1</v>
      </c>
      <c r="E182" s="5">
        <v>6</v>
      </c>
      <c r="F182" s="5">
        <f t="shared" si="13"/>
        <v>-0.19806232506284133</v>
      </c>
      <c r="G182" s="5">
        <f t="shared" si="14"/>
        <v>14.226383683018719</v>
      </c>
      <c r="H182" s="5">
        <f t="shared" si="15"/>
        <v>0.90143714020106969</v>
      </c>
      <c r="I182" s="5">
        <v>4.917425639529481E-3</v>
      </c>
      <c r="J182" s="5">
        <f t="shared" si="16"/>
        <v>-0.90590459276002877</v>
      </c>
      <c r="K182" s="5">
        <f t="shared" si="19"/>
        <v>1</v>
      </c>
      <c r="L182" s="5"/>
      <c r="M182" s="5">
        <v>57</v>
      </c>
      <c r="N182" s="5">
        <v>57</v>
      </c>
      <c r="O182" s="21">
        <v>-134660</v>
      </c>
      <c r="P182" s="22">
        <v>1035</v>
      </c>
      <c r="Q182" s="23">
        <v>0</v>
      </c>
      <c r="R182" s="23">
        <v>1508134</v>
      </c>
      <c r="S182" s="23">
        <v>679887</v>
      </c>
      <c r="T182" s="23">
        <v>148647</v>
      </c>
      <c r="U182" s="23">
        <v>782609</v>
      </c>
      <c r="V182" s="23">
        <v>576879</v>
      </c>
      <c r="W182" s="23">
        <f t="shared" si="18"/>
        <v>1359488</v>
      </c>
    </row>
    <row r="183" spans="1:23">
      <c r="A183" s="5" t="s">
        <v>102</v>
      </c>
      <c r="B183" s="5" t="s">
        <v>37</v>
      </c>
      <c r="C183" s="5" t="s">
        <v>24</v>
      </c>
      <c r="D183" s="5">
        <v>0</v>
      </c>
      <c r="E183" s="5">
        <v>11</v>
      </c>
      <c r="F183" s="5">
        <f t="shared" si="13"/>
        <v>-0.39253187179792687</v>
      </c>
      <c r="G183" s="5">
        <f t="shared" si="14"/>
        <v>12.735532567302572</v>
      </c>
      <c r="H183" s="5">
        <f t="shared" si="15"/>
        <v>0.66788868178431871</v>
      </c>
      <c r="I183" s="5">
        <v>-1.7482340152415871E-4</v>
      </c>
      <c r="J183" s="5">
        <f t="shared" si="16"/>
        <v>-0.73025907470785378</v>
      </c>
      <c r="K183" s="5">
        <f t="shared" si="19"/>
        <v>0.70967741935483875</v>
      </c>
      <c r="L183" s="5"/>
      <c r="M183" s="5">
        <v>44</v>
      </c>
      <c r="N183" s="5">
        <v>62</v>
      </c>
      <c r="O183" s="21">
        <v>-82363</v>
      </c>
      <c r="P183" s="22">
        <v>289</v>
      </c>
      <c r="Q183" s="23">
        <v>11335</v>
      </c>
      <c r="R183" s="23">
        <v>339603</v>
      </c>
      <c r="S183" s="23">
        <v>209825</v>
      </c>
      <c r="T183" s="23">
        <v>112786</v>
      </c>
      <c r="U183" s="23">
        <v>56670</v>
      </c>
      <c r="V183" s="23">
        <v>170147</v>
      </c>
      <c r="W183" s="23">
        <f t="shared" si="18"/>
        <v>226817</v>
      </c>
    </row>
    <row r="184" spans="1:23">
      <c r="A184" s="5" t="s">
        <v>104</v>
      </c>
      <c r="B184" s="5" t="s">
        <v>37</v>
      </c>
      <c r="C184" s="5" t="s">
        <v>24</v>
      </c>
      <c r="D184" s="5">
        <v>0</v>
      </c>
      <c r="E184" s="5">
        <v>20</v>
      </c>
      <c r="F184" s="5">
        <f t="shared" si="13"/>
        <v>-0.13342774025707732</v>
      </c>
      <c r="G184" s="5">
        <f t="shared" si="14"/>
        <v>12.000093440385545</v>
      </c>
      <c r="H184" s="5">
        <f t="shared" si="15"/>
        <v>0.98061067764330034</v>
      </c>
      <c r="I184" s="5">
        <v>0.19504364599999999</v>
      </c>
      <c r="J184" s="5">
        <f t="shared" si="16"/>
        <v>-6.5979087452471479</v>
      </c>
      <c r="K184" s="5">
        <f t="shared" si="19"/>
        <v>0.27380952380952384</v>
      </c>
      <c r="L184" s="5"/>
      <c r="M184" s="5">
        <v>23</v>
      </c>
      <c r="N184" s="5">
        <v>84</v>
      </c>
      <c r="O184" s="21">
        <v>-20823</v>
      </c>
      <c r="P184" s="22">
        <v>354</v>
      </c>
      <c r="Q184" s="23">
        <v>27370</v>
      </c>
      <c r="R184" s="23">
        <v>162770</v>
      </c>
      <c r="S184" s="23">
        <v>156062</v>
      </c>
      <c r="T184" s="23">
        <v>3156</v>
      </c>
      <c r="U184" s="23">
        <v>62341</v>
      </c>
      <c r="V184" s="23">
        <v>97273</v>
      </c>
      <c r="W184" s="23">
        <f t="shared" si="18"/>
        <v>159614</v>
      </c>
    </row>
    <row r="185" spans="1:23">
      <c r="A185" s="5" t="s">
        <v>121</v>
      </c>
      <c r="B185" s="5" t="s">
        <v>37</v>
      </c>
      <c r="C185" s="5" t="s">
        <v>24</v>
      </c>
      <c r="D185" s="5">
        <v>0</v>
      </c>
      <c r="E185" s="5">
        <v>15</v>
      </c>
      <c r="F185" s="5">
        <f t="shared" si="13"/>
        <v>-2.8929384965831435E-2</v>
      </c>
      <c r="G185" s="5">
        <f t="shared" si="14"/>
        <v>12.212914188710526</v>
      </c>
      <c r="H185" s="5">
        <f t="shared" si="15"/>
        <v>1.0098473976153706</v>
      </c>
      <c r="I185" s="5">
        <v>2.2242466734946099E-4</v>
      </c>
      <c r="J185" s="5">
        <f t="shared" si="16"/>
        <v>2.5617750882501262</v>
      </c>
      <c r="K185" s="5">
        <f t="shared" si="19"/>
        <v>0.64179104477611937</v>
      </c>
      <c r="L185" s="5"/>
      <c r="M185" s="5">
        <v>43</v>
      </c>
      <c r="N185" s="5">
        <v>67</v>
      </c>
      <c r="O185" s="21">
        <v>-5080</v>
      </c>
      <c r="P185" s="22">
        <v>408</v>
      </c>
      <c r="Q185" s="23">
        <v>91980</v>
      </c>
      <c r="R185" s="23">
        <v>201373</v>
      </c>
      <c r="S185" s="23">
        <v>175600</v>
      </c>
      <c r="T185" s="23">
        <v>-1983</v>
      </c>
      <c r="U185" s="23">
        <v>41669</v>
      </c>
      <c r="V185" s="23">
        <v>161687</v>
      </c>
      <c r="W185" s="23">
        <f t="shared" si="18"/>
        <v>203356</v>
      </c>
    </row>
    <row r="186" spans="1:23">
      <c r="A186" s="5" t="s">
        <v>127</v>
      </c>
      <c r="B186" s="5" t="s">
        <v>37</v>
      </c>
      <c r="C186" s="5" t="s">
        <v>24</v>
      </c>
      <c r="D186" s="5">
        <v>0</v>
      </c>
      <c r="E186" s="5">
        <v>4</v>
      </c>
      <c r="F186" s="5">
        <f t="shared" si="13"/>
        <v>-0.11302584896097313</v>
      </c>
      <c r="G186" s="5">
        <f t="shared" si="14"/>
        <v>14.589669822354679</v>
      </c>
      <c r="H186" s="5">
        <f t="shared" si="15"/>
        <v>0.90472517115708084</v>
      </c>
      <c r="I186" s="5">
        <v>-3.3448942757147306E-2</v>
      </c>
      <c r="J186" s="5">
        <f t="shared" si="16"/>
        <v>-0.28275935497609228</v>
      </c>
      <c r="K186" s="5">
        <f t="shared" si="19"/>
        <v>1.7250000000000001</v>
      </c>
      <c r="L186" s="5"/>
      <c r="M186" s="5">
        <v>69</v>
      </c>
      <c r="N186" s="5">
        <v>40</v>
      </c>
      <c r="O186" s="21">
        <v>-58426</v>
      </c>
      <c r="P186" s="22">
        <v>719</v>
      </c>
      <c r="Q186" s="23">
        <v>2376</v>
      </c>
      <c r="R186" s="23">
        <v>2168768</v>
      </c>
      <c r="S186" s="23">
        <v>516926</v>
      </c>
      <c r="T186" s="23">
        <v>206628</v>
      </c>
      <c r="U186" s="23">
        <v>1358642</v>
      </c>
      <c r="V186" s="23">
        <v>603497</v>
      </c>
      <c r="W186" s="23">
        <f t="shared" si="18"/>
        <v>1962139</v>
      </c>
    </row>
    <row r="187" spans="1:23">
      <c r="A187" s="5" t="s">
        <v>135</v>
      </c>
      <c r="B187" s="5" t="s">
        <v>37</v>
      </c>
      <c r="C187" s="5" t="s">
        <v>24</v>
      </c>
      <c r="D187" s="5">
        <v>0</v>
      </c>
      <c r="E187" s="5">
        <v>19</v>
      </c>
      <c r="F187" s="5">
        <f t="shared" si="13"/>
        <v>-0.1381704948771178</v>
      </c>
      <c r="G187" s="5">
        <f t="shared" si="14"/>
        <v>12.463663999297939</v>
      </c>
      <c r="H187" s="5">
        <f t="shared" si="15"/>
        <v>1.157360818049018</v>
      </c>
      <c r="I187" s="5">
        <v>3.4734467248018902E-3</v>
      </c>
      <c r="J187" s="5">
        <f t="shared" si="16"/>
        <v>0.50670432220039296</v>
      </c>
      <c r="K187" s="5">
        <f t="shared" si="19"/>
        <v>0.44155844155844154</v>
      </c>
      <c r="L187" s="5"/>
      <c r="M187" s="5">
        <v>34</v>
      </c>
      <c r="N187" s="5">
        <v>77</v>
      </c>
      <c r="O187" s="21">
        <v>-20633</v>
      </c>
      <c r="P187" s="22">
        <v>361</v>
      </c>
      <c r="Q187" s="23">
        <v>41975</v>
      </c>
      <c r="R187" s="23">
        <v>258762</v>
      </c>
      <c r="S187" s="23">
        <v>149330</v>
      </c>
      <c r="T187" s="23">
        <v>-40720</v>
      </c>
      <c r="U187" s="23">
        <v>146379</v>
      </c>
      <c r="V187" s="23">
        <v>153102</v>
      </c>
      <c r="W187" s="23">
        <f t="shared" si="18"/>
        <v>299481</v>
      </c>
    </row>
    <row r="188" spans="1:23">
      <c r="A188" s="5" t="s">
        <v>136</v>
      </c>
      <c r="B188" s="5" t="s">
        <v>37</v>
      </c>
      <c r="C188" s="5" t="s">
        <v>24</v>
      </c>
      <c r="D188" s="5">
        <v>0</v>
      </c>
      <c r="E188" s="5">
        <v>7</v>
      </c>
      <c r="F188" s="5">
        <f t="shared" si="13"/>
        <v>4.5940456193833371E-2</v>
      </c>
      <c r="G188" s="5">
        <f t="shared" si="14"/>
        <v>12.673949013759735</v>
      </c>
      <c r="H188" s="5">
        <f t="shared" si="15"/>
        <v>1.5644713766754352</v>
      </c>
      <c r="I188" s="5">
        <v>-5.6948057123261626E-2</v>
      </c>
      <c r="J188" s="5">
        <f t="shared" si="16"/>
        <v>-7.5413183021076635E-2</v>
      </c>
      <c r="K188" s="5">
        <f t="shared" si="19"/>
        <v>1.1764705882352942</v>
      </c>
      <c r="L188" s="5"/>
      <c r="M188" s="5">
        <v>60</v>
      </c>
      <c r="N188" s="5">
        <v>51</v>
      </c>
      <c r="O188" s="21">
        <v>13593</v>
      </c>
      <c r="P188" s="22">
        <v>725</v>
      </c>
      <c r="Q188" s="23">
        <v>249900</v>
      </c>
      <c r="R188" s="23">
        <v>319320</v>
      </c>
      <c r="S188" s="23">
        <v>295883</v>
      </c>
      <c r="T188" s="23">
        <v>-180247</v>
      </c>
      <c r="U188" s="23">
        <v>122467</v>
      </c>
      <c r="V188" s="23">
        <v>377100</v>
      </c>
      <c r="W188" s="23">
        <f t="shared" si="18"/>
        <v>499567</v>
      </c>
    </row>
    <row r="189" spans="1:23">
      <c r="A189" s="5" t="s">
        <v>137</v>
      </c>
      <c r="B189" s="5" t="s">
        <v>37</v>
      </c>
      <c r="C189" s="5" t="s">
        <v>24</v>
      </c>
      <c r="D189" s="5">
        <v>0</v>
      </c>
      <c r="E189" s="5">
        <v>10</v>
      </c>
      <c r="F189" s="5">
        <f t="shared" si="13"/>
        <v>-0.26010951979780961</v>
      </c>
      <c r="G189" s="5">
        <f t="shared" si="14"/>
        <v>12.727523619797052</v>
      </c>
      <c r="H189" s="5">
        <f t="shared" si="15"/>
        <v>1.3466550309592928</v>
      </c>
      <c r="I189" s="5">
        <v>4.4406350059655757E-2</v>
      </c>
      <c r="J189" s="5">
        <f t="shared" si="16"/>
        <v>0.4335708047197438</v>
      </c>
      <c r="K189" s="5">
        <f t="shared" si="19"/>
        <v>0.88372093023255816</v>
      </c>
      <c r="L189" s="5"/>
      <c r="M189" s="5">
        <v>38</v>
      </c>
      <c r="N189" s="5">
        <v>43</v>
      </c>
      <c r="O189" s="21">
        <v>-50635</v>
      </c>
      <c r="P189" s="22">
        <v>424</v>
      </c>
      <c r="Q189" s="23">
        <v>243622</v>
      </c>
      <c r="R189" s="23">
        <v>336894</v>
      </c>
      <c r="S189" s="23">
        <v>194668</v>
      </c>
      <c r="T189" s="23">
        <v>-116786</v>
      </c>
      <c r="U189" s="23">
        <v>121301</v>
      </c>
      <c r="V189" s="23">
        <v>332379</v>
      </c>
      <c r="W189" s="23">
        <f t="shared" si="18"/>
        <v>453680</v>
      </c>
    </row>
    <row r="190" spans="1:23" ht="17">
      <c r="A190" s="5" t="s">
        <v>36</v>
      </c>
      <c r="B190" s="5" t="s">
        <v>37</v>
      </c>
      <c r="C190" s="5" t="s">
        <v>23</v>
      </c>
      <c r="D190" s="5">
        <v>0</v>
      </c>
      <c r="E190" s="5">
        <v>8</v>
      </c>
      <c r="F190" s="5">
        <f t="shared" si="13"/>
        <v>-0.32688562555923995</v>
      </c>
      <c r="G190" s="5">
        <f t="shared" si="14"/>
        <v>13.723526839348086</v>
      </c>
      <c r="H190" s="5">
        <f t="shared" si="15"/>
        <v>0.71740889356663595</v>
      </c>
      <c r="I190" s="5">
        <v>-0.13054620589291885</v>
      </c>
      <c r="J190" s="5">
        <f t="shared" si="16"/>
        <v>-0.45126740709253871</v>
      </c>
      <c r="K190" s="5">
        <f t="shared" si="19"/>
        <v>1.4102564102564104</v>
      </c>
      <c r="L190" s="5"/>
      <c r="M190" s="93">
        <v>55</v>
      </c>
      <c r="N190" s="93">
        <v>39</v>
      </c>
      <c r="O190" s="14">
        <v>-124210</v>
      </c>
      <c r="P190" s="15">
        <v>634</v>
      </c>
      <c r="Q190" s="16">
        <v>0</v>
      </c>
      <c r="R190" s="16">
        <v>912120</v>
      </c>
      <c r="S190" s="16">
        <v>379980</v>
      </c>
      <c r="T190" s="16">
        <v>275247</v>
      </c>
      <c r="U190" s="16">
        <v>381014</v>
      </c>
      <c r="V190" s="16">
        <v>255859</v>
      </c>
      <c r="W190" s="17">
        <v>654363</v>
      </c>
    </row>
    <row r="191" spans="1:23" ht="17">
      <c r="A191" s="5" t="s">
        <v>40</v>
      </c>
      <c r="B191" s="5" t="s">
        <v>37</v>
      </c>
      <c r="C191" s="5" t="s">
        <v>23</v>
      </c>
      <c r="D191" s="5">
        <v>0</v>
      </c>
      <c r="E191" s="5">
        <v>11</v>
      </c>
      <c r="F191" s="5">
        <f t="shared" si="13"/>
        <v>-0.18269855009738151</v>
      </c>
      <c r="G191" s="5">
        <f t="shared" si="14"/>
        <v>12.404894815339226</v>
      </c>
      <c r="H191" s="5">
        <f t="shared" si="15"/>
        <v>1.1363727647924327</v>
      </c>
      <c r="I191" s="5">
        <v>5.6678689103929987E-2</v>
      </c>
      <c r="J191" s="5">
        <f t="shared" si="16"/>
        <v>1.1163971869928473</v>
      </c>
      <c r="K191" s="5">
        <f t="shared" si="19"/>
        <v>1.1956521739130435</v>
      </c>
      <c r="L191" s="5"/>
      <c r="M191" s="93">
        <v>55</v>
      </c>
      <c r="N191" s="93">
        <v>46</v>
      </c>
      <c r="O191" s="14">
        <v>-37147</v>
      </c>
      <c r="P191" s="15">
        <v>663</v>
      </c>
      <c r="Q191" s="16">
        <v>248030</v>
      </c>
      <c r="R191" s="16">
        <v>243993</v>
      </c>
      <c r="S191" s="16">
        <v>203324</v>
      </c>
      <c r="T191" s="16">
        <v>-33274</v>
      </c>
      <c r="U191" s="16">
        <v>0</v>
      </c>
      <c r="V191" s="16">
        <v>277267</v>
      </c>
      <c r="W191" s="17">
        <f t="shared" ref="W191:W222" si="20">U191+V191</f>
        <v>277267</v>
      </c>
    </row>
    <row r="192" spans="1:23" ht="17">
      <c r="A192" s="5" t="s">
        <v>51</v>
      </c>
      <c r="B192" s="5" t="s">
        <v>37</v>
      </c>
      <c r="C192" s="5" t="s">
        <v>23</v>
      </c>
      <c r="D192" s="5">
        <v>0</v>
      </c>
      <c r="E192" s="5">
        <v>16</v>
      </c>
      <c r="F192" s="5">
        <f t="shared" si="13"/>
        <v>-0.35464417177914109</v>
      </c>
      <c r="G192" s="5">
        <f t="shared" si="14"/>
        <v>12.026012529749854</v>
      </c>
      <c r="H192" s="5">
        <f t="shared" si="15"/>
        <v>2.6666327434687869</v>
      </c>
      <c r="I192" s="5">
        <v>-0.1648991218632484</v>
      </c>
      <c r="J192" s="5">
        <f t="shared" si="16"/>
        <v>0.20763934037593257</v>
      </c>
      <c r="K192" s="5">
        <f t="shared" si="19"/>
        <v>0.86956521739130432</v>
      </c>
      <c r="L192" s="5"/>
      <c r="M192" s="93">
        <v>40</v>
      </c>
      <c r="N192" s="93">
        <v>46</v>
      </c>
      <c r="O192" s="14">
        <v>-57807</v>
      </c>
      <c r="P192" s="15">
        <v>821</v>
      </c>
      <c r="Q192" s="16">
        <v>350810</v>
      </c>
      <c r="R192" s="16">
        <v>167044</v>
      </c>
      <c r="S192" s="16">
        <v>163000</v>
      </c>
      <c r="T192" s="16">
        <v>-278401</v>
      </c>
      <c r="U192" s="16">
        <v>13485</v>
      </c>
      <c r="V192" s="16">
        <v>431960</v>
      </c>
      <c r="W192" s="17">
        <f t="shared" si="20"/>
        <v>445445</v>
      </c>
    </row>
    <row r="193" spans="1:41" ht="17">
      <c r="A193" s="5" t="s">
        <v>52</v>
      </c>
      <c r="B193" s="5" t="s">
        <v>37</v>
      </c>
      <c r="C193" s="5" t="s">
        <v>23</v>
      </c>
      <c r="D193" s="5">
        <v>0</v>
      </c>
      <c r="E193" s="5">
        <v>17</v>
      </c>
      <c r="F193" s="5">
        <f t="shared" si="13"/>
        <v>-2.2314098486753548E-2</v>
      </c>
      <c r="G193" s="5">
        <f t="shared" si="14"/>
        <v>12.145233938299091</v>
      </c>
      <c r="H193" s="5">
        <f t="shared" si="15"/>
        <v>0.53632668243045778</v>
      </c>
      <c r="I193" s="5">
        <v>-8.2826830194822815E-2</v>
      </c>
      <c r="J193" s="5">
        <f t="shared" si="16"/>
        <v>-3.4574041392587837E-2</v>
      </c>
      <c r="K193" s="5">
        <f t="shared" si="19"/>
        <v>0.6</v>
      </c>
      <c r="L193" s="5"/>
      <c r="M193" s="93">
        <v>33</v>
      </c>
      <c r="N193" s="93">
        <v>55</v>
      </c>
      <c r="O193" s="14">
        <v>-3017</v>
      </c>
      <c r="P193" s="15">
        <v>267</v>
      </c>
      <c r="Q193" s="16">
        <v>607</v>
      </c>
      <c r="R193" s="16">
        <v>188195</v>
      </c>
      <c r="S193" s="16">
        <v>135206</v>
      </c>
      <c r="T193" s="16">
        <v>87262</v>
      </c>
      <c r="U193" s="16">
        <v>16185</v>
      </c>
      <c r="V193" s="16">
        <v>84749</v>
      </c>
      <c r="W193" s="17">
        <f t="shared" si="20"/>
        <v>100934</v>
      </c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</row>
    <row r="194" spans="1:41" ht="17">
      <c r="A194" s="5" t="s">
        <v>57</v>
      </c>
      <c r="B194" s="5" t="s">
        <v>37</v>
      </c>
      <c r="C194" s="5" t="s">
        <v>23</v>
      </c>
      <c r="D194" s="5">
        <v>0</v>
      </c>
      <c r="E194" s="5">
        <v>4</v>
      </c>
      <c r="F194" s="5">
        <f t="shared" ref="F194:F257" si="21">O194/S194</f>
        <v>-0.35280585240074991</v>
      </c>
      <c r="G194" s="5">
        <f t="shared" ref="G194:G257" si="22">LN(R194)</f>
        <v>13.775176985813058</v>
      </c>
      <c r="H194" s="5">
        <f t="shared" ref="H194:H257" si="23">W194/R194</f>
        <v>0.51334816636455727</v>
      </c>
      <c r="I194" s="5">
        <v>-9.5865727026766906E-2</v>
      </c>
      <c r="J194" s="5">
        <f t="shared" si="16"/>
        <v>-0.382896104951927</v>
      </c>
      <c r="K194" s="5">
        <f t="shared" si="19"/>
        <v>1.6111111111111112</v>
      </c>
      <c r="L194" s="5"/>
      <c r="M194" s="93">
        <v>58</v>
      </c>
      <c r="N194" s="93">
        <v>36</v>
      </c>
      <c r="O194" s="14">
        <v>-178971</v>
      </c>
      <c r="P194" s="15">
        <v>817</v>
      </c>
      <c r="Q194" s="16">
        <v>34471</v>
      </c>
      <c r="R194" s="16">
        <v>960469</v>
      </c>
      <c r="S194" s="16">
        <v>507279</v>
      </c>
      <c r="T194" s="16">
        <v>467414</v>
      </c>
      <c r="U194" s="16">
        <v>70307</v>
      </c>
      <c r="V194" s="16">
        <v>422748</v>
      </c>
      <c r="W194" s="17">
        <f t="shared" si="20"/>
        <v>493055</v>
      </c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</row>
    <row r="195" spans="1:41" ht="17">
      <c r="A195" s="5" t="s">
        <v>59</v>
      </c>
      <c r="B195" s="5" t="s">
        <v>37</v>
      </c>
      <c r="C195" s="5" t="s">
        <v>23</v>
      </c>
      <c r="D195" s="5">
        <v>0</v>
      </c>
      <c r="E195" s="5">
        <v>14</v>
      </c>
      <c r="F195" s="5">
        <f t="shared" si="21"/>
        <v>-0.31760713780760957</v>
      </c>
      <c r="G195" s="5">
        <f t="shared" si="22"/>
        <v>11.61760074590836</v>
      </c>
      <c r="H195" s="5">
        <f t="shared" si="23"/>
        <v>1.0336650605664881</v>
      </c>
      <c r="I195" s="5">
        <v>-0.16010100063125396</v>
      </c>
      <c r="J195" s="5">
        <f t="shared" ref="J195:J258" si="24">O195/T195</f>
        <v>2.0823047275211009</v>
      </c>
      <c r="K195" s="5">
        <f t="shared" si="19"/>
        <v>0.62121212121212122</v>
      </c>
      <c r="L195" s="5"/>
      <c r="M195" s="93">
        <v>41</v>
      </c>
      <c r="N195" s="93">
        <v>66</v>
      </c>
      <c r="O195" s="14">
        <v>-42681</v>
      </c>
      <c r="P195" s="15">
        <v>297</v>
      </c>
      <c r="Q195" s="16">
        <v>0</v>
      </c>
      <c r="R195" s="17">
        <v>111035</v>
      </c>
      <c r="S195" s="16">
        <v>134383</v>
      </c>
      <c r="T195" s="16">
        <v>-20497</v>
      </c>
      <c r="U195" s="16">
        <v>27291</v>
      </c>
      <c r="V195" s="16">
        <v>87482</v>
      </c>
      <c r="W195" s="17">
        <f t="shared" si="20"/>
        <v>114773</v>
      </c>
      <c r="AF195" s="78"/>
      <c r="AG195" s="11"/>
      <c r="AH195" s="78"/>
      <c r="AI195" s="78"/>
      <c r="AJ195" s="78"/>
      <c r="AK195" s="78"/>
      <c r="AL195" s="78"/>
      <c r="AM195" s="78"/>
      <c r="AN195" s="78"/>
      <c r="AO195" s="78"/>
    </row>
    <row r="196" spans="1:41" ht="17">
      <c r="A196" s="5" t="s">
        <v>68</v>
      </c>
      <c r="B196" s="5" t="s">
        <v>37</v>
      </c>
      <c r="C196" s="5" t="s">
        <v>23</v>
      </c>
      <c r="D196" s="5">
        <v>0</v>
      </c>
      <c r="E196" s="5">
        <v>10</v>
      </c>
      <c r="F196" s="5">
        <f t="shared" si="21"/>
        <v>-0.62613956130773263</v>
      </c>
      <c r="G196" s="5">
        <f t="shared" si="22"/>
        <v>12.884164562210797</v>
      </c>
      <c r="H196" s="5">
        <f t="shared" si="23"/>
        <v>0.85271671958235939</v>
      </c>
      <c r="I196" s="5">
        <v>6.7725043243371322E-2</v>
      </c>
      <c r="J196" s="5">
        <f t="shared" si="24"/>
        <v>-2.4308681117965332</v>
      </c>
      <c r="K196" s="5">
        <f t="shared" si="19"/>
        <v>0.97916666666666663</v>
      </c>
      <c r="L196" s="5"/>
      <c r="M196" s="93">
        <v>47</v>
      </c>
      <c r="N196" s="93">
        <v>48</v>
      </c>
      <c r="O196" s="14">
        <v>-141073</v>
      </c>
      <c r="P196" s="15">
        <v>450</v>
      </c>
      <c r="Q196" s="16">
        <v>3957</v>
      </c>
      <c r="R196" s="16">
        <v>394023</v>
      </c>
      <c r="S196" s="16">
        <v>225306</v>
      </c>
      <c r="T196" s="16">
        <v>58034</v>
      </c>
      <c r="U196" s="16">
        <v>193919</v>
      </c>
      <c r="V196" s="16">
        <v>142071</v>
      </c>
      <c r="W196" s="17">
        <f t="shared" si="20"/>
        <v>335990</v>
      </c>
      <c r="AF196" s="78"/>
      <c r="AG196" s="11"/>
      <c r="AH196" s="78"/>
      <c r="AI196" s="78"/>
      <c r="AJ196" s="78"/>
      <c r="AK196" s="78"/>
      <c r="AL196" s="78"/>
      <c r="AM196" s="78"/>
      <c r="AN196" s="78"/>
      <c r="AO196" s="78"/>
    </row>
    <row r="197" spans="1:41" ht="17">
      <c r="A197" s="5" t="s">
        <v>72</v>
      </c>
      <c r="B197" s="5" t="s">
        <v>37</v>
      </c>
      <c r="C197" s="5" t="s">
        <v>23</v>
      </c>
      <c r="D197" s="5">
        <v>0</v>
      </c>
      <c r="E197" s="5">
        <v>18</v>
      </c>
      <c r="F197" s="5">
        <f t="shared" si="21"/>
        <v>-0.80104395077041202</v>
      </c>
      <c r="G197" s="5">
        <f t="shared" si="22"/>
        <v>12.870624859210006</v>
      </c>
      <c r="H197" s="5">
        <f t="shared" si="23"/>
        <v>0.26372439057017316</v>
      </c>
      <c r="I197" s="5">
        <v>0.15208952000000001</v>
      </c>
      <c r="J197" s="5">
        <f t="shared" si="24"/>
        <v>-0.37909143000894452</v>
      </c>
      <c r="K197" s="5">
        <f t="shared" si="19"/>
        <v>0.50943396226415094</v>
      </c>
      <c r="L197" s="5"/>
      <c r="M197" s="93">
        <v>27</v>
      </c>
      <c r="N197" s="93">
        <v>53</v>
      </c>
      <c r="O197" s="14">
        <v>-108499</v>
      </c>
      <c r="P197" s="15">
        <v>194</v>
      </c>
      <c r="Q197" s="16">
        <v>787</v>
      </c>
      <c r="R197" s="16">
        <v>388724</v>
      </c>
      <c r="S197" s="16">
        <v>135447</v>
      </c>
      <c r="T197" s="16">
        <v>286208</v>
      </c>
      <c r="U197" s="16">
        <v>16258</v>
      </c>
      <c r="V197" s="16">
        <v>86258</v>
      </c>
      <c r="W197" s="17">
        <f t="shared" si="20"/>
        <v>102516</v>
      </c>
      <c r="AF197" s="78"/>
      <c r="AG197" s="11"/>
      <c r="AH197" s="78"/>
      <c r="AI197" s="78"/>
      <c r="AJ197" s="78"/>
      <c r="AK197" s="78"/>
      <c r="AL197" s="78"/>
      <c r="AM197" s="78"/>
      <c r="AN197" s="78"/>
      <c r="AO197" s="78"/>
    </row>
    <row r="198" spans="1:41" ht="17">
      <c r="A198" s="5" t="s">
        <v>90</v>
      </c>
      <c r="B198" s="5" t="s">
        <v>37</v>
      </c>
      <c r="C198" s="5" t="s">
        <v>23</v>
      </c>
      <c r="D198" s="5">
        <v>0</v>
      </c>
      <c r="E198" s="5">
        <v>9</v>
      </c>
      <c r="F198" s="5">
        <f t="shared" si="21"/>
        <v>0.15155281993704514</v>
      </c>
      <c r="G198" s="5">
        <f t="shared" si="22"/>
        <v>12.344128786026113</v>
      </c>
      <c r="H198" s="5">
        <f t="shared" si="23"/>
        <v>1.0644010661649419</v>
      </c>
      <c r="I198" s="5">
        <v>-9.5505363279443631E-2</v>
      </c>
      <c r="J198" s="5">
        <f t="shared" si="24"/>
        <v>-2.0449073447856079</v>
      </c>
      <c r="K198" s="5">
        <f t="shared" si="19"/>
        <v>1.1481481481481481</v>
      </c>
      <c r="L198" s="5"/>
      <c r="M198" s="93">
        <v>62</v>
      </c>
      <c r="N198" s="93">
        <v>54</v>
      </c>
      <c r="O198" s="14">
        <v>30236</v>
      </c>
      <c r="P198" s="15">
        <v>428</v>
      </c>
      <c r="Q198" s="16">
        <v>39959</v>
      </c>
      <c r="R198" s="16">
        <v>229608</v>
      </c>
      <c r="S198" s="16">
        <v>199508</v>
      </c>
      <c r="T198" s="16">
        <v>-14786</v>
      </c>
      <c r="U198" s="16">
        <v>74872</v>
      </c>
      <c r="V198" s="16">
        <v>169523</v>
      </c>
      <c r="W198" s="17">
        <f t="shared" si="20"/>
        <v>244395</v>
      </c>
      <c r="AF198" s="78"/>
      <c r="AG198" s="11"/>
      <c r="AH198" s="78"/>
      <c r="AI198" s="78"/>
      <c r="AJ198" s="78"/>
      <c r="AK198" s="78"/>
      <c r="AL198" s="78"/>
      <c r="AM198" s="78"/>
      <c r="AN198" s="78"/>
      <c r="AO198" s="78"/>
    </row>
    <row r="199" spans="1:41" ht="17">
      <c r="A199" s="5" t="s">
        <v>91</v>
      </c>
      <c r="B199" s="5" t="s">
        <v>37</v>
      </c>
      <c r="C199" s="5" t="s">
        <v>23</v>
      </c>
      <c r="D199" s="5">
        <v>0</v>
      </c>
      <c r="E199" s="5">
        <v>5</v>
      </c>
      <c r="F199" s="5">
        <f t="shared" si="21"/>
        <v>-0.13795183943423173</v>
      </c>
      <c r="G199" s="5">
        <f t="shared" si="22"/>
        <v>13.203838289752181</v>
      </c>
      <c r="H199" s="5">
        <f t="shared" si="23"/>
        <v>0.91576442133090485</v>
      </c>
      <c r="I199" s="5">
        <v>3.8490212873957041E-2</v>
      </c>
      <c r="J199" s="5">
        <f t="shared" si="24"/>
        <v>-0.79062438447902306</v>
      </c>
      <c r="K199" s="5">
        <f t="shared" si="19"/>
        <v>1.36</v>
      </c>
      <c r="L199" s="5"/>
      <c r="M199" s="93">
        <v>68</v>
      </c>
      <c r="N199" s="93">
        <v>50</v>
      </c>
      <c r="O199" s="14">
        <v>-36126</v>
      </c>
      <c r="P199" s="15">
        <v>435</v>
      </c>
      <c r="Q199" s="16">
        <v>124514</v>
      </c>
      <c r="R199" s="16">
        <v>542443</v>
      </c>
      <c r="S199" s="16">
        <v>261874</v>
      </c>
      <c r="T199" s="16">
        <v>45693</v>
      </c>
      <c r="U199" s="16">
        <v>250590</v>
      </c>
      <c r="V199" s="16">
        <v>246160</v>
      </c>
      <c r="W199" s="17">
        <f t="shared" si="20"/>
        <v>496750</v>
      </c>
      <c r="AF199" s="78"/>
      <c r="AG199" s="11"/>
      <c r="AH199" s="78"/>
      <c r="AI199" s="78"/>
      <c r="AJ199" s="78"/>
      <c r="AK199" s="78"/>
      <c r="AL199" s="78"/>
      <c r="AM199" s="78"/>
      <c r="AN199" s="78"/>
      <c r="AO199" s="78"/>
    </row>
    <row r="200" spans="1:41" ht="17">
      <c r="A200" s="5" t="s">
        <v>93</v>
      </c>
      <c r="B200" s="5" t="s">
        <v>37</v>
      </c>
      <c r="C200" s="5" t="s">
        <v>23</v>
      </c>
      <c r="D200" s="5">
        <v>0</v>
      </c>
      <c r="E200" s="5">
        <v>3</v>
      </c>
      <c r="F200" s="5">
        <f t="shared" si="21"/>
        <v>-1.9565132626041707E-2</v>
      </c>
      <c r="G200" s="5">
        <f t="shared" si="22"/>
        <v>13.595849685079147</v>
      </c>
      <c r="H200" s="5">
        <f t="shared" si="23"/>
        <v>0.71267864238637457</v>
      </c>
      <c r="I200" s="5">
        <v>-0.19205368189524813</v>
      </c>
      <c r="J200" s="5">
        <f t="shared" si="24"/>
        <v>-4.7858734576732655E-2</v>
      </c>
      <c r="K200" s="5">
        <f t="shared" si="19"/>
        <v>1.6190476190476191</v>
      </c>
      <c r="L200" s="5"/>
      <c r="M200" s="93">
        <v>68</v>
      </c>
      <c r="N200" s="93">
        <v>42</v>
      </c>
      <c r="O200" s="14">
        <v>-11039</v>
      </c>
      <c r="P200" s="15">
        <v>964</v>
      </c>
      <c r="Q200" s="16">
        <v>82659</v>
      </c>
      <c r="R200" s="16">
        <v>802791</v>
      </c>
      <c r="S200" s="16">
        <v>564218</v>
      </c>
      <c r="T200" s="16">
        <v>230658</v>
      </c>
      <c r="U200" s="16">
        <v>253384</v>
      </c>
      <c r="V200" s="16">
        <v>318748</v>
      </c>
      <c r="W200" s="17">
        <f t="shared" si="20"/>
        <v>572132</v>
      </c>
      <c r="AF200" s="78"/>
      <c r="AG200" s="11"/>
      <c r="AH200" s="78"/>
      <c r="AI200" s="78"/>
      <c r="AJ200" s="78"/>
      <c r="AK200" s="78"/>
      <c r="AL200" s="78"/>
      <c r="AM200" s="78"/>
      <c r="AN200" s="78"/>
      <c r="AO200" s="78"/>
    </row>
    <row r="201" spans="1:41" ht="17">
      <c r="A201" s="5" t="s">
        <v>96</v>
      </c>
      <c r="B201" s="5" t="s">
        <v>37</v>
      </c>
      <c r="C201" s="5" t="s">
        <v>23</v>
      </c>
      <c r="D201" s="5">
        <v>0</v>
      </c>
      <c r="E201" s="5">
        <v>1</v>
      </c>
      <c r="F201" s="5">
        <f t="shared" si="21"/>
        <v>4.1534786323757719E-3</v>
      </c>
      <c r="G201" s="5">
        <f t="shared" si="22"/>
        <v>14.133332817019014</v>
      </c>
      <c r="H201" s="5">
        <f t="shared" si="23"/>
        <v>0.44285192397819134</v>
      </c>
      <c r="I201" s="5">
        <v>-6.9822372600546842E-2</v>
      </c>
      <c r="J201" s="5">
        <f t="shared" si="24"/>
        <v>3.606345391492891E-3</v>
      </c>
      <c r="K201" s="5">
        <f t="shared" si="19"/>
        <v>2.59375</v>
      </c>
      <c r="L201" s="5"/>
      <c r="M201" s="93">
        <v>83</v>
      </c>
      <c r="N201" s="93">
        <v>32</v>
      </c>
      <c r="O201" s="14">
        <v>2761</v>
      </c>
      <c r="P201" s="15">
        <v>509</v>
      </c>
      <c r="Q201" s="16">
        <v>34502</v>
      </c>
      <c r="R201" s="16">
        <v>1374132</v>
      </c>
      <c r="S201" s="16">
        <v>664744</v>
      </c>
      <c r="T201" s="16">
        <v>765595</v>
      </c>
      <c r="U201" s="16">
        <v>150098</v>
      </c>
      <c r="V201" s="16">
        <v>458439</v>
      </c>
      <c r="W201" s="17">
        <f t="shared" si="20"/>
        <v>608537</v>
      </c>
      <c r="AF201" s="78"/>
      <c r="AG201" s="11"/>
      <c r="AH201" s="78"/>
      <c r="AI201" s="78"/>
      <c r="AJ201" s="78"/>
      <c r="AK201" s="78"/>
      <c r="AL201" s="78"/>
      <c r="AM201" s="78"/>
      <c r="AN201" s="78"/>
      <c r="AO201" s="78"/>
    </row>
    <row r="202" spans="1:41" ht="17">
      <c r="A202" s="5" t="s">
        <v>97</v>
      </c>
      <c r="B202" s="5" t="s">
        <v>37</v>
      </c>
      <c r="C202" s="5" t="s">
        <v>23</v>
      </c>
      <c r="D202" s="5">
        <v>0</v>
      </c>
      <c r="E202" s="5">
        <v>2</v>
      </c>
      <c r="F202" s="5">
        <f t="shared" si="21"/>
        <v>-0.18662701834313264</v>
      </c>
      <c r="G202" s="5">
        <f t="shared" si="22"/>
        <v>14.200898801176566</v>
      </c>
      <c r="H202" s="5">
        <f t="shared" si="23"/>
        <v>0.78377347068566205</v>
      </c>
      <c r="I202" s="5">
        <v>-0.15221058793593642</v>
      </c>
      <c r="J202" s="5">
        <f t="shared" si="24"/>
        <v>-0.33839165502749363</v>
      </c>
      <c r="K202" s="5">
        <f t="shared" si="19"/>
        <v>1.6590909090909092</v>
      </c>
      <c r="L202" s="5"/>
      <c r="M202" s="93">
        <v>73</v>
      </c>
      <c r="N202" s="93">
        <v>44</v>
      </c>
      <c r="O202" s="14">
        <v>-107572</v>
      </c>
      <c r="P202" s="15">
        <v>983</v>
      </c>
      <c r="Q202" s="16">
        <v>0</v>
      </c>
      <c r="R202" s="16">
        <v>1470185</v>
      </c>
      <c r="S202" s="16">
        <v>576401</v>
      </c>
      <c r="T202" s="16">
        <v>317892</v>
      </c>
      <c r="U202" s="16">
        <v>704309</v>
      </c>
      <c r="V202" s="16">
        <v>447983</v>
      </c>
      <c r="W202" s="17">
        <f t="shared" si="20"/>
        <v>1152292</v>
      </c>
      <c r="AF202" s="78"/>
      <c r="AG202" s="11"/>
      <c r="AH202" s="78"/>
      <c r="AI202" s="78"/>
      <c r="AJ202" s="78"/>
      <c r="AK202" s="78"/>
      <c r="AL202" s="78"/>
      <c r="AM202" s="78"/>
      <c r="AN202" s="78"/>
      <c r="AO202" s="78"/>
    </row>
    <row r="203" spans="1:41" ht="17">
      <c r="A203" s="5" t="s">
        <v>102</v>
      </c>
      <c r="B203" s="5" t="s">
        <v>37</v>
      </c>
      <c r="C203" s="5" t="s">
        <v>23</v>
      </c>
      <c r="D203" s="5">
        <v>0</v>
      </c>
      <c r="E203" s="5">
        <v>12</v>
      </c>
      <c r="F203" s="5">
        <f t="shared" si="21"/>
        <v>-8.6964497547970504E-2</v>
      </c>
      <c r="G203" s="5">
        <f t="shared" si="22"/>
        <v>12.284259786550393</v>
      </c>
      <c r="H203" s="5">
        <f t="shared" si="23"/>
        <v>1.0064226758837538</v>
      </c>
      <c r="I203" s="5">
        <v>-0.22059811747885141</v>
      </c>
      <c r="J203" s="5">
        <f t="shared" si="24"/>
        <v>10.239020878329734</v>
      </c>
      <c r="K203" s="5">
        <f t="shared" si="19"/>
        <v>0.74193548387096775</v>
      </c>
      <c r="L203" s="5"/>
      <c r="M203" s="93">
        <v>46</v>
      </c>
      <c r="N203" s="93">
        <v>62</v>
      </c>
      <c r="O203" s="14">
        <v>-14222</v>
      </c>
      <c r="P203" s="15">
        <v>291</v>
      </c>
      <c r="Q203" s="16">
        <v>137287</v>
      </c>
      <c r="R203" s="16">
        <v>216265</v>
      </c>
      <c r="S203" s="16">
        <v>163538</v>
      </c>
      <c r="T203" s="16">
        <v>-1389</v>
      </c>
      <c r="U203" s="16">
        <v>11122</v>
      </c>
      <c r="V203" s="16">
        <v>206532</v>
      </c>
      <c r="W203" s="17">
        <f t="shared" si="20"/>
        <v>217654</v>
      </c>
      <c r="AF203" s="78"/>
      <c r="AG203" s="11"/>
      <c r="AH203" s="78"/>
      <c r="AI203" s="78"/>
      <c r="AJ203" s="78"/>
      <c r="AK203" s="78"/>
      <c r="AL203" s="78"/>
      <c r="AM203" s="78"/>
      <c r="AN203" s="78"/>
      <c r="AO203" s="78"/>
    </row>
    <row r="204" spans="1:41" ht="17">
      <c r="A204" s="5" t="s">
        <v>121</v>
      </c>
      <c r="B204" s="5" t="s">
        <v>37</v>
      </c>
      <c r="C204" s="5" t="s">
        <v>23</v>
      </c>
      <c r="D204" s="5">
        <v>0</v>
      </c>
      <c r="E204" s="5">
        <v>15</v>
      </c>
      <c r="F204" s="5">
        <f t="shared" si="21"/>
        <v>-6.4120538320122628E-2</v>
      </c>
      <c r="G204" s="5">
        <f t="shared" si="22"/>
        <v>12.253714531632998</v>
      </c>
      <c r="H204" s="5">
        <f t="shared" si="23"/>
        <v>0.98522590210670336</v>
      </c>
      <c r="I204" s="5">
        <v>4.3912300683371298E-2</v>
      </c>
      <c r="J204" s="5">
        <f t="shared" si="24"/>
        <v>-3.7928363988383351</v>
      </c>
      <c r="K204" s="5">
        <f t="shared" si="19"/>
        <v>0.69117647058823528</v>
      </c>
      <c r="L204" s="5"/>
      <c r="M204" s="93">
        <v>47</v>
      </c>
      <c r="N204" s="93">
        <v>68</v>
      </c>
      <c r="O204" s="14">
        <v>-11754</v>
      </c>
      <c r="P204" s="15">
        <v>385</v>
      </c>
      <c r="Q204" s="16">
        <v>103501</v>
      </c>
      <c r="R204" s="16">
        <v>209759</v>
      </c>
      <c r="S204" s="16">
        <v>183311</v>
      </c>
      <c r="T204" s="16">
        <v>3099</v>
      </c>
      <c r="U204" s="16">
        <v>31284</v>
      </c>
      <c r="V204" s="16">
        <v>175376</v>
      </c>
      <c r="W204" s="17">
        <f t="shared" si="20"/>
        <v>206660</v>
      </c>
      <c r="AF204" s="78"/>
      <c r="AG204" s="11"/>
      <c r="AH204" s="78"/>
      <c r="AI204" s="78"/>
      <c r="AJ204" s="78"/>
      <c r="AK204" s="78"/>
      <c r="AL204" s="78"/>
      <c r="AM204" s="78"/>
      <c r="AN204" s="78"/>
      <c r="AO204" s="78"/>
    </row>
    <row r="205" spans="1:41" ht="17">
      <c r="A205" s="5" t="s">
        <v>127</v>
      </c>
      <c r="B205" s="5" t="s">
        <v>37</v>
      </c>
      <c r="C205" s="5" t="s">
        <v>23</v>
      </c>
      <c r="D205" s="5">
        <v>0</v>
      </c>
      <c r="E205" s="5">
        <v>7</v>
      </c>
      <c r="F205" s="5">
        <f t="shared" si="21"/>
        <v>-0.23251875496524921</v>
      </c>
      <c r="G205" s="5">
        <f t="shared" si="22"/>
        <v>14.525119497210829</v>
      </c>
      <c r="H205" s="5">
        <f t="shared" si="23"/>
        <v>0.85311844013071048</v>
      </c>
      <c r="I205" s="5">
        <v>-0.18668823003679444</v>
      </c>
      <c r="J205" s="5">
        <f t="shared" si="24"/>
        <v>-0.327338358352392</v>
      </c>
      <c r="K205" s="5">
        <f t="shared" si="19"/>
        <v>1.5111111111111111</v>
      </c>
      <c r="L205" s="5"/>
      <c r="M205" s="93">
        <v>68</v>
      </c>
      <c r="N205" s="93">
        <v>45</v>
      </c>
      <c r="O205" s="14">
        <v>-97756</v>
      </c>
      <c r="P205" s="15">
        <v>672</v>
      </c>
      <c r="Q205" s="16">
        <v>2293</v>
      </c>
      <c r="R205" s="16">
        <v>2033196</v>
      </c>
      <c r="S205" s="16">
        <v>420422</v>
      </c>
      <c r="T205" s="16">
        <v>298639</v>
      </c>
      <c r="U205" s="16">
        <v>1347378</v>
      </c>
      <c r="V205" s="16">
        <v>387179</v>
      </c>
      <c r="W205" s="17">
        <f t="shared" si="20"/>
        <v>1734557</v>
      </c>
      <c r="AF205" s="78"/>
      <c r="AG205" s="11"/>
      <c r="AH205" s="78"/>
      <c r="AI205" s="78"/>
      <c r="AJ205" s="78"/>
      <c r="AK205" s="78"/>
      <c r="AL205" s="78"/>
      <c r="AM205" s="78"/>
      <c r="AN205" s="78"/>
      <c r="AO205" s="78"/>
    </row>
    <row r="206" spans="1:41" ht="17">
      <c r="A206" s="5" t="s">
        <v>136</v>
      </c>
      <c r="B206" s="5" t="s">
        <v>37</v>
      </c>
      <c r="C206" s="5" t="s">
        <v>23</v>
      </c>
      <c r="D206" s="5">
        <v>0</v>
      </c>
      <c r="E206" s="5">
        <v>6</v>
      </c>
      <c r="F206" s="5">
        <f t="shared" si="21"/>
        <v>-0.13397305610014928</v>
      </c>
      <c r="G206" s="5">
        <f t="shared" si="22"/>
        <v>12.346182353514818</v>
      </c>
      <c r="H206" s="5">
        <f t="shared" si="23"/>
        <v>1.8299982614742698</v>
      </c>
      <c r="I206" s="5">
        <v>-0.24839210093178724</v>
      </c>
      <c r="J206" s="5">
        <f t="shared" si="24"/>
        <v>0.15601730150916918</v>
      </c>
      <c r="K206" s="5">
        <f t="shared" si="19"/>
        <v>1.3191489361702127</v>
      </c>
      <c r="L206" s="5"/>
      <c r="M206" s="93">
        <v>62</v>
      </c>
      <c r="N206" s="93">
        <v>47</v>
      </c>
      <c r="O206" s="14">
        <v>-29794</v>
      </c>
      <c r="P206" s="15">
        <v>652</v>
      </c>
      <c r="Q206" s="16">
        <v>115505</v>
      </c>
      <c r="R206" s="16">
        <v>230080</v>
      </c>
      <c r="S206" s="16">
        <v>222388</v>
      </c>
      <c r="T206" s="16">
        <v>-190966</v>
      </c>
      <c r="U206" s="16">
        <v>161292</v>
      </c>
      <c r="V206" s="16">
        <v>259754</v>
      </c>
      <c r="W206" s="17">
        <f t="shared" si="20"/>
        <v>421046</v>
      </c>
      <c r="AF206" s="78"/>
      <c r="AG206" s="11"/>
      <c r="AH206" s="78"/>
      <c r="AI206" s="78"/>
      <c r="AJ206" s="78"/>
      <c r="AK206" s="78"/>
      <c r="AL206" s="78"/>
      <c r="AM206" s="78"/>
      <c r="AN206" s="78"/>
      <c r="AO206" s="78"/>
    </row>
    <row r="207" spans="1:41" ht="17">
      <c r="A207" s="5" t="s">
        <v>137</v>
      </c>
      <c r="B207" s="5" t="s">
        <v>37</v>
      </c>
      <c r="C207" s="5" t="s">
        <v>23</v>
      </c>
      <c r="D207" s="5">
        <v>1</v>
      </c>
      <c r="E207" s="5">
        <v>13</v>
      </c>
      <c r="F207" s="5">
        <f t="shared" si="21"/>
        <v>0.10876134275020806</v>
      </c>
      <c r="G207" s="5">
        <f t="shared" si="22"/>
        <v>12.874283996424873</v>
      </c>
      <c r="H207" s="5">
        <f t="shared" si="23"/>
        <v>1.1670413098585413</v>
      </c>
      <c r="I207" s="5">
        <v>0.15428832679228224</v>
      </c>
      <c r="J207" s="5">
        <f t="shared" si="24"/>
        <v>-0.37499808196897394</v>
      </c>
      <c r="K207" s="5">
        <f t="shared" si="19"/>
        <v>0.69230769230769229</v>
      </c>
      <c r="L207" s="5"/>
      <c r="M207" s="93">
        <v>36</v>
      </c>
      <c r="N207" s="93">
        <v>52</v>
      </c>
      <c r="O207" s="14">
        <v>24439</v>
      </c>
      <c r="P207" s="15">
        <v>379</v>
      </c>
      <c r="Q207" s="16">
        <v>184220</v>
      </c>
      <c r="R207" s="16">
        <v>390149</v>
      </c>
      <c r="S207" s="16">
        <v>224703</v>
      </c>
      <c r="T207" s="16">
        <v>-65171</v>
      </c>
      <c r="U207" s="16">
        <v>134866</v>
      </c>
      <c r="V207" s="16">
        <v>320454</v>
      </c>
      <c r="W207" s="17">
        <f t="shared" si="20"/>
        <v>455320</v>
      </c>
      <c r="AF207" s="78"/>
      <c r="AG207" s="11"/>
      <c r="AH207" s="78"/>
      <c r="AI207" s="78"/>
      <c r="AJ207" s="78"/>
      <c r="AK207" s="78"/>
      <c r="AL207" s="78"/>
      <c r="AM207" s="78"/>
      <c r="AN207" s="78"/>
      <c r="AO207" s="78"/>
    </row>
    <row r="208" spans="1:41" ht="17">
      <c r="A208" s="5" t="s">
        <v>36</v>
      </c>
      <c r="B208" s="5" t="s">
        <v>37</v>
      </c>
      <c r="C208" s="5" t="s">
        <v>22</v>
      </c>
      <c r="D208" s="5">
        <v>0</v>
      </c>
      <c r="E208" s="5">
        <v>8</v>
      </c>
      <c r="F208" s="5">
        <f t="shared" si="21"/>
        <v>-3.3521617071984054E-2</v>
      </c>
      <c r="G208" s="5">
        <f t="shared" si="22"/>
        <v>13.993186339838335</v>
      </c>
      <c r="H208" s="5">
        <f t="shared" si="23"/>
        <v>0.53695629241534515</v>
      </c>
      <c r="I208" s="5">
        <v>1.1497973577556714E-2</v>
      </c>
      <c r="J208" s="5">
        <f t="shared" si="24"/>
        <v>-2.3295128888021016E-2</v>
      </c>
      <c r="K208" s="5">
        <f t="shared" si="19"/>
        <v>1.1666666666666667</v>
      </c>
      <c r="L208" s="5"/>
      <c r="M208" s="5">
        <v>56</v>
      </c>
      <c r="N208" s="5">
        <v>48</v>
      </c>
      <c r="O208" s="18">
        <v>-12884</v>
      </c>
      <c r="P208" s="19">
        <v>394</v>
      </c>
      <c r="Q208" s="20">
        <v>274396</v>
      </c>
      <c r="R208" s="20">
        <v>1194438</v>
      </c>
      <c r="S208" s="20">
        <v>384349</v>
      </c>
      <c r="T208" s="20">
        <v>553077</v>
      </c>
      <c r="U208" s="20">
        <v>154444</v>
      </c>
      <c r="V208" s="20">
        <v>486917</v>
      </c>
      <c r="W208" s="16">
        <f t="shared" si="20"/>
        <v>641361</v>
      </c>
      <c r="AF208" s="78"/>
      <c r="AG208" s="11"/>
      <c r="AH208" s="78"/>
      <c r="AI208" s="78"/>
      <c r="AJ208" s="78"/>
      <c r="AK208" s="78"/>
      <c r="AL208" s="78"/>
      <c r="AM208" s="78"/>
      <c r="AN208" s="78"/>
      <c r="AO208" s="78"/>
    </row>
    <row r="209" spans="1:41" ht="17">
      <c r="A209" s="5" t="s">
        <v>40</v>
      </c>
      <c r="B209" s="5" t="s">
        <v>37</v>
      </c>
      <c r="C209" s="5" t="s">
        <v>22</v>
      </c>
      <c r="D209" s="5">
        <v>0</v>
      </c>
      <c r="E209" s="5">
        <v>17</v>
      </c>
      <c r="F209" s="5">
        <f t="shared" si="21"/>
        <v>-0.84266697941711133</v>
      </c>
      <c r="G209" s="5">
        <f t="shared" si="22"/>
        <v>12.143287253430135</v>
      </c>
      <c r="H209" s="5">
        <f t="shared" si="23"/>
        <v>1.5518050993190615</v>
      </c>
      <c r="I209" s="5">
        <v>-0.41290255946174581</v>
      </c>
      <c r="J209" s="5">
        <f t="shared" si="24"/>
        <v>0.97052438612571756</v>
      </c>
      <c r="K209" s="5">
        <f t="shared" si="19"/>
        <v>0.61194029850746268</v>
      </c>
      <c r="L209" s="5"/>
      <c r="M209" s="5">
        <v>41</v>
      </c>
      <c r="N209" s="5">
        <v>67</v>
      </c>
      <c r="O209" s="14">
        <v>-100590</v>
      </c>
      <c r="P209" s="15">
        <v>658</v>
      </c>
      <c r="Q209" s="16">
        <v>238020</v>
      </c>
      <c r="R209" s="16">
        <v>187829</v>
      </c>
      <c r="S209" s="16">
        <v>119371</v>
      </c>
      <c r="T209" s="16">
        <v>-103645</v>
      </c>
      <c r="U209" s="16">
        <v>0</v>
      </c>
      <c r="V209" s="16">
        <v>291474</v>
      </c>
      <c r="W209" s="16">
        <f t="shared" si="20"/>
        <v>291474</v>
      </c>
      <c r="AF209" s="78"/>
      <c r="AG209" s="11"/>
      <c r="AH209" s="78"/>
      <c r="AI209" s="78"/>
      <c r="AJ209" s="78"/>
      <c r="AK209" s="78"/>
      <c r="AL209" s="78"/>
      <c r="AM209" s="78"/>
      <c r="AN209" s="78"/>
      <c r="AO209" s="78"/>
    </row>
    <row r="210" spans="1:41">
      <c r="A210" s="5" t="s">
        <v>49</v>
      </c>
      <c r="B210" s="5" t="s">
        <v>37</v>
      </c>
      <c r="C210" s="5" t="s">
        <v>22</v>
      </c>
      <c r="D210" s="5">
        <v>0</v>
      </c>
      <c r="E210" s="5">
        <v>18</v>
      </c>
      <c r="F210" s="5">
        <f t="shared" si="21"/>
        <v>-0.63000629062696578</v>
      </c>
      <c r="G210" s="5">
        <f t="shared" si="22"/>
        <v>12.022858690667483</v>
      </c>
      <c r="H210" s="5">
        <f t="shared" si="23"/>
        <v>1.7078453980951007</v>
      </c>
      <c r="I210" s="5">
        <v>0.20163988519673745</v>
      </c>
      <c r="J210" s="5">
        <f t="shared" si="24"/>
        <v>0.50939269607676918</v>
      </c>
      <c r="K210" s="5">
        <f t="shared" si="19"/>
        <v>0.61538461538461542</v>
      </c>
      <c r="L210" s="5"/>
      <c r="M210" s="5">
        <v>40</v>
      </c>
      <c r="N210" s="5">
        <v>65</v>
      </c>
      <c r="O210" s="35">
        <v>-60090</v>
      </c>
      <c r="P210" s="36">
        <v>622</v>
      </c>
      <c r="Q210" s="17">
        <v>36625</v>
      </c>
      <c r="R210" s="17">
        <v>166518</v>
      </c>
      <c r="S210" s="36">
        <v>95380</v>
      </c>
      <c r="T210" s="17">
        <v>-117964</v>
      </c>
      <c r="U210" s="17">
        <v>72634</v>
      </c>
      <c r="V210" s="17">
        <v>211753</v>
      </c>
      <c r="W210" s="17">
        <f t="shared" si="20"/>
        <v>284387</v>
      </c>
      <c r="AF210" s="78"/>
      <c r="AG210" s="11"/>
      <c r="AH210" s="78"/>
      <c r="AI210" s="78"/>
      <c r="AJ210" s="78"/>
      <c r="AK210" s="78"/>
      <c r="AL210" s="78"/>
      <c r="AM210" s="78"/>
      <c r="AN210" s="78"/>
      <c r="AO210" s="78"/>
    </row>
    <row r="211" spans="1:41" ht="17">
      <c r="A211" s="5" t="s">
        <v>51</v>
      </c>
      <c r="B211" s="5" t="s">
        <v>37</v>
      </c>
      <c r="C211" s="5" t="s">
        <v>22</v>
      </c>
      <c r="D211" s="5">
        <v>0</v>
      </c>
      <c r="E211" s="5">
        <v>15</v>
      </c>
      <c r="F211" s="5">
        <f t="shared" si="21"/>
        <v>-0.50859739894447775</v>
      </c>
      <c r="G211" s="5">
        <f t="shared" si="22"/>
        <v>12.128062454228429</v>
      </c>
      <c r="H211" s="5">
        <f t="shared" si="23"/>
        <v>0.44538382948359651</v>
      </c>
      <c r="I211" s="5">
        <v>-0.17117177914110429</v>
      </c>
      <c r="J211" s="5">
        <f t="shared" si="24"/>
        <v>0.33159279009724202</v>
      </c>
      <c r="K211" s="5">
        <f t="shared" si="19"/>
        <v>0.72222222222222221</v>
      </c>
      <c r="L211" s="5"/>
      <c r="M211" s="5">
        <v>39</v>
      </c>
      <c r="N211" s="5">
        <v>54</v>
      </c>
      <c r="O211" s="14">
        <v>-68711</v>
      </c>
      <c r="P211" s="15">
        <v>979</v>
      </c>
      <c r="Q211" s="16">
        <v>269058</v>
      </c>
      <c r="R211" s="16">
        <v>184991</v>
      </c>
      <c r="S211" s="16">
        <v>135099</v>
      </c>
      <c r="T211" s="16">
        <v>-207215</v>
      </c>
      <c r="U211" s="16">
        <v>14635</v>
      </c>
      <c r="V211" s="16">
        <v>67757</v>
      </c>
      <c r="W211" s="16">
        <f t="shared" si="20"/>
        <v>82392</v>
      </c>
      <c r="AF211" s="78"/>
      <c r="AG211" s="11"/>
      <c r="AH211" s="78"/>
      <c r="AI211" s="78"/>
      <c r="AJ211" s="78"/>
      <c r="AK211" s="78"/>
      <c r="AL211" s="78"/>
      <c r="AM211" s="78"/>
      <c r="AN211" s="78"/>
      <c r="AO211" s="78"/>
    </row>
    <row r="212" spans="1:41" ht="17">
      <c r="A212" s="5" t="s">
        <v>52</v>
      </c>
      <c r="B212" s="5" t="s">
        <v>37</v>
      </c>
      <c r="C212" s="5" t="s">
        <v>22</v>
      </c>
      <c r="D212" s="5">
        <v>0</v>
      </c>
      <c r="E212" s="5">
        <v>10</v>
      </c>
      <c r="F212" s="5">
        <f t="shared" si="21"/>
        <v>4.1851437505896942E-3</v>
      </c>
      <c r="G212" s="5">
        <f t="shared" si="22"/>
        <v>12.049529940423525</v>
      </c>
      <c r="H212" s="5">
        <f t="shared" si="23"/>
        <v>0.50168109976084529</v>
      </c>
      <c r="I212" s="5">
        <v>9.7451296540094379E-2</v>
      </c>
      <c r="J212" s="5">
        <f t="shared" si="24"/>
        <v>7.2868508131703081E-3</v>
      </c>
      <c r="K212" s="5">
        <f t="shared" si="19"/>
        <v>0.86</v>
      </c>
      <c r="L212" s="5"/>
      <c r="M212" s="5">
        <v>43</v>
      </c>
      <c r="N212" s="5">
        <v>50</v>
      </c>
      <c r="O212" s="14">
        <v>621</v>
      </c>
      <c r="P212" s="15">
        <v>225</v>
      </c>
      <c r="Q212" s="16">
        <v>573</v>
      </c>
      <c r="R212" s="16">
        <v>171019</v>
      </c>
      <c r="S212" s="16">
        <v>148382</v>
      </c>
      <c r="T212" s="16">
        <v>85222</v>
      </c>
      <c r="U212" s="16">
        <v>1532</v>
      </c>
      <c r="V212" s="16">
        <v>84265</v>
      </c>
      <c r="W212" s="16">
        <f t="shared" si="20"/>
        <v>85797</v>
      </c>
      <c r="AF212" s="78"/>
      <c r="AG212" s="11"/>
      <c r="AH212" s="78"/>
      <c r="AI212" s="78"/>
      <c r="AJ212" s="78"/>
      <c r="AK212" s="78"/>
      <c r="AL212" s="78"/>
      <c r="AM212" s="78"/>
      <c r="AN212" s="78"/>
      <c r="AO212" s="78"/>
    </row>
    <row r="213" spans="1:41" ht="17">
      <c r="A213" s="5" t="s">
        <v>57</v>
      </c>
      <c r="B213" s="5" t="s">
        <v>37</v>
      </c>
      <c r="C213" s="5" t="s">
        <v>22</v>
      </c>
      <c r="D213" s="5">
        <v>0</v>
      </c>
      <c r="E213" s="5">
        <v>4</v>
      </c>
      <c r="F213" s="5">
        <f t="shared" si="21"/>
        <v>7.9707271835330329E-2</v>
      </c>
      <c r="G213" s="5">
        <f t="shared" si="22"/>
        <v>13.779921721555001</v>
      </c>
      <c r="H213" s="5">
        <f t="shared" si="23"/>
        <v>0.41948236181617909</v>
      </c>
      <c r="I213" s="5">
        <v>-0.11996948424831305</v>
      </c>
      <c r="J213" s="5">
        <f t="shared" si="24"/>
        <v>6.3516005290769173E-2</v>
      </c>
      <c r="K213" s="5">
        <f t="shared" si="19"/>
        <v>1.2777777777777777</v>
      </c>
      <c r="L213" s="5"/>
      <c r="M213" s="5">
        <v>69</v>
      </c>
      <c r="N213" s="5">
        <v>54</v>
      </c>
      <c r="O213" s="14">
        <v>35583</v>
      </c>
      <c r="P213" s="15">
        <v>808</v>
      </c>
      <c r="Q213" s="16">
        <v>51039</v>
      </c>
      <c r="R213" s="16">
        <v>965037</v>
      </c>
      <c r="S213" s="16">
        <v>446421</v>
      </c>
      <c r="T213" s="16">
        <v>560221</v>
      </c>
      <c r="U213" s="16">
        <v>44961</v>
      </c>
      <c r="V213" s="16">
        <v>359855</v>
      </c>
      <c r="W213" s="16">
        <f t="shared" si="20"/>
        <v>404816</v>
      </c>
      <c r="AF213" s="78"/>
      <c r="AG213" s="11"/>
      <c r="AH213" s="78"/>
      <c r="AI213" s="78"/>
      <c r="AJ213" s="78"/>
      <c r="AK213" s="78"/>
      <c r="AL213" s="78"/>
      <c r="AM213" s="78"/>
      <c r="AN213" s="78"/>
      <c r="AO213" s="78"/>
    </row>
    <row r="214" spans="1:41" ht="17">
      <c r="A214" s="5" t="s">
        <v>59</v>
      </c>
      <c r="B214" s="5" t="s">
        <v>37</v>
      </c>
      <c r="C214" s="5" t="s">
        <v>22</v>
      </c>
      <c r="D214" s="5">
        <v>0</v>
      </c>
      <c r="E214" s="5">
        <v>14</v>
      </c>
      <c r="F214" s="5">
        <f t="shared" si="21"/>
        <v>-0.42668970895066283</v>
      </c>
      <c r="G214" s="5">
        <f t="shared" si="22"/>
        <v>12.037056182115251</v>
      </c>
      <c r="H214" s="5">
        <f t="shared" si="23"/>
        <v>0.60683603810561337</v>
      </c>
      <c r="I214" s="5">
        <v>5.9263448501670597E-2</v>
      </c>
      <c r="J214" s="5">
        <f t="shared" si="24"/>
        <v>8.7192075796726964</v>
      </c>
      <c r="K214" s="5">
        <f t="shared" si="19"/>
        <v>0.62</v>
      </c>
      <c r="L214" s="5"/>
      <c r="M214" s="5">
        <v>31</v>
      </c>
      <c r="N214" s="5">
        <v>50</v>
      </c>
      <c r="O214" s="14">
        <v>-60738</v>
      </c>
      <c r="P214" s="15">
        <v>279</v>
      </c>
      <c r="Q214" s="16">
        <v>37437</v>
      </c>
      <c r="R214" s="17">
        <v>168899</v>
      </c>
      <c r="S214" s="16">
        <v>142347</v>
      </c>
      <c r="T214" s="16">
        <v>-6966</v>
      </c>
      <c r="U214" s="16">
        <v>15947</v>
      </c>
      <c r="V214" s="16">
        <v>86547</v>
      </c>
      <c r="W214" s="17">
        <f t="shared" si="20"/>
        <v>102494</v>
      </c>
      <c r="AF214" s="78"/>
      <c r="AG214" s="11"/>
      <c r="AH214" s="78"/>
      <c r="AI214" s="78"/>
      <c r="AJ214" s="78"/>
      <c r="AK214" s="78"/>
      <c r="AL214" s="78"/>
      <c r="AM214" s="78"/>
      <c r="AN214" s="78"/>
      <c r="AO214" s="78"/>
    </row>
    <row r="215" spans="1:41" ht="17">
      <c r="A215" s="5" t="s">
        <v>68</v>
      </c>
      <c r="B215" s="5" t="s">
        <v>37</v>
      </c>
      <c r="C215" s="5" t="s">
        <v>22</v>
      </c>
      <c r="D215" s="5">
        <v>0</v>
      </c>
      <c r="E215" s="5">
        <v>12</v>
      </c>
      <c r="F215" s="5">
        <f t="shared" si="21"/>
        <v>-0.75246090777425922</v>
      </c>
      <c r="G215" s="5">
        <f t="shared" si="22"/>
        <v>12.926409318879077</v>
      </c>
      <c r="H215" s="5">
        <f t="shared" si="23"/>
        <v>0.81089714737546381</v>
      </c>
      <c r="I215" s="5">
        <v>-9.5962823892839069E-2</v>
      </c>
      <c r="J215" s="5">
        <f t="shared" si="24"/>
        <v>-1.971862697166971</v>
      </c>
      <c r="K215" s="5">
        <f t="shared" si="19"/>
        <v>0.7857142857142857</v>
      </c>
      <c r="L215" s="5"/>
      <c r="M215" s="5">
        <v>44</v>
      </c>
      <c r="N215" s="5">
        <v>56</v>
      </c>
      <c r="O215" s="14">
        <v>-153265</v>
      </c>
      <c r="P215" s="15">
        <v>452</v>
      </c>
      <c r="Q215" s="16">
        <v>64330</v>
      </c>
      <c r="R215" s="16">
        <v>411025</v>
      </c>
      <c r="S215" s="16">
        <v>203685</v>
      </c>
      <c r="T215" s="16">
        <v>77726</v>
      </c>
      <c r="U215" s="16">
        <v>59039</v>
      </c>
      <c r="V215" s="16">
        <v>274260</v>
      </c>
      <c r="W215" s="16">
        <f t="shared" si="20"/>
        <v>333299</v>
      </c>
    </row>
    <row r="216" spans="1:41" ht="17">
      <c r="A216" s="5" t="s">
        <v>91</v>
      </c>
      <c r="B216" s="5" t="s">
        <v>37</v>
      </c>
      <c r="C216" s="5" t="s">
        <v>22</v>
      </c>
      <c r="D216" s="5">
        <v>0</v>
      </c>
      <c r="E216" s="5">
        <v>5</v>
      </c>
      <c r="F216" s="5">
        <f t="shared" si="21"/>
        <v>-0.15709969788519637</v>
      </c>
      <c r="G216" s="5">
        <f t="shared" si="22"/>
        <v>11.234771191873529</v>
      </c>
      <c r="H216" s="5">
        <f t="shared" si="23"/>
        <v>0.36202752317810827</v>
      </c>
      <c r="I216" s="5">
        <v>-0.93427373469683894</v>
      </c>
      <c r="J216" s="5">
        <f t="shared" si="24"/>
        <v>-6.4662696989262747E-2</v>
      </c>
      <c r="K216" s="5">
        <f t="shared" si="19"/>
        <v>1.6341463414634145</v>
      </c>
      <c r="L216" s="5"/>
      <c r="M216" s="5">
        <v>67</v>
      </c>
      <c r="N216" s="5">
        <v>41</v>
      </c>
      <c r="O216" s="14">
        <v>-2704</v>
      </c>
      <c r="P216" s="15">
        <v>178</v>
      </c>
      <c r="Q216" s="16">
        <v>1327</v>
      </c>
      <c r="R216" s="16">
        <v>75718</v>
      </c>
      <c r="S216" s="16">
        <v>17212</v>
      </c>
      <c r="T216" s="16">
        <v>41817</v>
      </c>
      <c r="U216" s="16">
        <v>13802</v>
      </c>
      <c r="V216" s="16">
        <v>13610</v>
      </c>
      <c r="W216" s="16">
        <f t="shared" si="20"/>
        <v>27412</v>
      </c>
    </row>
    <row r="217" spans="1:41" ht="17">
      <c r="A217" s="5" t="s">
        <v>93</v>
      </c>
      <c r="B217" s="5" t="s">
        <v>37</v>
      </c>
      <c r="C217" s="5" t="s">
        <v>22</v>
      </c>
      <c r="D217" s="5">
        <v>0</v>
      </c>
      <c r="E217" s="5">
        <v>1</v>
      </c>
      <c r="F217" s="5">
        <f t="shared" si="21"/>
        <v>-8.0537667928997136E-2</v>
      </c>
      <c r="G217" s="5">
        <f t="shared" si="22"/>
        <v>13.627821019301024</v>
      </c>
      <c r="H217" s="5">
        <f t="shared" si="23"/>
        <v>0.80720424866565643</v>
      </c>
      <c r="I217" s="5">
        <v>-3.9167484908315578E-2</v>
      </c>
      <c r="J217" s="5">
        <f t="shared" si="24"/>
        <v>-0.18897020952446905</v>
      </c>
      <c r="K217" s="5">
        <f t="shared" si="19"/>
        <v>2.5757575757575757</v>
      </c>
      <c r="L217" s="5"/>
      <c r="M217" s="5">
        <v>85</v>
      </c>
      <c r="N217" s="5">
        <v>33</v>
      </c>
      <c r="O217" s="14">
        <v>-43661</v>
      </c>
      <c r="P217" s="15">
        <v>880</v>
      </c>
      <c r="Q217" s="16">
        <v>79017</v>
      </c>
      <c r="R217" s="16">
        <v>828872</v>
      </c>
      <c r="S217" s="16">
        <v>542119</v>
      </c>
      <c r="T217" s="16">
        <v>231047</v>
      </c>
      <c r="U217" s="16">
        <v>249593</v>
      </c>
      <c r="V217" s="16">
        <v>419476</v>
      </c>
      <c r="W217" s="16">
        <f t="shared" si="20"/>
        <v>669069</v>
      </c>
    </row>
    <row r="218" spans="1:41" ht="17">
      <c r="A218" s="5" t="s">
        <v>96</v>
      </c>
      <c r="B218" s="5" t="s">
        <v>37</v>
      </c>
      <c r="C218" s="5" t="s">
        <v>22</v>
      </c>
      <c r="D218" s="5">
        <v>0</v>
      </c>
      <c r="E218" s="5">
        <v>2</v>
      </c>
      <c r="F218" s="5">
        <f t="shared" si="21"/>
        <v>-0.26342970082453537</v>
      </c>
      <c r="G218" s="5">
        <f t="shared" si="22"/>
        <v>14.001924562591755</v>
      </c>
      <c r="H218" s="5">
        <f t="shared" si="23"/>
        <v>0.4405492144298257</v>
      </c>
      <c r="I218" s="5">
        <v>-0.21146486466970743</v>
      </c>
      <c r="J218" s="5">
        <f t="shared" si="24"/>
        <v>-0.19979771788735287</v>
      </c>
      <c r="K218" s="5">
        <f t="shared" si="19"/>
        <v>2.9142857142857141</v>
      </c>
      <c r="L218" s="5"/>
      <c r="M218" s="5">
        <v>102</v>
      </c>
      <c r="N218" s="5">
        <v>35</v>
      </c>
      <c r="O218" s="14">
        <v>-138083</v>
      </c>
      <c r="P218" s="15">
        <v>477</v>
      </c>
      <c r="Q218" s="16">
        <v>33643</v>
      </c>
      <c r="R218" s="16">
        <v>1204921</v>
      </c>
      <c r="S218" s="16">
        <v>524174</v>
      </c>
      <c r="T218" s="16">
        <v>691114</v>
      </c>
      <c r="U218" s="16">
        <v>94331</v>
      </c>
      <c r="V218" s="16">
        <v>436496</v>
      </c>
      <c r="W218" s="16">
        <f t="shared" si="20"/>
        <v>530827</v>
      </c>
    </row>
    <row r="219" spans="1:41" ht="17">
      <c r="A219" s="5" t="s">
        <v>97</v>
      </c>
      <c r="B219" s="5" t="s">
        <v>37</v>
      </c>
      <c r="C219" s="5" t="s">
        <v>22</v>
      </c>
      <c r="D219" s="5">
        <v>0</v>
      </c>
      <c r="E219" s="5">
        <v>3</v>
      </c>
      <c r="F219" s="5">
        <f t="shared" si="21"/>
        <v>-4.5640423453060713E-2</v>
      </c>
      <c r="G219" s="5">
        <f t="shared" si="22"/>
        <v>14.231565396426568</v>
      </c>
      <c r="H219" s="5">
        <f t="shared" si="23"/>
        <v>0.61190763135657789</v>
      </c>
      <c r="I219" s="5">
        <v>-3.2279610895886719E-2</v>
      </c>
      <c r="J219" s="5">
        <f t="shared" si="24"/>
        <v>-6.6146666943815088E-2</v>
      </c>
      <c r="K219" s="5">
        <f t="shared" si="19"/>
        <v>1.8333333333333333</v>
      </c>
      <c r="L219" s="5"/>
      <c r="M219" s="5">
        <v>66</v>
      </c>
      <c r="N219" s="5">
        <v>36</v>
      </c>
      <c r="O219" s="14">
        <v>-25458</v>
      </c>
      <c r="P219" s="15">
        <v>992</v>
      </c>
      <c r="Q219" s="16">
        <v>0</v>
      </c>
      <c r="R219" s="16">
        <v>1515969</v>
      </c>
      <c r="S219" s="16">
        <v>557795</v>
      </c>
      <c r="T219" s="16">
        <v>384872</v>
      </c>
      <c r="U219" s="16">
        <v>694602</v>
      </c>
      <c r="V219" s="16">
        <v>233031</v>
      </c>
      <c r="W219" s="16">
        <f t="shared" si="20"/>
        <v>927633</v>
      </c>
    </row>
    <row r="220" spans="1:41" ht="17">
      <c r="A220" s="5" t="s">
        <v>102</v>
      </c>
      <c r="B220" s="5" t="s">
        <v>37</v>
      </c>
      <c r="C220" s="5" t="s">
        <v>22</v>
      </c>
      <c r="D220" s="5">
        <v>0</v>
      </c>
      <c r="E220" s="5">
        <v>13</v>
      </c>
      <c r="F220" s="5">
        <f t="shared" si="21"/>
        <v>-0.14772754130131643</v>
      </c>
      <c r="G220" s="5">
        <f t="shared" si="22"/>
        <v>12.472551510330852</v>
      </c>
      <c r="H220" s="5">
        <f t="shared" si="23"/>
        <v>0.45955521848378994</v>
      </c>
      <c r="I220" s="5">
        <v>3.4890973351759225E-2</v>
      </c>
      <c r="J220" s="5">
        <f t="shared" si="24"/>
        <v>-2.0495122551028775</v>
      </c>
      <c r="K220" s="5">
        <f t="shared" si="19"/>
        <v>0.65517241379310343</v>
      </c>
      <c r="L220" s="5"/>
      <c r="M220" s="5">
        <v>38</v>
      </c>
      <c r="N220" s="5">
        <v>58</v>
      </c>
      <c r="O220" s="14">
        <v>-25002</v>
      </c>
      <c r="P220" s="15">
        <v>292</v>
      </c>
      <c r="Q220" s="16">
        <v>125233</v>
      </c>
      <c r="R220" s="16">
        <v>261072</v>
      </c>
      <c r="S220" s="16">
        <v>169244</v>
      </c>
      <c r="T220" s="16">
        <v>12199</v>
      </c>
      <c r="U220" s="16">
        <v>15843</v>
      </c>
      <c r="V220" s="16">
        <v>104134</v>
      </c>
      <c r="W220" s="16">
        <f t="shared" si="20"/>
        <v>119977</v>
      </c>
    </row>
    <row r="221" spans="1:41" ht="17">
      <c r="A221" s="5" t="s">
        <v>104</v>
      </c>
      <c r="B221" s="5" t="s">
        <v>37</v>
      </c>
      <c r="C221" s="5" t="s">
        <v>22</v>
      </c>
      <c r="D221" s="5">
        <v>0</v>
      </c>
      <c r="E221" s="5">
        <v>20</v>
      </c>
      <c r="F221" s="5">
        <f t="shared" si="21"/>
        <v>1.6471850514178637E-2</v>
      </c>
      <c r="G221" s="5">
        <f t="shared" si="22"/>
        <v>11.750878807937918</v>
      </c>
      <c r="H221" s="5">
        <f t="shared" si="23"/>
        <v>1.8442596460804792</v>
      </c>
      <c r="I221" s="5">
        <v>-0.15195883687252501</v>
      </c>
      <c r="J221" s="5">
        <f t="shared" si="24"/>
        <v>0.40611028315946351</v>
      </c>
      <c r="K221" s="5">
        <f t="shared" si="19"/>
        <v>0.34666666666666668</v>
      </c>
      <c r="L221" s="5"/>
      <c r="M221" s="5">
        <v>26</v>
      </c>
      <c r="N221" s="5">
        <v>75</v>
      </c>
      <c r="O221" s="14">
        <v>2180</v>
      </c>
      <c r="P221" s="15">
        <v>327</v>
      </c>
      <c r="Q221" s="16">
        <v>12187</v>
      </c>
      <c r="R221" s="16">
        <v>126865</v>
      </c>
      <c r="S221" s="16">
        <v>132347</v>
      </c>
      <c r="T221" s="16">
        <v>5368</v>
      </c>
      <c r="U221" s="16">
        <v>17363</v>
      </c>
      <c r="V221" s="16">
        <v>216609</v>
      </c>
      <c r="W221" s="16">
        <f t="shared" si="20"/>
        <v>233972</v>
      </c>
    </row>
    <row r="222" spans="1:41" ht="17">
      <c r="A222" s="5" t="s">
        <v>121</v>
      </c>
      <c r="B222" s="5" t="s">
        <v>37</v>
      </c>
      <c r="C222" s="5" t="s">
        <v>22</v>
      </c>
      <c r="D222" s="5">
        <v>0</v>
      </c>
      <c r="E222" s="5">
        <v>11</v>
      </c>
      <c r="F222" s="5">
        <f t="shared" si="21"/>
        <v>-0.49050477647262547</v>
      </c>
      <c r="G222" s="5">
        <f t="shared" si="22"/>
        <v>12.48410581669433</v>
      </c>
      <c r="H222" s="5">
        <f t="shared" si="23"/>
        <v>1.4455445919441436</v>
      </c>
      <c r="I222" s="5">
        <v>-0.2439297150743818</v>
      </c>
      <c r="J222" s="5">
        <f t="shared" si="24"/>
        <v>-4.8722138608184622</v>
      </c>
      <c r="K222" s="5">
        <f t="shared" si="19"/>
        <v>0.85</v>
      </c>
      <c r="L222" s="5"/>
      <c r="M222" s="5">
        <v>51</v>
      </c>
      <c r="N222" s="5">
        <v>60</v>
      </c>
      <c r="O222" s="14">
        <v>-67982</v>
      </c>
      <c r="P222" s="15">
        <v>431</v>
      </c>
      <c r="Q222" s="16">
        <v>106340</v>
      </c>
      <c r="R222" s="16">
        <v>264106</v>
      </c>
      <c r="S222" s="16">
        <v>138596</v>
      </c>
      <c r="T222" s="16">
        <v>13953</v>
      </c>
      <c r="U222" s="16">
        <v>33545</v>
      </c>
      <c r="V222" s="16">
        <v>348232</v>
      </c>
      <c r="W222" s="16">
        <f t="shared" si="20"/>
        <v>381777</v>
      </c>
    </row>
    <row r="223" spans="1:41" ht="17">
      <c r="A223" s="5" t="s">
        <v>127</v>
      </c>
      <c r="B223" s="5" t="s">
        <v>37</v>
      </c>
      <c r="C223" s="5" t="s">
        <v>22</v>
      </c>
      <c r="D223" s="5">
        <v>0</v>
      </c>
      <c r="E223" s="5">
        <v>6</v>
      </c>
      <c r="F223" s="5">
        <f t="shared" si="21"/>
        <v>-0.1631093194346438</v>
      </c>
      <c r="G223" s="5">
        <f t="shared" si="22"/>
        <v>14.534530629921203</v>
      </c>
      <c r="H223" s="5">
        <f t="shared" si="23"/>
        <v>0.81857815721043592</v>
      </c>
      <c r="I223" s="5">
        <v>2.1338084115483966E-2</v>
      </c>
      <c r="J223" s="5">
        <f t="shared" si="24"/>
        <v>-0.18809519972928987</v>
      </c>
      <c r="K223" s="5">
        <f t="shared" si="19"/>
        <v>1.2978723404255319</v>
      </c>
      <c r="L223" s="5"/>
      <c r="M223" s="5">
        <v>61</v>
      </c>
      <c r="N223" s="5">
        <v>47</v>
      </c>
      <c r="O223" s="14">
        <v>-70038</v>
      </c>
      <c r="P223" s="15">
        <v>647</v>
      </c>
      <c r="Q223" s="16">
        <v>193252</v>
      </c>
      <c r="R223" s="16">
        <v>2052421</v>
      </c>
      <c r="S223" s="16">
        <v>429393</v>
      </c>
      <c r="T223" s="16">
        <v>372354</v>
      </c>
      <c r="U223" s="16">
        <v>1075416</v>
      </c>
      <c r="V223" s="16">
        <v>604651</v>
      </c>
      <c r="W223" s="16">
        <f t="shared" ref="W223:W254" si="25">U223+V223</f>
        <v>1680067</v>
      </c>
    </row>
    <row r="224" spans="1:41" ht="17">
      <c r="A224" s="5" t="s">
        <v>135</v>
      </c>
      <c r="B224" s="5" t="s">
        <v>37</v>
      </c>
      <c r="C224" s="5" t="s">
        <v>22</v>
      </c>
      <c r="D224" s="5">
        <v>0</v>
      </c>
      <c r="E224" s="5">
        <v>19</v>
      </c>
      <c r="F224" s="5">
        <f t="shared" si="21"/>
        <v>-0.26332362314321134</v>
      </c>
      <c r="G224" s="5">
        <f t="shared" si="22"/>
        <v>12.488737151020157</v>
      </c>
      <c r="H224" s="5">
        <f t="shared" si="23"/>
        <v>0.96157644008261345</v>
      </c>
      <c r="I224" s="5">
        <v>-0.11955400790196209</v>
      </c>
      <c r="J224" s="5">
        <f t="shared" si="24"/>
        <v>-3.395880333496812</v>
      </c>
      <c r="K224" s="5">
        <f t="shared" si="19"/>
        <v>0.5625</v>
      </c>
      <c r="L224" s="5"/>
      <c r="M224" s="5">
        <v>36</v>
      </c>
      <c r="N224" s="5">
        <v>64</v>
      </c>
      <c r="O224" s="14">
        <v>-34621</v>
      </c>
      <c r="P224" s="15">
        <v>328</v>
      </c>
      <c r="Q224" s="16">
        <v>24296</v>
      </c>
      <c r="R224" s="16">
        <v>265332</v>
      </c>
      <c r="S224" s="16">
        <v>131477</v>
      </c>
      <c r="T224" s="16">
        <v>10195</v>
      </c>
      <c r="U224" s="16">
        <v>133327</v>
      </c>
      <c r="V224" s="16">
        <v>121810</v>
      </c>
      <c r="W224" s="16">
        <f t="shared" si="25"/>
        <v>255137</v>
      </c>
    </row>
    <row r="225" spans="1:23" ht="17">
      <c r="A225" s="5" t="s">
        <v>136</v>
      </c>
      <c r="B225" s="5" t="s">
        <v>37</v>
      </c>
      <c r="C225" s="5" t="s">
        <v>22</v>
      </c>
      <c r="D225" s="5">
        <v>0</v>
      </c>
      <c r="E225" s="5">
        <v>16</v>
      </c>
      <c r="F225" s="5">
        <f t="shared" si="21"/>
        <v>-0.46705560263346585</v>
      </c>
      <c r="G225" s="5">
        <f t="shared" si="22"/>
        <v>12.418345322420965</v>
      </c>
      <c r="H225" s="5">
        <f t="shared" si="23"/>
        <v>1.6392030635228085</v>
      </c>
      <c r="I225" s="5">
        <v>-0.31016961346835259</v>
      </c>
      <c r="J225" s="5">
        <f t="shared" si="24"/>
        <v>0.45327791589961602</v>
      </c>
      <c r="K225" s="5">
        <f t="shared" si="19"/>
        <v>0.79032258064516125</v>
      </c>
      <c r="L225" s="5"/>
      <c r="M225" s="5">
        <v>49</v>
      </c>
      <c r="N225" s="5">
        <v>62</v>
      </c>
      <c r="O225" s="14">
        <v>-71651</v>
      </c>
      <c r="P225" s="15">
        <v>582</v>
      </c>
      <c r="Q225" s="16">
        <v>146844</v>
      </c>
      <c r="R225" s="16">
        <v>247297</v>
      </c>
      <c r="S225" s="16">
        <v>153410</v>
      </c>
      <c r="T225" s="16">
        <v>-158073</v>
      </c>
      <c r="U225" s="16">
        <v>119329</v>
      </c>
      <c r="V225" s="16">
        <v>286041</v>
      </c>
      <c r="W225" s="16">
        <f t="shared" si="25"/>
        <v>405370</v>
      </c>
    </row>
    <row r="226" spans="1:23" ht="17">
      <c r="A226" s="5" t="s">
        <v>137</v>
      </c>
      <c r="B226" s="5" t="s">
        <v>37</v>
      </c>
      <c r="C226" s="5" t="s">
        <v>22</v>
      </c>
      <c r="D226" s="5">
        <v>1</v>
      </c>
      <c r="E226" s="5">
        <v>7</v>
      </c>
      <c r="F226" s="5">
        <f t="shared" si="21"/>
        <v>-0.27653383848019841</v>
      </c>
      <c r="G226" s="5">
        <f t="shared" si="22"/>
        <v>12.644456600395447</v>
      </c>
      <c r="H226" s="5">
        <f t="shared" si="23"/>
        <v>1.2762933814991615</v>
      </c>
      <c r="I226" s="5">
        <v>-0.34688900459717936</v>
      </c>
      <c r="J226" s="5">
        <f t="shared" si="24"/>
        <v>0.4737573253017674</v>
      </c>
      <c r="K226" s="5">
        <f t="shared" si="19"/>
        <v>1.2749999999999999</v>
      </c>
      <c r="L226" s="5"/>
      <c r="M226" s="5">
        <v>51</v>
      </c>
      <c r="N226" s="5">
        <v>40</v>
      </c>
      <c r="O226" s="14">
        <v>-40583</v>
      </c>
      <c r="P226" s="15">
        <v>380</v>
      </c>
      <c r="Q226" s="16">
        <v>178425</v>
      </c>
      <c r="R226" s="16">
        <v>310040</v>
      </c>
      <c r="S226" s="16">
        <v>146756</v>
      </c>
      <c r="T226" s="16">
        <v>-85662</v>
      </c>
      <c r="U226" s="16">
        <v>80459</v>
      </c>
      <c r="V226" s="16">
        <v>315243</v>
      </c>
      <c r="W226" s="16">
        <f t="shared" si="25"/>
        <v>395702</v>
      </c>
    </row>
    <row r="227" spans="1:23" ht="17">
      <c r="A227" s="5" t="s">
        <v>36</v>
      </c>
      <c r="B227" s="5" t="s">
        <v>37</v>
      </c>
      <c r="C227" s="5" t="s">
        <v>21</v>
      </c>
      <c r="D227" s="5">
        <v>0</v>
      </c>
      <c r="E227" s="5">
        <v>5</v>
      </c>
      <c r="F227" s="5">
        <f t="shared" si="21"/>
        <v>-6.844541844810742E-2</v>
      </c>
      <c r="G227" s="5">
        <f t="shared" si="22"/>
        <v>13.85501776853479</v>
      </c>
      <c r="H227" s="5">
        <f t="shared" si="23"/>
        <v>0.57395477065225542</v>
      </c>
      <c r="I227" s="5">
        <v>0.16110097853773522</v>
      </c>
      <c r="J227" s="5">
        <f t="shared" si="24"/>
        <v>-6.8917046844188132E-2</v>
      </c>
      <c r="K227" s="5">
        <f t="shared" si="19"/>
        <v>1.4313725490196079</v>
      </c>
      <c r="L227" s="5"/>
      <c r="M227" s="5">
        <v>73</v>
      </c>
      <c r="N227" s="5">
        <v>51</v>
      </c>
      <c r="O227" s="14">
        <v>-30545</v>
      </c>
      <c r="P227" s="15">
        <v>724</v>
      </c>
      <c r="Q227" s="16">
        <v>10172</v>
      </c>
      <c r="R227" s="16">
        <v>1040298</v>
      </c>
      <c r="S227" s="16">
        <v>446268</v>
      </c>
      <c r="T227" s="16">
        <v>443214</v>
      </c>
      <c r="U227" s="16">
        <v>319195</v>
      </c>
      <c r="V227" s="16">
        <v>277889</v>
      </c>
      <c r="W227" s="17">
        <f t="shared" si="25"/>
        <v>597084</v>
      </c>
    </row>
    <row r="228" spans="1:23" ht="17">
      <c r="A228" s="5" t="s">
        <v>49</v>
      </c>
      <c r="B228" s="5" t="s">
        <v>37</v>
      </c>
      <c r="C228" s="5" t="s">
        <v>21</v>
      </c>
      <c r="D228" s="5">
        <v>0</v>
      </c>
      <c r="E228" s="5">
        <v>14</v>
      </c>
      <c r="F228" s="5">
        <f t="shared" si="21"/>
        <v>-0.24723565208107737</v>
      </c>
      <c r="G228" s="5">
        <f t="shared" si="22"/>
        <v>12.022522334126382</v>
      </c>
      <c r="H228" s="5">
        <f t="shared" si="23"/>
        <v>1.3517859931996492</v>
      </c>
      <c r="I228" s="5">
        <v>0.37485846089326902</v>
      </c>
      <c r="J228" s="5">
        <f t="shared" si="24"/>
        <v>0.55244862488498103</v>
      </c>
      <c r="K228" s="5">
        <f t="shared" si="19"/>
        <v>0.8</v>
      </c>
      <c r="L228" s="5"/>
      <c r="M228" s="5">
        <v>56</v>
      </c>
      <c r="N228" s="5">
        <v>70</v>
      </c>
      <c r="O228" s="14">
        <v>-32421</v>
      </c>
      <c r="P228" s="15">
        <v>621</v>
      </c>
      <c r="Q228" s="16">
        <v>39600</v>
      </c>
      <c r="R228" s="16">
        <v>166462</v>
      </c>
      <c r="S228" s="16">
        <v>131134</v>
      </c>
      <c r="T228" s="16">
        <v>-58686</v>
      </c>
      <c r="U228" s="16">
        <v>120739</v>
      </c>
      <c r="V228" s="16">
        <v>104282</v>
      </c>
      <c r="W228" s="17">
        <f t="shared" si="25"/>
        <v>225021</v>
      </c>
    </row>
    <row r="229" spans="1:23" ht="17">
      <c r="A229" s="5" t="s">
        <v>51</v>
      </c>
      <c r="B229" s="5" t="s">
        <v>37</v>
      </c>
      <c r="C229" s="5" t="s">
        <v>21</v>
      </c>
      <c r="D229" s="5">
        <v>0</v>
      </c>
      <c r="E229" s="5">
        <v>17</v>
      </c>
      <c r="F229" s="5">
        <f t="shared" si="21"/>
        <v>-0.11192715742243556</v>
      </c>
      <c r="G229" s="5">
        <f t="shared" si="22"/>
        <v>12.007786327401963</v>
      </c>
      <c r="H229" s="5">
        <f t="shared" si="23"/>
        <v>1.8591329476244765</v>
      </c>
      <c r="I229" s="5">
        <v>0.18118564904255399</v>
      </c>
      <c r="J229" s="5">
        <f t="shared" si="24"/>
        <v>0.12674477189347222</v>
      </c>
      <c r="K229" s="5">
        <f t="shared" si="19"/>
        <v>0.58333333333333337</v>
      </c>
      <c r="L229" s="5"/>
      <c r="M229" s="5">
        <v>35</v>
      </c>
      <c r="N229" s="5">
        <v>60</v>
      </c>
      <c r="O229" s="14">
        <v>-17861</v>
      </c>
      <c r="P229" s="15">
        <v>954</v>
      </c>
      <c r="Q229" s="16">
        <v>243646</v>
      </c>
      <c r="R229" s="16">
        <v>164027</v>
      </c>
      <c r="S229" s="16">
        <v>159577</v>
      </c>
      <c r="T229" s="16">
        <v>-140921</v>
      </c>
      <c r="U229" s="16">
        <v>9758</v>
      </c>
      <c r="V229" s="16">
        <v>295190</v>
      </c>
      <c r="W229" s="17">
        <f t="shared" si="25"/>
        <v>304948</v>
      </c>
    </row>
    <row r="230" spans="1:23" ht="17">
      <c r="A230" s="5" t="s">
        <v>52</v>
      </c>
      <c r="B230" s="5" t="s">
        <v>37</v>
      </c>
      <c r="C230" s="5" t="s">
        <v>21</v>
      </c>
      <c r="D230" s="5">
        <v>0</v>
      </c>
      <c r="E230" s="5">
        <v>15</v>
      </c>
      <c r="F230" s="5">
        <f t="shared" si="21"/>
        <v>3.2781549637749555E-2</v>
      </c>
      <c r="G230" s="5">
        <f t="shared" si="22"/>
        <v>11.896369887709124</v>
      </c>
      <c r="H230" s="5">
        <f t="shared" si="23"/>
        <v>0.42030081849345408</v>
      </c>
      <c r="I230" s="5">
        <v>3.5320995808116887E-2</v>
      </c>
      <c r="J230" s="5">
        <f t="shared" si="24"/>
        <v>5.920526687044439E-2</v>
      </c>
      <c r="K230" s="5">
        <f t="shared" si="19"/>
        <v>0.66176470588235292</v>
      </c>
      <c r="L230" s="5"/>
      <c r="M230" s="5">
        <v>45</v>
      </c>
      <c r="N230" s="5">
        <v>68</v>
      </c>
      <c r="O230" s="14">
        <v>5036</v>
      </c>
      <c r="P230" s="15">
        <v>255</v>
      </c>
      <c r="Q230" s="16">
        <v>576</v>
      </c>
      <c r="R230" s="16">
        <v>146733</v>
      </c>
      <c r="S230" s="16">
        <v>153623</v>
      </c>
      <c r="T230" s="16">
        <v>85060</v>
      </c>
      <c r="U230" s="16">
        <v>9989</v>
      </c>
      <c r="V230" s="16">
        <v>51683</v>
      </c>
      <c r="W230" s="17">
        <f t="shared" si="25"/>
        <v>61672</v>
      </c>
    </row>
    <row r="231" spans="1:23" ht="17">
      <c r="A231" s="5" t="s">
        <v>57</v>
      </c>
      <c r="B231" s="5" t="s">
        <v>37</v>
      </c>
      <c r="C231" s="5" t="s">
        <v>21</v>
      </c>
      <c r="D231" s="5">
        <v>1</v>
      </c>
      <c r="E231" s="5">
        <v>3</v>
      </c>
      <c r="F231" s="5">
        <f t="shared" si="21"/>
        <v>-0.21616841006284257</v>
      </c>
      <c r="G231" s="5">
        <f t="shared" si="22"/>
        <v>13.792387263350053</v>
      </c>
      <c r="H231" s="5">
        <f t="shared" si="23"/>
        <v>0.47095202130294267</v>
      </c>
      <c r="I231" s="5">
        <v>0.1156957221994485</v>
      </c>
      <c r="J231" s="5">
        <f t="shared" si="24"/>
        <v>-0.20827111011382013</v>
      </c>
      <c r="K231" s="5">
        <f t="shared" si="19"/>
        <v>1.6153846153846154</v>
      </c>
      <c r="L231" s="5"/>
      <c r="M231" s="5">
        <v>63</v>
      </c>
      <c r="N231" s="5">
        <v>39</v>
      </c>
      <c r="O231" s="14">
        <v>-107667</v>
      </c>
      <c r="P231" s="15">
        <v>798</v>
      </c>
      <c r="Q231" s="16">
        <v>79395</v>
      </c>
      <c r="R231" s="16">
        <v>977142</v>
      </c>
      <c r="S231" s="16">
        <v>498070</v>
      </c>
      <c r="T231" s="16">
        <v>516956</v>
      </c>
      <c r="U231" s="16">
        <v>43274</v>
      </c>
      <c r="V231" s="16">
        <v>416913</v>
      </c>
      <c r="W231" s="17">
        <f t="shared" si="25"/>
        <v>460187</v>
      </c>
    </row>
    <row r="232" spans="1:23" ht="17">
      <c r="A232" s="5" t="s">
        <v>59</v>
      </c>
      <c r="B232" s="5" t="s">
        <v>37</v>
      </c>
      <c r="C232" s="5" t="s">
        <v>21</v>
      </c>
      <c r="D232" s="5">
        <v>0</v>
      </c>
      <c r="E232" s="5">
        <v>12</v>
      </c>
      <c r="F232" s="5">
        <f t="shared" si="21"/>
        <v>1.6788499652518597E-2</v>
      </c>
      <c r="G232" s="5">
        <f t="shared" si="22"/>
        <v>12.223087075689303</v>
      </c>
      <c r="H232" s="5">
        <f t="shared" si="23"/>
        <v>0.46974418970466791</v>
      </c>
      <c r="I232" s="5">
        <v>9.1726555529796902E-2</v>
      </c>
      <c r="J232" s="5">
        <f t="shared" si="24"/>
        <v>7.8355407394059523E-2</v>
      </c>
      <c r="K232" s="5">
        <f t="shared" si="19"/>
        <v>0.96226415094339623</v>
      </c>
      <c r="L232" s="5"/>
      <c r="M232" s="5">
        <v>51</v>
      </c>
      <c r="N232" s="5">
        <v>53</v>
      </c>
      <c r="O232" s="14">
        <v>2609</v>
      </c>
      <c r="P232" s="15">
        <v>236</v>
      </c>
      <c r="Q232" s="16">
        <v>24375</v>
      </c>
      <c r="R232" s="17">
        <v>203432</v>
      </c>
      <c r="S232" s="16">
        <v>155404</v>
      </c>
      <c r="T232" s="16">
        <v>33297</v>
      </c>
      <c r="U232" s="16">
        <v>26101</v>
      </c>
      <c r="V232" s="16">
        <v>69460</v>
      </c>
      <c r="W232" s="17">
        <f t="shared" si="25"/>
        <v>95561</v>
      </c>
    </row>
    <row r="233" spans="1:23" ht="17">
      <c r="A233" s="5" t="s">
        <v>68</v>
      </c>
      <c r="B233" s="5" t="s">
        <v>37</v>
      </c>
      <c r="C233" s="5" t="s">
        <v>21</v>
      </c>
      <c r="D233" s="5">
        <v>0</v>
      </c>
      <c r="E233" s="5">
        <v>8</v>
      </c>
      <c r="F233" s="5">
        <f t="shared" si="21"/>
        <v>-0.59582461070803816</v>
      </c>
      <c r="G233" s="5">
        <f t="shared" si="22"/>
        <v>13.001690670667118</v>
      </c>
      <c r="H233" s="5">
        <f t="shared" si="23"/>
        <v>0.59545719172672751</v>
      </c>
      <c r="I233" s="5">
        <v>2.7203770528021209E-2</v>
      </c>
      <c r="J233" s="5">
        <f t="shared" si="24"/>
        <v>-0.69535969477400894</v>
      </c>
      <c r="K233" s="5">
        <f t="shared" si="19"/>
        <v>1.173913043478261</v>
      </c>
      <c r="L233" s="5"/>
      <c r="M233" s="5">
        <v>54</v>
      </c>
      <c r="N233" s="5">
        <v>46</v>
      </c>
      <c r="O233" s="14">
        <v>-124662</v>
      </c>
      <c r="P233" s="15">
        <v>456</v>
      </c>
      <c r="Q233" s="16">
        <v>19999</v>
      </c>
      <c r="R233" s="16">
        <v>443162</v>
      </c>
      <c r="S233" s="16">
        <v>209226</v>
      </c>
      <c r="T233" s="16">
        <v>179277</v>
      </c>
      <c r="U233" s="16">
        <v>77885</v>
      </c>
      <c r="V233" s="16">
        <v>185999</v>
      </c>
      <c r="W233" s="17">
        <f t="shared" si="25"/>
        <v>263884</v>
      </c>
    </row>
    <row r="234" spans="1:23" ht="17">
      <c r="A234" s="5" t="s">
        <v>72</v>
      </c>
      <c r="B234" s="5" t="s">
        <v>37</v>
      </c>
      <c r="C234" s="5" t="s">
        <v>21</v>
      </c>
      <c r="D234" s="5">
        <v>0</v>
      </c>
      <c r="E234" s="5">
        <v>19</v>
      </c>
      <c r="F234" s="5">
        <f t="shared" si="21"/>
        <v>-0.1465017092625753</v>
      </c>
      <c r="G234" s="5">
        <f t="shared" si="22"/>
        <v>12.517296668814931</v>
      </c>
      <c r="H234" s="5">
        <f t="shared" si="23"/>
        <v>0.40743684505473976</v>
      </c>
      <c r="I234" s="5">
        <v>0.13383832790685657</v>
      </c>
      <c r="J234" s="5">
        <f t="shared" si="24"/>
        <v>-0.13907071905848029</v>
      </c>
      <c r="K234" s="5">
        <f t="shared" si="19"/>
        <v>0.41975308641975306</v>
      </c>
      <c r="L234" s="5"/>
      <c r="M234" s="5">
        <v>34</v>
      </c>
      <c r="N234" s="5">
        <v>81</v>
      </c>
      <c r="O234" s="14">
        <v>-22499</v>
      </c>
      <c r="P234" s="15">
        <v>266</v>
      </c>
      <c r="Q234" s="16">
        <v>370</v>
      </c>
      <c r="R234" s="16">
        <v>273019</v>
      </c>
      <c r="S234" s="16">
        <v>153575</v>
      </c>
      <c r="T234" s="16">
        <v>161781</v>
      </c>
      <c r="U234" s="16">
        <v>54814</v>
      </c>
      <c r="V234" s="16">
        <v>56424</v>
      </c>
      <c r="W234" s="17">
        <f t="shared" si="25"/>
        <v>111238</v>
      </c>
    </row>
    <row r="235" spans="1:23" ht="17">
      <c r="A235" s="5" t="s">
        <v>91</v>
      </c>
      <c r="B235" s="5" t="s">
        <v>37</v>
      </c>
      <c r="C235" s="5" t="s">
        <v>21</v>
      </c>
      <c r="D235" s="5">
        <v>0</v>
      </c>
      <c r="E235" s="5">
        <v>9</v>
      </c>
      <c r="F235" s="5">
        <f t="shared" si="21"/>
        <v>0.19769242295589631</v>
      </c>
      <c r="G235" s="5">
        <f t="shared" si="22"/>
        <v>11.28640120549654</v>
      </c>
      <c r="H235" s="5">
        <f t="shared" si="23"/>
        <v>0.35709268782139719</v>
      </c>
      <c r="I235" s="5">
        <v>0.16320009295840113</v>
      </c>
      <c r="J235" s="5">
        <f t="shared" si="24"/>
        <v>8.7975105579017554E-2</v>
      </c>
      <c r="K235" s="5">
        <f t="shared" ref="K235:K298" si="26">M235/N235</f>
        <v>1.0625</v>
      </c>
      <c r="L235" s="5"/>
      <c r="M235" s="5">
        <v>51</v>
      </c>
      <c r="N235" s="5">
        <v>48</v>
      </c>
      <c r="O235" s="14">
        <v>3958</v>
      </c>
      <c r="P235" s="15">
        <v>171</v>
      </c>
      <c r="Q235" s="16">
        <v>9195</v>
      </c>
      <c r="R235" s="16">
        <v>79730</v>
      </c>
      <c r="S235" s="16">
        <v>20021</v>
      </c>
      <c r="T235" s="16">
        <v>44990</v>
      </c>
      <c r="U235" s="16">
        <v>17136</v>
      </c>
      <c r="V235" s="16">
        <v>11335</v>
      </c>
      <c r="W235" s="17">
        <f t="shared" si="25"/>
        <v>28471</v>
      </c>
    </row>
    <row r="236" spans="1:23" ht="17">
      <c r="A236" s="5" t="s">
        <v>93</v>
      </c>
      <c r="B236" s="5" t="s">
        <v>37</v>
      </c>
      <c r="C236" s="5" t="s">
        <v>21</v>
      </c>
      <c r="D236" s="5">
        <v>0</v>
      </c>
      <c r="E236" s="5">
        <v>2</v>
      </c>
      <c r="F236" s="5">
        <f t="shared" si="21"/>
        <v>6.2647064203554315E-2</v>
      </c>
      <c r="G236" s="5">
        <f t="shared" si="22"/>
        <v>13.641139313517199</v>
      </c>
      <c r="H236" s="5">
        <f t="shared" si="23"/>
        <v>0.66660357030185058</v>
      </c>
      <c r="I236" s="5">
        <v>0.10926383321743012</v>
      </c>
      <c r="J236" s="5">
        <f t="shared" si="24"/>
        <v>0.13452288706619198</v>
      </c>
      <c r="K236" s="5">
        <f t="shared" si="26"/>
        <v>4.0454545454545459</v>
      </c>
      <c r="L236" s="5"/>
      <c r="M236" s="5">
        <v>89</v>
      </c>
      <c r="N236" s="5">
        <v>22</v>
      </c>
      <c r="O236" s="14">
        <v>37673</v>
      </c>
      <c r="P236" s="15">
        <v>853</v>
      </c>
      <c r="Q236" s="16">
        <v>89466</v>
      </c>
      <c r="R236" s="16">
        <v>839985</v>
      </c>
      <c r="S236" s="16">
        <v>601353</v>
      </c>
      <c r="T236" s="16">
        <v>280049</v>
      </c>
      <c r="U236" s="16">
        <v>148748</v>
      </c>
      <c r="V236" s="16">
        <v>411189</v>
      </c>
      <c r="W236" s="17">
        <f t="shared" si="25"/>
        <v>559937</v>
      </c>
    </row>
    <row r="237" spans="1:23" ht="17">
      <c r="A237" s="5" t="s">
        <v>96</v>
      </c>
      <c r="B237" s="5" t="s">
        <v>37</v>
      </c>
      <c r="C237" s="5" t="s">
        <v>21</v>
      </c>
      <c r="D237" s="5">
        <v>1</v>
      </c>
      <c r="E237" s="5">
        <v>1</v>
      </c>
      <c r="F237" s="5">
        <f t="shared" si="21"/>
        <v>1.8833234449215464E-2</v>
      </c>
      <c r="G237" s="5">
        <f t="shared" si="22"/>
        <v>14.091654825191942</v>
      </c>
      <c r="H237" s="5">
        <f t="shared" si="23"/>
        <v>0.35990843966562419</v>
      </c>
      <c r="I237" s="5">
        <v>0.13828232609782248</v>
      </c>
      <c r="J237" s="5">
        <f t="shared" si="24"/>
        <v>1.3319267718822045E-2</v>
      </c>
      <c r="K237" s="5">
        <f t="shared" si="26"/>
        <v>4.1304347826086953</v>
      </c>
      <c r="L237" s="5"/>
      <c r="M237" s="5">
        <v>95</v>
      </c>
      <c r="N237" s="5">
        <v>23</v>
      </c>
      <c r="O237" s="14">
        <v>11237</v>
      </c>
      <c r="P237" s="15">
        <v>463</v>
      </c>
      <c r="Q237" s="16">
        <v>10966</v>
      </c>
      <c r="R237" s="16">
        <v>1318038</v>
      </c>
      <c r="S237" s="16">
        <v>596658</v>
      </c>
      <c r="T237" s="16">
        <v>843665</v>
      </c>
      <c r="U237" s="16">
        <v>96437</v>
      </c>
      <c r="V237" s="16">
        <v>377936</v>
      </c>
      <c r="W237" s="17">
        <f t="shared" si="25"/>
        <v>474373</v>
      </c>
    </row>
    <row r="238" spans="1:23" ht="17">
      <c r="A238" s="5" t="s">
        <v>97</v>
      </c>
      <c r="B238" s="5" t="s">
        <v>37</v>
      </c>
      <c r="C238" s="5" t="s">
        <v>21</v>
      </c>
      <c r="D238" s="5">
        <v>0</v>
      </c>
      <c r="E238" s="5">
        <v>6</v>
      </c>
      <c r="F238" s="5">
        <f t="shared" si="21"/>
        <v>3.01069117173812E-2</v>
      </c>
      <c r="G238" s="5">
        <f t="shared" si="22"/>
        <v>14.327416997438482</v>
      </c>
      <c r="H238" s="5">
        <f t="shared" si="23"/>
        <v>0.722555828127463</v>
      </c>
      <c r="I238" s="5">
        <v>0.25346229349492194</v>
      </c>
      <c r="J238" s="5">
        <f t="shared" si="24"/>
        <v>4.5473496836297575E-2</v>
      </c>
      <c r="K238" s="5">
        <f t="shared" si="26"/>
        <v>1.2037037037037037</v>
      </c>
      <c r="L238" s="5"/>
      <c r="M238" s="5">
        <v>65</v>
      </c>
      <c r="N238" s="5">
        <v>54</v>
      </c>
      <c r="O238" s="14">
        <v>21050</v>
      </c>
      <c r="P238" s="15">
        <v>940</v>
      </c>
      <c r="Q238" s="16">
        <v>0</v>
      </c>
      <c r="R238" s="16">
        <v>1668469</v>
      </c>
      <c r="S238" s="16">
        <v>699175</v>
      </c>
      <c r="T238" s="16">
        <v>462907</v>
      </c>
      <c r="U238" s="16">
        <v>727446</v>
      </c>
      <c r="V238" s="16">
        <v>478116</v>
      </c>
      <c r="W238" s="17">
        <f t="shared" si="25"/>
        <v>1205562</v>
      </c>
    </row>
    <row r="239" spans="1:23" ht="17">
      <c r="A239" s="5" t="s">
        <v>102</v>
      </c>
      <c r="B239" s="5" t="s">
        <v>37</v>
      </c>
      <c r="C239" s="5" t="s">
        <v>21</v>
      </c>
      <c r="D239" s="5">
        <v>0</v>
      </c>
      <c r="E239" s="5">
        <v>13</v>
      </c>
      <c r="F239" s="5">
        <f t="shared" si="21"/>
        <v>0.19687272838181993</v>
      </c>
      <c r="G239" s="5">
        <f t="shared" si="22"/>
        <v>12.394471531227319</v>
      </c>
      <c r="H239" s="5">
        <f t="shared" si="23"/>
        <v>0.84510256229732916</v>
      </c>
      <c r="I239" s="5">
        <v>0.16235139798161236</v>
      </c>
      <c r="J239" s="5">
        <f t="shared" si="24"/>
        <v>1.035451701735155</v>
      </c>
      <c r="K239" s="5">
        <f t="shared" si="26"/>
        <v>0.875</v>
      </c>
      <c r="L239" s="5"/>
      <c r="M239" s="5">
        <v>42</v>
      </c>
      <c r="N239" s="5">
        <v>48</v>
      </c>
      <c r="O239" s="14">
        <v>38729</v>
      </c>
      <c r="P239" s="15">
        <v>274</v>
      </c>
      <c r="Q239" s="16">
        <v>2092</v>
      </c>
      <c r="R239" s="16">
        <v>241463</v>
      </c>
      <c r="S239" s="16">
        <v>196721</v>
      </c>
      <c r="T239" s="16">
        <v>37403</v>
      </c>
      <c r="U239" s="16">
        <v>161592</v>
      </c>
      <c r="V239" s="16">
        <v>42469</v>
      </c>
      <c r="W239" s="17">
        <f t="shared" si="25"/>
        <v>204061</v>
      </c>
    </row>
    <row r="240" spans="1:23" ht="17">
      <c r="A240" s="5" t="s">
        <v>121</v>
      </c>
      <c r="B240" s="5" t="s">
        <v>37</v>
      </c>
      <c r="C240" s="5" t="s">
        <v>21</v>
      </c>
      <c r="D240" s="5">
        <v>0</v>
      </c>
      <c r="E240" s="5">
        <v>16</v>
      </c>
      <c r="F240" s="5">
        <f t="shared" si="21"/>
        <v>-0.23668528979531095</v>
      </c>
      <c r="G240" s="5">
        <f t="shared" si="22"/>
        <v>12.496534600525615</v>
      </c>
      <c r="H240" s="5">
        <f t="shared" si="23"/>
        <v>0.75113029105228324</v>
      </c>
      <c r="I240" s="5">
        <v>0.16359057981471326</v>
      </c>
      <c r="J240" s="5">
        <f t="shared" si="24"/>
        <v>-0.57355371900826446</v>
      </c>
      <c r="K240" s="5">
        <f t="shared" si="26"/>
        <v>0.69230769230769229</v>
      </c>
      <c r="L240" s="5"/>
      <c r="M240" s="5">
        <v>45</v>
      </c>
      <c r="N240" s="5">
        <v>65</v>
      </c>
      <c r="O240" s="14">
        <v>-38170</v>
      </c>
      <c r="P240" s="15">
        <v>385</v>
      </c>
      <c r="Q240" s="16">
        <v>48907</v>
      </c>
      <c r="R240" s="16">
        <v>267409</v>
      </c>
      <c r="S240" s="16">
        <v>161269</v>
      </c>
      <c r="T240" s="16">
        <v>66550</v>
      </c>
      <c r="U240" s="16">
        <v>58405</v>
      </c>
      <c r="V240" s="16">
        <v>142454</v>
      </c>
      <c r="W240" s="17">
        <f t="shared" si="25"/>
        <v>200859</v>
      </c>
    </row>
    <row r="241" spans="1:23" ht="17">
      <c r="A241" s="5" t="s">
        <v>127</v>
      </c>
      <c r="B241" s="5" t="s">
        <v>37</v>
      </c>
      <c r="C241" s="5" t="s">
        <v>21</v>
      </c>
      <c r="D241" s="5">
        <v>0</v>
      </c>
      <c r="E241" s="5">
        <v>4</v>
      </c>
      <c r="F241" s="5">
        <f t="shared" si="21"/>
        <v>0.14880058875409588</v>
      </c>
      <c r="G241" s="5">
        <f t="shared" si="22"/>
        <v>14.451658723744272</v>
      </c>
      <c r="H241" s="5">
        <f t="shared" si="23"/>
        <v>0.76174498065308416</v>
      </c>
      <c r="I241" s="5">
        <v>0.19616994222076281</v>
      </c>
      <c r="J241" s="5">
        <f t="shared" si="24"/>
        <v>0.16979849370153963</v>
      </c>
      <c r="K241" s="5">
        <f t="shared" si="26"/>
        <v>1.7179487179487178</v>
      </c>
      <c r="L241" s="5"/>
      <c r="M241" s="5">
        <v>67</v>
      </c>
      <c r="N241" s="5">
        <v>39</v>
      </c>
      <c r="O241" s="14">
        <v>76428</v>
      </c>
      <c r="P241" s="15">
        <v>561</v>
      </c>
      <c r="Q241" s="16">
        <v>796</v>
      </c>
      <c r="R241" s="16">
        <v>1889190</v>
      </c>
      <c r="S241" s="16">
        <v>513627</v>
      </c>
      <c r="T241" s="16">
        <v>450110</v>
      </c>
      <c r="U241" s="16">
        <v>991585</v>
      </c>
      <c r="V241" s="16">
        <v>447496</v>
      </c>
      <c r="W241" s="17">
        <f t="shared" si="25"/>
        <v>1439081</v>
      </c>
    </row>
    <row r="242" spans="1:23" ht="17">
      <c r="A242" s="5" t="s">
        <v>135</v>
      </c>
      <c r="B242" s="5" t="s">
        <v>37</v>
      </c>
      <c r="C242" s="5" t="s">
        <v>21</v>
      </c>
      <c r="D242" s="5">
        <v>0</v>
      </c>
      <c r="E242" s="5">
        <v>11</v>
      </c>
      <c r="F242" s="5">
        <f t="shared" si="21"/>
        <v>6.6125240695633164E-2</v>
      </c>
      <c r="G242" s="5">
        <f t="shared" si="22"/>
        <v>12.259547059545998</v>
      </c>
      <c r="H242" s="5">
        <f t="shared" si="23"/>
        <v>1.0921577735015593</v>
      </c>
      <c r="I242" s="5">
        <v>0.2521353544726454</v>
      </c>
      <c r="J242" s="5">
        <f t="shared" si="24"/>
        <v>-0.55986422546801073</v>
      </c>
      <c r="K242" s="5">
        <f t="shared" si="26"/>
        <v>0.88135593220338981</v>
      </c>
      <c r="L242" s="5"/>
      <c r="M242" s="5">
        <v>52</v>
      </c>
      <c r="N242" s="5">
        <v>59</v>
      </c>
      <c r="O242" s="14">
        <v>10886</v>
      </c>
      <c r="P242" s="15">
        <v>297</v>
      </c>
      <c r="Q242" s="16">
        <v>19997</v>
      </c>
      <c r="R242" s="16">
        <v>210986</v>
      </c>
      <c r="S242" s="16">
        <v>164627</v>
      </c>
      <c r="T242" s="16">
        <v>-19444</v>
      </c>
      <c r="U242" s="16">
        <v>114941</v>
      </c>
      <c r="V242" s="16">
        <v>115489</v>
      </c>
      <c r="W242" s="17">
        <f t="shared" si="25"/>
        <v>230430</v>
      </c>
    </row>
    <row r="243" spans="1:23" ht="17">
      <c r="A243" s="5" t="s">
        <v>136</v>
      </c>
      <c r="B243" s="5" t="s">
        <v>37</v>
      </c>
      <c r="C243" s="5" t="s">
        <v>21</v>
      </c>
      <c r="D243" s="5">
        <v>0</v>
      </c>
      <c r="E243" s="5">
        <v>10</v>
      </c>
      <c r="F243" s="5">
        <f t="shared" si="21"/>
        <v>-0.14292487252546004</v>
      </c>
      <c r="G243" s="5">
        <f t="shared" si="22"/>
        <v>12.3994536538491</v>
      </c>
      <c r="H243" s="5">
        <f t="shared" si="23"/>
        <v>1.3630542014019096</v>
      </c>
      <c r="I243" s="5">
        <v>0.40239228211980965</v>
      </c>
      <c r="J243" s="5">
        <f t="shared" si="24"/>
        <v>0.3490159133731357</v>
      </c>
      <c r="K243" s="5">
        <f t="shared" si="26"/>
        <v>0.94545454545454544</v>
      </c>
      <c r="L243" s="5"/>
      <c r="M243" s="5">
        <v>52</v>
      </c>
      <c r="N243" s="5">
        <v>55</v>
      </c>
      <c r="O243" s="14">
        <v>-30749</v>
      </c>
      <c r="P243" s="15">
        <v>542</v>
      </c>
      <c r="Q243" s="16">
        <v>101356</v>
      </c>
      <c r="R243" s="16">
        <v>242669</v>
      </c>
      <c r="S243" s="16">
        <v>215141</v>
      </c>
      <c r="T243" s="16">
        <v>-88102</v>
      </c>
      <c r="U243" s="16">
        <v>115735</v>
      </c>
      <c r="V243" s="16">
        <v>215036</v>
      </c>
      <c r="W243" s="17">
        <f t="shared" si="25"/>
        <v>330771</v>
      </c>
    </row>
    <row r="244" spans="1:23" ht="17">
      <c r="A244" s="5" t="s">
        <v>137</v>
      </c>
      <c r="B244" s="5" t="s">
        <v>37</v>
      </c>
      <c r="C244" s="5" t="s">
        <v>21</v>
      </c>
      <c r="D244" s="5">
        <v>0</v>
      </c>
      <c r="E244" s="5">
        <v>7</v>
      </c>
      <c r="F244" s="5">
        <f t="shared" si="21"/>
        <v>0.12547026293608535</v>
      </c>
      <c r="G244" s="5">
        <f t="shared" si="22"/>
        <v>12.451705408118247</v>
      </c>
      <c r="H244" s="5">
        <f t="shared" si="23"/>
        <v>1.1797321714915951</v>
      </c>
      <c r="I244" s="5">
        <v>0.32581972798386438</v>
      </c>
      <c r="J244" s="5">
        <f t="shared" si="24"/>
        <v>-0.53123707975193124</v>
      </c>
      <c r="K244" s="5">
        <f t="shared" si="26"/>
        <v>1.0217391304347827</v>
      </c>
      <c r="L244" s="5"/>
      <c r="M244" s="5">
        <v>47</v>
      </c>
      <c r="N244" s="5">
        <v>46</v>
      </c>
      <c r="O244" s="14">
        <v>24413</v>
      </c>
      <c r="P244" s="15">
        <v>365</v>
      </c>
      <c r="Q244" s="16">
        <v>184525</v>
      </c>
      <c r="R244" s="16">
        <v>255686</v>
      </c>
      <c r="S244" s="16">
        <v>194572</v>
      </c>
      <c r="T244" s="16">
        <v>-45955</v>
      </c>
      <c r="U244" s="16">
        <v>27792</v>
      </c>
      <c r="V244" s="16">
        <v>273849</v>
      </c>
      <c r="W244" s="17">
        <f t="shared" si="25"/>
        <v>301641</v>
      </c>
    </row>
    <row r="245" spans="1:23" ht="17">
      <c r="A245" s="5" t="s">
        <v>36</v>
      </c>
      <c r="B245" s="5" t="s">
        <v>37</v>
      </c>
      <c r="C245" s="5" t="s">
        <v>20</v>
      </c>
      <c r="D245" s="5">
        <v>0</v>
      </c>
      <c r="E245" s="5">
        <v>6</v>
      </c>
      <c r="F245" s="5">
        <f t="shared" si="21"/>
        <v>0.14023885821766313</v>
      </c>
      <c r="G245" s="5">
        <f t="shared" si="22"/>
        <v>13.974365583556121</v>
      </c>
      <c r="H245" s="5">
        <f t="shared" si="23"/>
        <v>0.59194074569515631</v>
      </c>
      <c r="I245" s="5">
        <v>2.9318705351940987E-2</v>
      </c>
      <c r="J245" s="5">
        <f t="shared" si="24"/>
        <v>0.13467931108016909</v>
      </c>
      <c r="K245" s="5">
        <f t="shared" si="26"/>
        <v>1.4509803921568627</v>
      </c>
      <c r="L245" s="5"/>
      <c r="M245" s="93">
        <v>74</v>
      </c>
      <c r="N245" s="93">
        <v>51</v>
      </c>
      <c r="O245" s="14">
        <v>64419</v>
      </c>
      <c r="P245" s="15">
        <v>733</v>
      </c>
      <c r="Q245" s="16">
        <v>9687</v>
      </c>
      <c r="R245" s="16">
        <v>1172168</v>
      </c>
      <c r="S245" s="16">
        <v>459352</v>
      </c>
      <c r="T245" s="16">
        <v>478314</v>
      </c>
      <c r="U245" s="16">
        <v>413739</v>
      </c>
      <c r="V245" s="16">
        <v>280115</v>
      </c>
      <c r="W245" s="17">
        <f t="shared" si="25"/>
        <v>693854</v>
      </c>
    </row>
    <row r="246" spans="1:23" ht="17">
      <c r="A246" s="5" t="s">
        <v>49</v>
      </c>
      <c r="B246" s="5" t="s">
        <v>37</v>
      </c>
      <c r="C246" s="5" t="s">
        <v>20</v>
      </c>
      <c r="D246" s="5">
        <v>0</v>
      </c>
      <c r="E246" s="5">
        <v>12</v>
      </c>
      <c r="F246" s="5">
        <f t="shared" si="21"/>
        <v>-7.8228694730129542E-2</v>
      </c>
      <c r="G246" s="5">
        <f t="shared" si="22"/>
        <v>11.675979251406526</v>
      </c>
      <c r="H246" s="5">
        <f t="shared" si="23"/>
        <v>1.3210092600458754</v>
      </c>
      <c r="I246" s="5">
        <v>2.8421309500205896E-2</v>
      </c>
      <c r="J246" s="5">
        <f t="shared" si="24"/>
        <v>0.27909314568397664</v>
      </c>
      <c r="K246" s="5">
        <f t="shared" si="26"/>
        <v>0.73770491803278693</v>
      </c>
      <c r="L246" s="5"/>
      <c r="M246" s="93">
        <v>45</v>
      </c>
      <c r="N246" s="93">
        <v>61</v>
      </c>
      <c r="O246" s="14">
        <v>-10550</v>
      </c>
      <c r="P246" s="15">
        <v>582</v>
      </c>
      <c r="Q246" s="16">
        <v>16700</v>
      </c>
      <c r="R246" s="16">
        <v>117710</v>
      </c>
      <c r="S246" s="16">
        <v>134861</v>
      </c>
      <c r="T246" s="16">
        <v>-37801</v>
      </c>
      <c r="U246" s="16">
        <v>32644</v>
      </c>
      <c r="V246" s="16">
        <v>122852</v>
      </c>
      <c r="W246" s="17">
        <f t="shared" si="25"/>
        <v>155496</v>
      </c>
    </row>
    <row r="247" spans="1:23" ht="17">
      <c r="A247" s="5" t="s">
        <v>51</v>
      </c>
      <c r="B247" s="5" t="s">
        <v>37</v>
      </c>
      <c r="C247" s="5" t="s">
        <v>20</v>
      </c>
      <c r="D247" s="5">
        <v>0</v>
      </c>
      <c r="E247" s="5">
        <v>15</v>
      </c>
      <c r="F247" s="5">
        <f t="shared" si="21"/>
        <v>0.1218765740663993</v>
      </c>
      <c r="G247" s="5">
        <f t="shared" si="22"/>
        <v>11.654563906488647</v>
      </c>
      <c r="H247" s="5">
        <f t="shared" si="23"/>
        <v>0.75598875156228307</v>
      </c>
      <c r="I247" s="5">
        <v>-1.7157861095270621E-2</v>
      </c>
      <c r="J247" s="5">
        <f t="shared" si="24"/>
        <v>-0.15365138057152045</v>
      </c>
      <c r="K247" s="5">
        <f t="shared" si="26"/>
        <v>0.62962962962962965</v>
      </c>
      <c r="L247" s="5"/>
      <c r="M247" s="93">
        <v>34</v>
      </c>
      <c r="N247" s="93">
        <v>54</v>
      </c>
      <c r="O247" s="14">
        <v>19115</v>
      </c>
      <c r="P247" s="15">
        <v>294</v>
      </c>
      <c r="Q247" s="16">
        <v>180048</v>
      </c>
      <c r="R247" s="16">
        <v>115216</v>
      </c>
      <c r="S247" s="16">
        <v>156839</v>
      </c>
      <c r="T247" s="16">
        <v>-124405</v>
      </c>
      <c r="U247" s="16">
        <v>24164</v>
      </c>
      <c r="V247" s="16">
        <v>62938</v>
      </c>
      <c r="W247" s="17">
        <f t="shared" si="25"/>
        <v>87102</v>
      </c>
    </row>
    <row r="248" spans="1:23" ht="17">
      <c r="A248" s="5" t="s">
        <v>52</v>
      </c>
      <c r="B248" s="5" t="s">
        <v>37</v>
      </c>
      <c r="C248" s="5" t="s">
        <v>20</v>
      </c>
      <c r="D248" s="5">
        <v>0</v>
      </c>
      <c r="E248" s="5">
        <v>7</v>
      </c>
      <c r="F248" s="5">
        <f t="shared" si="21"/>
        <v>0.26702880742494939</v>
      </c>
      <c r="G248" s="5">
        <f t="shared" si="22"/>
        <v>11.925803032793846</v>
      </c>
      <c r="H248" s="5">
        <f t="shared" si="23"/>
        <v>0.46465629053177693</v>
      </c>
      <c r="I248" s="5">
        <v>1.9775684630556623E-2</v>
      </c>
      <c r="J248" s="5">
        <f t="shared" si="24"/>
        <v>0.51710796311404483</v>
      </c>
      <c r="K248" s="5">
        <f t="shared" si="26"/>
        <v>0.92307692307692313</v>
      </c>
      <c r="L248" s="5"/>
      <c r="M248" s="93">
        <v>36</v>
      </c>
      <c r="N248" s="93">
        <v>39</v>
      </c>
      <c r="O248" s="14">
        <v>41833</v>
      </c>
      <c r="P248" s="15">
        <v>184</v>
      </c>
      <c r="Q248" s="16">
        <v>669</v>
      </c>
      <c r="R248" s="16">
        <v>151116</v>
      </c>
      <c r="S248" s="16">
        <v>156661</v>
      </c>
      <c r="T248" s="16">
        <v>80898</v>
      </c>
      <c r="U248" s="16">
        <v>11834</v>
      </c>
      <c r="V248" s="16">
        <v>58383</v>
      </c>
      <c r="W248" s="17">
        <f t="shared" si="25"/>
        <v>70217</v>
      </c>
    </row>
    <row r="249" spans="1:23" ht="17">
      <c r="A249" s="5" t="s">
        <v>57</v>
      </c>
      <c r="B249" s="5" t="s">
        <v>37</v>
      </c>
      <c r="C249" s="5" t="s">
        <v>20</v>
      </c>
      <c r="D249" s="5">
        <v>0</v>
      </c>
      <c r="E249" s="5">
        <v>5</v>
      </c>
      <c r="F249" s="5">
        <f t="shared" si="21"/>
        <v>0.1398873954085818</v>
      </c>
      <c r="G249" s="5">
        <f t="shared" si="22"/>
        <v>13.654560984617987</v>
      </c>
      <c r="H249" s="5">
        <f t="shared" si="23"/>
        <v>0.48020814368021991</v>
      </c>
      <c r="I249" s="5">
        <v>3.4774228522095286E-3</v>
      </c>
      <c r="J249" s="5">
        <f t="shared" si="24"/>
        <v>0.1579958329378692</v>
      </c>
      <c r="K249" s="5">
        <f t="shared" si="26"/>
        <v>1.631578947368421</v>
      </c>
      <c r="L249" s="5"/>
      <c r="M249" s="93">
        <v>62</v>
      </c>
      <c r="N249" s="93">
        <v>38</v>
      </c>
      <c r="O249" s="14">
        <v>69916</v>
      </c>
      <c r="P249" s="15">
        <v>756</v>
      </c>
      <c r="Q249" s="16">
        <v>0</v>
      </c>
      <c r="R249" s="16">
        <v>851335</v>
      </c>
      <c r="S249" s="16">
        <v>499802</v>
      </c>
      <c r="T249" s="16">
        <v>442518</v>
      </c>
      <c r="U249" s="16">
        <v>51190</v>
      </c>
      <c r="V249" s="16">
        <v>357628</v>
      </c>
      <c r="W249" s="17">
        <f t="shared" si="25"/>
        <v>408818</v>
      </c>
    </row>
    <row r="250" spans="1:23" ht="17">
      <c r="A250" s="5" t="s">
        <v>59</v>
      </c>
      <c r="B250" s="5" t="s">
        <v>37</v>
      </c>
      <c r="C250" s="5" t="s">
        <v>20</v>
      </c>
      <c r="D250" s="5">
        <v>0</v>
      </c>
      <c r="E250" s="5">
        <v>11</v>
      </c>
      <c r="F250" s="5">
        <f t="shared" si="21"/>
        <v>-0.23856304790283744</v>
      </c>
      <c r="G250" s="5">
        <f t="shared" si="22"/>
        <v>12.235335287415715</v>
      </c>
      <c r="H250" s="5">
        <f t="shared" si="23"/>
        <v>0.63682449657422824</v>
      </c>
      <c r="I250" s="5">
        <v>-3.2547424776711027E-2</v>
      </c>
      <c r="J250" s="5">
        <f t="shared" si="24"/>
        <v>-1.1687630344108446</v>
      </c>
      <c r="K250" s="5">
        <f t="shared" si="26"/>
        <v>0.81818181818181823</v>
      </c>
      <c r="L250" s="5"/>
      <c r="M250" s="93">
        <v>45</v>
      </c>
      <c r="N250" s="93">
        <v>55</v>
      </c>
      <c r="O250" s="14">
        <v>-35867</v>
      </c>
      <c r="P250" s="15">
        <v>227</v>
      </c>
      <c r="Q250" s="16">
        <v>25689</v>
      </c>
      <c r="R250" s="17">
        <v>205939</v>
      </c>
      <c r="S250" s="16">
        <v>150346</v>
      </c>
      <c r="T250" s="16">
        <v>30688</v>
      </c>
      <c r="U250" s="16">
        <v>25689</v>
      </c>
      <c r="V250" s="16">
        <v>105458</v>
      </c>
      <c r="W250" s="17">
        <f t="shared" si="25"/>
        <v>131147</v>
      </c>
    </row>
    <row r="251" spans="1:23" ht="17">
      <c r="A251" s="5" t="s">
        <v>68</v>
      </c>
      <c r="B251" s="5" t="s">
        <v>37</v>
      </c>
      <c r="C251" s="5" t="s">
        <v>20</v>
      </c>
      <c r="D251" s="5">
        <v>0</v>
      </c>
      <c r="E251" s="5">
        <v>8</v>
      </c>
      <c r="F251" s="5">
        <f t="shared" si="21"/>
        <v>-6.9231340443503847E-2</v>
      </c>
      <c r="G251" s="5">
        <f t="shared" si="22"/>
        <v>12.985012126975004</v>
      </c>
      <c r="H251" s="5">
        <f t="shared" si="23"/>
        <v>0.67757300978358637</v>
      </c>
      <c r="I251" s="5">
        <v>2.9824209228298586E-2</v>
      </c>
      <c r="J251" s="5">
        <f t="shared" si="24"/>
        <v>-0.10615268566223564</v>
      </c>
      <c r="K251" s="5">
        <f t="shared" si="26"/>
        <v>0.75862068965517238</v>
      </c>
      <c r="L251" s="5"/>
      <c r="M251" s="93">
        <v>44</v>
      </c>
      <c r="N251" s="93">
        <v>58</v>
      </c>
      <c r="O251" s="14">
        <v>-14917</v>
      </c>
      <c r="P251" s="15">
        <v>427</v>
      </c>
      <c r="Q251" s="16">
        <v>85645</v>
      </c>
      <c r="R251" s="16">
        <v>435832</v>
      </c>
      <c r="S251" s="16">
        <v>215466</v>
      </c>
      <c r="T251" s="16">
        <v>140524</v>
      </c>
      <c r="U251" s="16">
        <v>65149</v>
      </c>
      <c r="V251" s="16">
        <v>230159</v>
      </c>
      <c r="W251" s="17">
        <f t="shared" si="25"/>
        <v>295308</v>
      </c>
    </row>
    <row r="252" spans="1:23" ht="17">
      <c r="A252" s="5" t="s">
        <v>91</v>
      </c>
      <c r="B252" s="5" t="s">
        <v>37</v>
      </c>
      <c r="C252" s="5" t="s">
        <v>20</v>
      </c>
      <c r="D252" s="5">
        <v>0</v>
      </c>
      <c r="E252" s="5">
        <v>9</v>
      </c>
      <c r="F252" s="5">
        <f t="shared" si="21"/>
        <v>-5.7713977757091764E-2</v>
      </c>
      <c r="G252" s="5">
        <f t="shared" si="22"/>
        <v>10.971468797650715</v>
      </c>
      <c r="H252" s="5">
        <f t="shared" si="23"/>
        <v>0.31606805293005669</v>
      </c>
      <c r="I252" s="5">
        <v>1.947954647619999E-2</v>
      </c>
      <c r="J252" s="5">
        <f t="shared" si="24"/>
        <v>-3.3059242836696319E-2</v>
      </c>
      <c r="K252" s="5">
        <f t="shared" si="26"/>
        <v>0.93333333333333335</v>
      </c>
      <c r="L252" s="5"/>
      <c r="M252" s="93">
        <v>56</v>
      </c>
      <c r="N252" s="93">
        <v>60</v>
      </c>
      <c r="O252" s="14">
        <v>-1178</v>
      </c>
      <c r="P252" s="15">
        <v>167</v>
      </c>
      <c r="Q252" s="16">
        <v>10200</v>
      </c>
      <c r="R252" s="16">
        <f>55521+2669</f>
        <v>58190</v>
      </c>
      <c r="S252" s="16">
        <v>20411</v>
      </c>
      <c r="T252" s="16">
        <v>35633</v>
      </c>
      <c r="U252" s="16">
        <v>8712</v>
      </c>
      <c r="V252" s="16">
        <v>9680</v>
      </c>
      <c r="W252" s="17">
        <f t="shared" si="25"/>
        <v>18392</v>
      </c>
    </row>
    <row r="253" spans="1:23" ht="17">
      <c r="A253" s="5" t="s">
        <v>93</v>
      </c>
      <c r="B253" s="5" t="s">
        <v>37</v>
      </c>
      <c r="C253" s="5" t="s">
        <v>20</v>
      </c>
      <c r="D253" s="5">
        <v>0</v>
      </c>
      <c r="E253" s="5">
        <v>4</v>
      </c>
      <c r="F253" s="5">
        <f t="shared" si="21"/>
        <v>0.23293381869250104</v>
      </c>
      <c r="G253" s="5">
        <f t="shared" si="22"/>
        <v>13.539655601956079</v>
      </c>
      <c r="H253" s="5">
        <f t="shared" si="23"/>
        <v>0.68749003522096441</v>
      </c>
      <c r="I253" s="5">
        <v>-0.13797885767594076</v>
      </c>
      <c r="J253" s="5">
        <f t="shared" si="24"/>
        <v>0.50911574722142583</v>
      </c>
      <c r="K253" s="5">
        <f t="shared" si="26"/>
        <v>2.2105263157894739</v>
      </c>
      <c r="L253" s="5"/>
      <c r="M253" s="93">
        <v>84</v>
      </c>
      <c r="N253" s="93">
        <v>38</v>
      </c>
      <c r="O253" s="14">
        <v>120748</v>
      </c>
      <c r="P253" s="15">
        <v>837</v>
      </c>
      <c r="Q253" s="16">
        <v>113815</v>
      </c>
      <c r="R253" s="16">
        <v>758923</v>
      </c>
      <c r="S253" s="16">
        <v>518379</v>
      </c>
      <c r="T253" s="16">
        <v>237172</v>
      </c>
      <c r="U253" s="16">
        <v>140346</v>
      </c>
      <c r="V253" s="16">
        <v>381406</v>
      </c>
      <c r="W253" s="17">
        <f t="shared" si="25"/>
        <v>521752</v>
      </c>
    </row>
    <row r="254" spans="1:23" ht="17">
      <c r="A254" s="5" t="s">
        <v>96</v>
      </c>
      <c r="B254" s="5" t="s">
        <v>37</v>
      </c>
      <c r="C254" s="5" t="s">
        <v>20</v>
      </c>
      <c r="D254" s="5">
        <v>1</v>
      </c>
      <c r="E254" s="5">
        <v>1</v>
      </c>
      <c r="F254" s="5">
        <f t="shared" si="21"/>
        <v>2.0856159162066044E-2</v>
      </c>
      <c r="G254" s="5">
        <f t="shared" si="22"/>
        <v>14.123001140047874</v>
      </c>
      <c r="H254" s="5">
        <f t="shared" si="23"/>
        <v>0.38123525743966213</v>
      </c>
      <c r="I254" s="5">
        <v>-5.4644369136088007E-2</v>
      </c>
      <c r="J254" s="5">
        <f t="shared" si="24"/>
        <v>1.3979382668369924E-2</v>
      </c>
      <c r="K254" s="5">
        <f t="shared" si="26"/>
        <v>3.925925925925926</v>
      </c>
      <c r="L254" s="5"/>
      <c r="M254" s="93">
        <v>106</v>
      </c>
      <c r="N254" s="93">
        <v>27</v>
      </c>
      <c r="O254" s="14">
        <v>11764</v>
      </c>
      <c r="P254" s="15">
        <v>449</v>
      </c>
      <c r="Q254" s="16">
        <v>14797</v>
      </c>
      <c r="R254" s="16">
        <v>1360008</v>
      </c>
      <c r="S254" s="16">
        <v>564054</v>
      </c>
      <c r="T254" s="16">
        <v>841525</v>
      </c>
      <c r="U254" s="16">
        <v>125666</v>
      </c>
      <c r="V254" s="16">
        <v>392817</v>
      </c>
      <c r="W254" s="17">
        <f t="shared" si="25"/>
        <v>518483</v>
      </c>
    </row>
    <row r="255" spans="1:23" ht="17">
      <c r="A255" s="5" t="s">
        <v>97</v>
      </c>
      <c r="B255" s="5" t="s">
        <v>37</v>
      </c>
      <c r="C255" s="5" t="s">
        <v>20</v>
      </c>
      <c r="D255" s="5">
        <v>0</v>
      </c>
      <c r="E255" s="5">
        <v>2</v>
      </c>
      <c r="F255" s="5">
        <f t="shared" si="21"/>
        <v>-6.3804339976891972E-2</v>
      </c>
      <c r="G255" s="5">
        <f t="shared" si="22"/>
        <v>14.370646038580784</v>
      </c>
      <c r="H255" s="5">
        <f t="shared" si="23"/>
        <v>0.72369053201827371</v>
      </c>
      <c r="I255" s="5">
        <v>-4.9302392104980872E-2</v>
      </c>
      <c r="J255" s="5">
        <f t="shared" si="24"/>
        <v>-8.8102954007229214E-2</v>
      </c>
      <c r="K255" s="5">
        <f t="shared" si="26"/>
        <v>2.4285714285714284</v>
      </c>
      <c r="L255" s="5"/>
      <c r="M255" s="93">
        <v>68</v>
      </c>
      <c r="N255" s="93">
        <v>28</v>
      </c>
      <c r="O255" s="14">
        <v>-42411</v>
      </c>
      <c r="P255" s="15">
        <v>922</v>
      </c>
      <c r="Q255" s="16">
        <v>4227</v>
      </c>
      <c r="R255" s="16">
        <v>1742177</v>
      </c>
      <c r="S255" s="16">
        <v>664704</v>
      </c>
      <c r="T255" s="16">
        <v>481380</v>
      </c>
      <c r="U255" s="16">
        <v>740699</v>
      </c>
      <c r="V255" s="16">
        <v>520098</v>
      </c>
      <c r="W255" s="17">
        <f t="shared" ref="W255:W286" si="27">U255+V255</f>
        <v>1260797</v>
      </c>
    </row>
    <row r="256" spans="1:23" ht="17">
      <c r="A256" s="5" t="s">
        <v>102</v>
      </c>
      <c r="B256" s="5" t="s">
        <v>37</v>
      </c>
      <c r="C256" s="5" t="s">
        <v>20</v>
      </c>
      <c r="D256" s="5">
        <v>0</v>
      </c>
      <c r="E256" s="5">
        <v>10</v>
      </c>
      <c r="F256" s="5">
        <f t="shared" si="21"/>
        <v>0.10445476145502987</v>
      </c>
      <c r="G256" s="5">
        <f t="shared" si="22"/>
        <v>12.551755901591676</v>
      </c>
      <c r="H256" s="5">
        <f t="shared" si="23"/>
        <v>1.0047453740564987</v>
      </c>
      <c r="I256" s="5">
        <v>2.2656452539383188E-2</v>
      </c>
      <c r="J256" s="5">
        <f t="shared" si="24"/>
        <v>-15.670395227442206</v>
      </c>
      <c r="K256" s="5">
        <f t="shared" si="26"/>
        <v>0.82978723404255317</v>
      </c>
      <c r="L256" s="5"/>
      <c r="M256" s="93">
        <v>39</v>
      </c>
      <c r="N256" s="93">
        <v>47</v>
      </c>
      <c r="O256" s="14">
        <v>21014</v>
      </c>
      <c r="P256" s="15">
        <v>271</v>
      </c>
      <c r="Q256" s="16">
        <v>39386</v>
      </c>
      <c r="R256" s="16">
        <v>282591</v>
      </c>
      <c r="S256" s="16">
        <v>201178</v>
      </c>
      <c r="T256" s="16">
        <v>-1341</v>
      </c>
      <c r="U256" s="16">
        <v>169957</v>
      </c>
      <c r="V256" s="16">
        <v>113975</v>
      </c>
      <c r="W256" s="17">
        <f t="shared" si="27"/>
        <v>283932</v>
      </c>
    </row>
    <row r="257" spans="1:23" ht="17">
      <c r="A257" s="5" t="s">
        <v>121</v>
      </c>
      <c r="B257" s="5" t="s">
        <v>37</v>
      </c>
      <c r="C257" s="5" t="s">
        <v>20</v>
      </c>
      <c r="D257" s="5">
        <v>0</v>
      </c>
      <c r="E257" s="5">
        <v>17</v>
      </c>
      <c r="F257" s="5">
        <f t="shared" si="21"/>
        <v>0.18651180306897727</v>
      </c>
      <c r="G257" s="5">
        <f t="shared" si="22"/>
        <v>12.569437164286198</v>
      </c>
      <c r="H257" s="5">
        <f t="shared" si="23"/>
        <v>0.63194637592479275</v>
      </c>
      <c r="I257" s="5">
        <v>3.7316533245695081E-2</v>
      </c>
      <c r="J257" s="5">
        <f t="shared" si="24"/>
        <v>0.29472719715861861</v>
      </c>
      <c r="K257" s="5">
        <f t="shared" si="26"/>
        <v>0.6607142857142857</v>
      </c>
      <c r="L257" s="5"/>
      <c r="M257" s="93">
        <v>37</v>
      </c>
      <c r="N257" s="93">
        <v>56</v>
      </c>
      <c r="O257" s="14">
        <v>31201</v>
      </c>
      <c r="P257" s="15">
        <v>385</v>
      </c>
      <c r="Q257" s="16">
        <v>46366</v>
      </c>
      <c r="R257" s="16">
        <v>287632</v>
      </c>
      <c r="S257" s="16">
        <v>167287</v>
      </c>
      <c r="T257" s="16">
        <v>105864</v>
      </c>
      <c r="U257" s="16">
        <v>57193</v>
      </c>
      <c r="V257" s="16">
        <v>124575</v>
      </c>
      <c r="W257" s="17">
        <f t="shared" si="27"/>
        <v>181768</v>
      </c>
    </row>
    <row r="258" spans="1:23" ht="17">
      <c r="A258" s="5" t="s">
        <v>127</v>
      </c>
      <c r="B258" s="5" t="s">
        <v>37</v>
      </c>
      <c r="C258" s="5" t="s">
        <v>20</v>
      </c>
      <c r="D258" s="5">
        <v>0</v>
      </c>
      <c r="E258" s="5">
        <v>3</v>
      </c>
      <c r="F258" s="5">
        <f t="shared" ref="F258:F321" si="28">O258/S258</f>
        <v>0.29670035145288948</v>
      </c>
      <c r="G258" s="5">
        <f t="shared" ref="G258:G321" si="29">LN(R258)</f>
        <v>14.197019665450178</v>
      </c>
      <c r="H258" s="5">
        <f t="shared" ref="H258:H321" si="30">W258/R258</f>
        <v>0.74204997907125536</v>
      </c>
      <c r="I258" s="5">
        <v>-0.16461556732804156</v>
      </c>
      <c r="J258" s="5">
        <f t="shared" si="24"/>
        <v>0.33699962410592799</v>
      </c>
      <c r="K258" s="5">
        <f t="shared" si="26"/>
        <v>2.0555555555555554</v>
      </c>
      <c r="L258" s="5"/>
      <c r="M258" s="93">
        <v>74</v>
      </c>
      <c r="N258" s="93">
        <v>36</v>
      </c>
      <c r="O258" s="14">
        <v>127307</v>
      </c>
      <c r="P258" s="15">
        <v>485</v>
      </c>
      <c r="Q258" s="16">
        <v>639</v>
      </c>
      <c r="R258" s="16">
        <v>1464493</v>
      </c>
      <c r="S258" s="16">
        <v>429076</v>
      </c>
      <c r="T258" s="16">
        <v>377766</v>
      </c>
      <c r="U258" s="16">
        <v>768549</v>
      </c>
      <c r="V258" s="16">
        <v>318178</v>
      </c>
      <c r="W258" s="17">
        <f t="shared" si="27"/>
        <v>1086727</v>
      </c>
    </row>
    <row r="259" spans="1:23" ht="17">
      <c r="A259" s="5" t="s">
        <v>135</v>
      </c>
      <c r="B259" s="5" t="s">
        <v>37</v>
      </c>
      <c r="C259" s="5" t="s">
        <v>20</v>
      </c>
      <c r="D259" s="5">
        <v>0</v>
      </c>
      <c r="E259" s="5">
        <v>14</v>
      </c>
      <c r="F259" s="5">
        <f t="shared" si="28"/>
        <v>-0.23963436574496941</v>
      </c>
      <c r="G259" s="5">
        <f t="shared" si="29"/>
        <v>12.278783928481756</v>
      </c>
      <c r="H259" s="5">
        <f t="shared" si="30"/>
        <v>1.1460266686503877</v>
      </c>
      <c r="I259" s="5">
        <v>-0.12216100639627765</v>
      </c>
      <c r="J259" s="5">
        <f t="shared" ref="J259:J322" si="31">O259/T259</f>
        <v>1.1026171676006113</v>
      </c>
      <c r="K259" s="5">
        <f t="shared" si="26"/>
        <v>0.6875</v>
      </c>
      <c r="L259" s="5"/>
      <c r="M259" s="93">
        <v>44</v>
      </c>
      <c r="N259" s="93">
        <v>64</v>
      </c>
      <c r="O259" s="14">
        <v>-34631</v>
      </c>
      <c r="P259" s="15">
        <v>292</v>
      </c>
      <c r="Q259" s="16">
        <v>26531</v>
      </c>
      <c r="R259" s="16">
        <v>215084</v>
      </c>
      <c r="S259" s="16">
        <v>144516</v>
      </c>
      <c r="T259" s="16">
        <v>-31408</v>
      </c>
      <c r="U259" s="16">
        <v>107005</v>
      </c>
      <c r="V259" s="16">
        <v>139487</v>
      </c>
      <c r="W259" s="17">
        <f t="shared" si="27"/>
        <v>246492</v>
      </c>
    </row>
    <row r="260" spans="1:23" ht="17">
      <c r="A260" s="5" t="s">
        <v>136</v>
      </c>
      <c r="B260" s="5" t="s">
        <v>37</v>
      </c>
      <c r="C260" s="5" t="s">
        <v>20</v>
      </c>
      <c r="D260" s="5">
        <v>0</v>
      </c>
      <c r="E260" s="5">
        <v>13</v>
      </c>
      <c r="F260" s="5">
        <f t="shared" si="28"/>
        <v>0.1042697214267118</v>
      </c>
      <c r="G260" s="5">
        <f t="shared" si="29"/>
        <v>12.253981469052059</v>
      </c>
      <c r="H260" s="5">
        <f t="shared" si="30"/>
        <v>1.275985987655792</v>
      </c>
      <c r="I260" s="5">
        <v>-7.1622796212716305E-2</v>
      </c>
      <c r="J260" s="5">
        <f t="shared" si="31"/>
        <v>-0.35965184954926949</v>
      </c>
      <c r="K260" s="5">
        <f t="shared" si="26"/>
        <v>0.70588235294117652</v>
      </c>
      <c r="L260" s="5"/>
      <c r="M260" s="93">
        <v>48</v>
      </c>
      <c r="N260" s="93">
        <v>68</v>
      </c>
      <c r="O260" s="14">
        <v>20826</v>
      </c>
      <c r="P260" s="15">
        <v>435</v>
      </c>
      <c r="Q260" s="16">
        <v>89518</v>
      </c>
      <c r="R260" s="16">
        <v>209815</v>
      </c>
      <c r="S260" s="16">
        <v>199732</v>
      </c>
      <c r="T260" s="16">
        <v>-57906</v>
      </c>
      <c r="U260" s="16">
        <v>88784</v>
      </c>
      <c r="V260" s="16">
        <v>178937</v>
      </c>
      <c r="W260" s="17">
        <f t="shared" si="27"/>
        <v>267721</v>
      </c>
    </row>
    <row r="261" spans="1:23" ht="17">
      <c r="A261" s="4" t="s">
        <v>18</v>
      </c>
      <c r="B261" s="4" t="s">
        <v>19</v>
      </c>
      <c r="C261" s="4" t="s">
        <v>24</v>
      </c>
      <c r="D261" s="4">
        <v>1</v>
      </c>
      <c r="E261" s="4">
        <v>1</v>
      </c>
      <c r="F261" s="4">
        <f t="shared" si="28"/>
        <v>-0.22358463937202613</v>
      </c>
      <c r="G261" s="4">
        <f t="shared" si="29"/>
        <v>13.128144633691187</v>
      </c>
      <c r="H261" s="4">
        <f t="shared" si="30"/>
        <v>0.73905297087486754</v>
      </c>
      <c r="I261" s="4">
        <v>-2.5898978072698225E-2</v>
      </c>
      <c r="J261" s="4">
        <f t="shared" si="31"/>
        <v>-0.50702583250781075</v>
      </c>
      <c r="K261" s="4">
        <f t="shared" si="26"/>
        <v>2.225806451612903</v>
      </c>
      <c r="L261" s="4"/>
      <c r="M261" s="94">
        <v>69</v>
      </c>
      <c r="N261" s="94">
        <v>31</v>
      </c>
      <c r="O261" s="6">
        <v>-66537</v>
      </c>
      <c r="P261" s="7">
        <v>427</v>
      </c>
      <c r="Q261" s="8">
        <v>25961</v>
      </c>
      <c r="R261" s="8">
        <v>502899</v>
      </c>
      <c r="S261" s="8">
        <v>297592</v>
      </c>
      <c r="T261" s="8">
        <v>131230</v>
      </c>
      <c r="U261" s="8">
        <v>139040</v>
      </c>
      <c r="V261" s="8">
        <v>232629</v>
      </c>
      <c r="W261" s="9">
        <f t="shared" si="27"/>
        <v>371669</v>
      </c>
    </row>
    <row r="262" spans="1:23" ht="17">
      <c r="A262" s="4" t="s">
        <v>41</v>
      </c>
      <c r="B262" s="4" t="s">
        <v>19</v>
      </c>
      <c r="C262" s="4" t="s">
        <v>24</v>
      </c>
      <c r="D262" s="4">
        <v>0</v>
      </c>
      <c r="E262" s="4">
        <v>8</v>
      </c>
      <c r="F262" s="4">
        <f t="shared" si="28"/>
        <v>9.2810916570511215E-2</v>
      </c>
      <c r="G262" s="4">
        <f t="shared" si="29"/>
        <v>12.782517456303976</v>
      </c>
      <c r="H262" s="4">
        <f t="shared" si="30"/>
        <v>0.50214081024891832</v>
      </c>
      <c r="I262" s="4">
        <v>-0.17811193517890792</v>
      </c>
      <c r="J262" s="4">
        <f t="shared" si="31"/>
        <v>6.2638255609227575E-2</v>
      </c>
      <c r="K262" s="4">
        <f t="shared" si="26"/>
        <v>1.3541666666666667</v>
      </c>
      <c r="L262" s="4"/>
      <c r="M262" s="94">
        <v>65</v>
      </c>
      <c r="N262" s="94">
        <v>48</v>
      </c>
      <c r="O262" s="6">
        <v>11100</v>
      </c>
      <c r="P262" s="7">
        <v>187</v>
      </c>
      <c r="Q262" s="8">
        <v>864</v>
      </c>
      <c r="R262" s="8">
        <v>355940</v>
      </c>
      <c r="S262" s="8">
        <v>119598</v>
      </c>
      <c r="T262" s="8">
        <v>177208</v>
      </c>
      <c r="U262" s="8">
        <v>91148</v>
      </c>
      <c r="V262" s="8">
        <v>87584</v>
      </c>
      <c r="W262" s="9">
        <f t="shared" si="27"/>
        <v>178732</v>
      </c>
    </row>
    <row r="263" spans="1:23" ht="17">
      <c r="A263" s="4" t="s">
        <v>48</v>
      </c>
      <c r="B263" s="4" t="s">
        <v>19</v>
      </c>
      <c r="C263" s="4" t="s">
        <v>24</v>
      </c>
      <c r="D263" s="4">
        <v>0</v>
      </c>
      <c r="E263" s="4">
        <v>13</v>
      </c>
      <c r="F263" s="4">
        <f t="shared" si="28"/>
        <v>-0.58091565065936801</v>
      </c>
      <c r="G263" s="4">
        <f t="shared" si="29"/>
        <v>11.611493967036091</v>
      </c>
      <c r="H263" s="4">
        <f t="shared" si="30"/>
        <v>0.91529462934604333</v>
      </c>
      <c r="I263" s="4">
        <v>4.1490905654777144E-2</v>
      </c>
      <c r="J263" s="4">
        <f t="shared" si="31"/>
        <v>-4.9950791613179293</v>
      </c>
      <c r="K263" s="4">
        <f t="shared" si="26"/>
        <v>0.8</v>
      </c>
      <c r="L263" s="4"/>
      <c r="M263" s="94">
        <v>44</v>
      </c>
      <c r="N263" s="94">
        <v>55</v>
      </c>
      <c r="O263" s="6">
        <v>-46694</v>
      </c>
      <c r="P263" s="7">
        <v>204</v>
      </c>
      <c r="Q263" s="8">
        <v>4342</v>
      </c>
      <c r="R263" s="8">
        <v>110359</v>
      </c>
      <c r="S263" s="8">
        <v>80380</v>
      </c>
      <c r="T263" s="8">
        <v>9348</v>
      </c>
      <c r="U263" s="8">
        <v>36212</v>
      </c>
      <c r="V263" s="8">
        <v>64799</v>
      </c>
      <c r="W263" s="9">
        <f t="shared" si="27"/>
        <v>101011</v>
      </c>
    </row>
    <row r="264" spans="1:23" ht="17">
      <c r="A264" s="4" t="s">
        <v>66</v>
      </c>
      <c r="B264" s="4" t="s">
        <v>19</v>
      </c>
      <c r="C264" s="4" t="s">
        <v>24</v>
      </c>
      <c r="D264" s="4">
        <v>0</v>
      </c>
      <c r="E264" s="4">
        <v>14</v>
      </c>
      <c r="F264" s="4">
        <f t="shared" si="28"/>
        <v>-4.9781413058806935E-2</v>
      </c>
      <c r="G264" s="4">
        <f t="shared" si="29"/>
        <v>12.447311485113476</v>
      </c>
      <c r="H264" s="4">
        <f t="shared" si="30"/>
        <v>1.3916170722605228</v>
      </c>
      <c r="I264" s="4">
        <v>-6.2300589256000002E-2</v>
      </c>
      <c r="J264" s="4">
        <f t="shared" si="31"/>
        <v>-9.1540895181785181E-2</v>
      </c>
      <c r="K264" s="4">
        <f t="shared" si="26"/>
        <v>0.7142857142857143</v>
      </c>
      <c r="L264" s="4"/>
      <c r="M264" s="94">
        <v>50</v>
      </c>
      <c r="N264" s="94">
        <v>70</v>
      </c>
      <c r="O264" s="50">
        <v>-3530</v>
      </c>
      <c r="P264" s="7">
        <v>192</v>
      </c>
      <c r="Q264" s="9">
        <v>2564</v>
      </c>
      <c r="R264" s="9">
        <v>254565</v>
      </c>
      <c r="S264" s="9">
        <v>70910</v>
      </c>
      <c r="T264" s="9">
        <v>38562</v>
      </c>
      <c r="U264" s="9">
        <v>275668</v>
      </c>
      <c r="V264" s="9">
        <v>78589</v>
      </c>
      <c r="W264" s="9">
        <f t="shared" si="27"/>
        <v>354257</v>
      </c>
    </row>
    <row r="265" spans="1:23" ht="17">
      <c r="A265" s="4" t="s">
        <v>71</v>
      </c>
      <c r="B265" s="4" t="s">
        <v>19</v>
      </c>
      <c r="C265" s="4" t="s">
        <v>24</v>
      </c>
      <c r="D265" s="4">
        <v>0</v>
      </c>
      <c r="E265" s="4">
        <v>7</v>
      </c>
      <c r="F265" s="4">
        <f t="shared" si="28"/>
        <v>0.2015467844185356</v>
      </c>
      <c r="G265" s="4">
        <f t="shared" si="29"/>
        <v>12.810388612383504</v>
      </c>
      <c r="H265" s="4">
        <f t="shared" si="30"/>
        <v>0.40412295081967214</v>
      </c>
      <c r="I265" s="4">
        <v>0.23346213390355436</v>
      </c>
      <c r="J265" s="4">
        <f t="shared" si="31"/>
        <v>0.21472589549364487</v>
      </c>
      <c r="K265" s="4">
        <f t="shared" si="26"/>
        <v>1.1568627450980393</v>
      </c>
      <c r="L265" s="4"/>
      <c r="M265" s="94">
        <v>59</v>
      </c>
      <c r="N265" s="94">
        <v>51</v>
      </c>
      <c r="O265" s="6">
        <v>46830</v>
      </c>
      <c r="P265" s="7">
        <v>246</v>
      </c>
      <c r="Q265" s="8">
        <v>0</v>
      </c>
      <c r="R265" s="8">
        <v>366000</v>
      </c>
      <c r="S265" s="8">
        <v>232353</v>
      </c>
      <c r="T265" s="8">
        <v>218092</v>
      </c>
      <c r="U265" s="8">
        <v>49512</v>
      </c>
      <c r="V265" s="8">
        <v>98397</v>
      </c>
      <c r="W265" s="9">
        <f t="shared" si="27"/>
        <v>147909</v>
      </c>
    </row>
    <row r="266" spans="1:23" ht="17">
      <c r="A266" s="4" t="s">
        <v>74</v>
      </c>
      <c r="B266" s="4" t="s">
        <v>19</v>
      </c>
      <c r="C266" s="4" t="s">
        <v>24</v>
      </c>
      <c r="D266" s="4">
        <v>0</v>
      </c>
      <c r="E266" s="4">
        <v>19</v>
      </c>
      <c r="F266" s="4">
        <f t="shared" si="28"/>
        <v>-0.76193591389355186</v>
      </c>
      <c r="G266" s="4">
        <f t="shared" si="29"/>
        <v>12.634993829674679</v>
      </c>
      <c r="H266" s="4">
        <f t="shared" si="30"/>
        <v>0.9824140401146132</v>
      </c>
      <c r="I266" s="4">
        <v>0.23779147975465537</v>
      </c>
      <c r="J266" s="4">
        <f t="shared" si="31"/>
        <v>-11.42917978152194</v>
      </c>
      <c r="K266" s="4">
        <f t="shared" si="26"/>
        <v>0.45</v>
      </c>
      <c r="L266" s="4"/>
      <c r="M266" s="94">
        <v>27</v>
      </c>
      <c r="N266" s="94">
        <v>60</v>
      </c>
      <c r="O266" s="6">
        <v>-61729</v>
      </c>
      <c r="P266" s="7">
        <v>185</v>
      </c>
      <c r="Q266" s="8">
        <v>37917</v>
      </c>
      <c r="R266" s="8">
        <v>307120</v>
      </c>
      <c r="S266" s="8">
        <v>81016</v>
      </c>
      <c r="T266" s="8">
        <v>5401</v>
      </c>
      <c r="U266" s="8">
        <v>134149</v>
      </c>
      <c r="V266" s="8">
        <v>167570</v>
      </c>
      <c r="W266" s="9">
        <f t="shared" si="27"/>
        <v>301719</v>
      </c>
    </row>
    <row r="267" spans="1:23" ht="17">
      <c r="A267" s="4" t="s">
        <v>81</v>
      </c>
      <c r="B267" s="4" t="s">
        <v>19</v>
      </c>
      <c r="C267" s="4" t="s">
        <v>24</v>
      </c>
      <c r="D267" s="4">
        <v>1</v>
      </c>
      <c r="E267" s="4">
        <v>2</v>
      </c>
      <c r="F267" s="4">
        <f t="shared" si="28"/>
        <v>-0.31887291620182961</v>
      </c>
      <c r="G267" s="4">
        <f t="shared" si="29"/>
        <v>13.677471879915865</v>
      </c>
      <c r="H267" s="4">
        <f t="shared" si="30"/>
        <v>1.0994242679937778</v>
      </c>
      <c r="I267" s="4">
        <v>-5.2025017652242531E-2</v>
      </c>
      <c r="J267" s="4">
        <f t="shared" si="31"/>
        <v>1.6171814560360256</v>
      </c>
      <c r="K267" s="4">
        <f t="shared" si="26"/>
        <v>2.625</v>
      </c>
      <c r="L267" s="4"/>
      <c r="M267" s="94">
        <v>84</v>
      </c>
      <c r="N267" s="94">
        <v>32</v>
      </c>
      <c r="O267" s="6">
        <v>-140056</v>
      </c>
      <c r="P267" s="7">
        <v>498</v>
      </c>
      <c r="Q267" s="8">
        <v>52</v>
      </c>
      <c r="R267" s="8">
        <v>871065</v>
      </c>
      <c r="S267" s="8">
        <v>439222</v>
      </c>
      <c r="T267" s="8">
        <v>-86605</v>
      </c>
      <c r="U267" s="8">
        <v>613642</v>
      </c>
      <c r="V267" s="8">
        <v>344028</v>
      </c>
      <c r="W267" s="9">
        <f t="shared" si="27"/>
        <v>957670</v>
      </c>
    </row>
    <row r="268" spans="1:23" ht="17">
      <c r="A268" s="4" t="s">
        <v>83</v>
      </c>
      <c r="B268" s="4" t="s">
        <v>19</v>
      </c>
      <c r="C268" s="4" t="s">
        <v>24</v>
      </c>
      <c r="D268" s="4">
        <v>1</v>
      </c>
      <c r="E268" s="4">
        <v>4</v>
      </c>
      <c r="F268" s="4">
        <f t="shared" si="28"/>
        <v>-0.57207739183835982</v>
      </c>
      <c r="G268" s="4">
        <f t="shared" si="29"/>
        <v>13.744760786889824</v>
      </c>
      <c r="H268" s="4">
        <f t="shared" si="30"/>
        <v>0.8181443498140486</v>
      </c>
      <c r="I268" s="4">
        <v>4.2516203870170549E-2</v>
      </c>
      <c r="J268" s="4">
        <f t="shared" si="31"/>
        <v>-1.5009561245086582</v>
      </c>
      <c r="K268" s="4">
        <f t="shared" si="26"/>
        <v>1.5405405405405406</v>
      </c>
      <c r="L268" s="4"/>
      <c r="M268" s="94">
        <v>57</v>
      </c>
      <c r="N268" s="94">
        <v>37</v>
      </c>
      <c r="O268" s="6">
        <v>-254313</v>
      </c>
      <c r="P268" s="7">
        <v>281</v>
      </c>
      <c r="Q268" s="8">
        <v>10058</v>
      </c>
      <c r="R268" s="8">
        <v>931695</v>
      </c>
      <c r="S268" s="8">
        <v>444543</v>
      </c>
      <c r="T268" s="8">
        <v>169434</v>
      </c>
      <c r="U268" s="8">
        <v>382773</v>
      </c>
      <c r="V268" s="8">
        <v>379488</v>
      </c>
      <c r="W268" s="9">
        <f t="shared" si="27"/>
        <v>762261</v>
      </c>
    </row>
    <row r="269" spans="1:23" ht="17">
      <c r="A269" s="4" t="s">
        <v>88</v>
      </c>
      <c r="B269" s="4" t="s">
        <v>19</v>
      </c>
      <c r="C269" s="4" t="s">
        <v>24</v>
      </c>
      <c r="D269" s="4">
        <v>0</v>
      </c>
      <c r="E269" s="4">
        <v>5</v>
      </c>
      <c r="F269" s="4">
        <f t="shared" si="28"/>
        <v>-0.19696074888275789</v>
      </c>
      <c r="G269" s="4">
        <f t="shared" si="29"/>
        <v>12.68432032402554</v>
      </c>
      <c r="H269" s="4">
        <f t="shared" si="30"/>
        <v>0.81824211449593831</v>
      </c>
      <c r="I269" s="4">
        <v>0.18057924730157998</v>
      </c>
      <c r="J269" s="4">
        <f t="shared" si="31"/>
        <v>-0.38102789714207763</v>
      </c>
      <c r="K269" s="4">
        <f t="shared" si="26"/>
        <v>1.3275862068965518</v>
      </c>
      <c r="L269" s="4"/>
      <c r="M269" s="94">
        <v>77</v>
      </c>
      <c r="N269" s="94">
        <v>58</v>
      </c>
      <c r="O269" s="6">
        <v>-22345</v>
      </c>
      <c r="P269" s="7">
        <v>176</v>
      </c>
      <c r="Q269" s="8">
        <v>1090</v>
      </c>
      <c r="R269" s="8">
        <v>322649</v>
      </c>
      <c r="S269" s="8">
        <v>113449</v>
      </c>
      <c r="T269" s="8">
        <v>58644</v>
      </c>
      <c r="U269" s="8">
        <v>101049</v>
      </c>
      <c r="V269" s="8">
        <v>162956</v>
      </c>
      <c r="W269" s="9">
        <f t="shared" si="27"/>
        <v>264005</v>
      </c>
    </row>
    <row r="270" spans="1:23" ht="17">
      <c r="A270" s="4" t="s">
        <v>101</v>
      </c>
      <c r="B270" s="4" t="s">
        <v>19</v>
      </c>
      <c r="C270" s="4" t="s">
        <v>24</v>
      </c>
      <c r="D270" s="4">
        <v>0</v>
      </c>
      <c r="E270" s="4">
        <v>3</v>
      </c>
      <c r="F270" s="4">
        <f t="shared" si="28"/>
        <v>-0.29518452228756498</v>
      </c>
      <c r="G270" s="4">
        <f t="shared" si="29"/>
        <v>12.780382797678467</v>
      </c>
      <c r="H270" s="4">
        <f t="shared" si="30"/>
        <v>0.80621148090691785</v>
      </c>
      <c r="I270" s="4">
        <v>5.1874645584830695E-2</v>
      </c>
      <c r="J270" s="4">
        <f t="shared" si="31"/>
        <v>-0.75476166262294608</v>
      </c>
      <c r="K270" s="4">
        <f t="shared" si="26"/>
        <v>2.3870967741935485</v>
      </c>
      <c r="L270" s="4"/>
      <c r="M270" s="94">
        <v>74</v>
      </c>
      <c r="N270" s="94">
        <v>31</v>
      </c>
      <c r="O270" s="6">
        <v>-51951</v>
      </c>
      <c r="P270" s="7">
        <v>113</v>
      </c>
      <c r="Q270" s="8">
        <v>356</v>
      </c>
      <c r="R270" s="8">
        <v>355181</v>
      </c>
      <c r="S270" s="8">
        <v>175995</v>
      </c>
      <c r="T270" s="8">
        <v>68831</v>
      </c>
      <c r="U270" s="8">
        <v>125968</v>
      </c>
      <c r="V270" s="8">
        <v>160383</v>
      </c>
      <c r="W270" s="9">
        <f t="shared" si="27"/>
        <v>286351</v>
      </c>
    </row>
    <row r="271" spans="1:23" ht="17">
      <c r="A271" s="4" t="s">
        <v>116</v>
      </c>
      <c r="B271" s="4" t="s">
        <v>19</v>
      </c>
      <c r="C271" s="4" t="s">
        <v>24</v>
      </c>
      <c r="D271" s="4">
        <v>1</v>
      </c>
      <c r="E271" s="4">
        <v>6</v>
      </c>
      <c r="F271" s="4">
        <f t="shared" si="28"/>
        <v>-1.0651657559198542</v>
      </c>
      <c r="G271" s="4">
        <f t="shared" si="29"/>
        <v>12.80278050905021</v>
      </c>
      <c r="H271" s="4">
        <f t="shared" si="30"/>
        <v>1.9370667298045845</v>
      </c>
      <c r="I271" s="4">
        <v>0.13483804354031009</v>
      </c>
      <c r="J271" s="4">
        <f t="shared" si="31"/>
        <v>0.64427808806376652</v>
      </c>
      <c r="K271" s="4">
        <f t="shared" si="26"/>
        <v>1.3720930232558139</v>
      </c>
      <c r="L271" s="4"/>
      <c r="M271" s="94">
        <v>59</v>
      </c>
      <c r="N271" s="94">
        <v>43</v>
      </c>
      <c r="O271" s="6">
        <v>-219291</v>
      </c>
      <c r="P271" s="7">
        <v>455</v>
      </c>
      <c r="Q271" s="8">
        <v>20531</v>
      </c>
      <c r="R271" s="8">
        <v>363226</v>
      </c>
      <c r="S271" s="8">
        <v>205875</v>
      </c>
      <c r="T271" s="8">
        <v>-340367</v>
      </c>
      <c r="U271" s="8">
        <v>460299</v>
      </c>
      <c r="V271" s="8">
        <v>243294</v>
      </c>
      <c r="W271" s="9">
        <f t="shared" si="27"/>
        <v>703593</v>
      </c>
    </row>
    <row r="272" spans="1:23" ht="17">
      <c r="A272" s="4" t="s">
        <v>117</v>
      </c>
      <c r="B272" s="4" t="s">
        <v>19</v>
      </c>
      <c r="C272" s="4" t="s">
        <v>24</v>
      </c>
      <c r="D272" s="4">
        <v>0</v>
      </c>
      <c r="E272" s="4">
        <v>17</v>
      </c>
      <c r="F272" s="4">
        <f t="shared" si="28"/>
        <v>-0.29479533748983466</v>
      </c>
      <c r="G272" s="4">
        <f t="shared" si="29"/>
        <v>11.739782114196322</v>
      </c>
      <c r="H272" s="4">
        <f t="shared" si="30"/>
        <v>1.2199099350416451</v>
      </c>
      <c r="I272" s="4">
        <v>0.18906431000000001</v>
      </c>
      <c r="J272" s="4">
        <f t="shared" si="31"/>
        <v>0.15766010655648582</v>
      </c>
      <c r="K272" s="4">
        <f t="shared" si="26"/>
        <v>0.42307692307692307</v>
      </c>
      <c r="L272" s="4"/>
      <c r="M272" s="94">
        <v>33</v>
      </c>
      <c r="N272" s="94">
        <v>78</v>
      </c>
      <c r="O272" s="50">
        <v>-4350</v>
      </c>
      <c r="P272" s="7">
        <v>103</v>
      </c>
      <c r="Q272" s="9">
        <v>587</v>
      </c>
      <c r="R272" s="9">
        <v>125465</v>
      </c>
      <c r="S272" s="9">
        <v>14756</v>
      </c>
      <c r="T272" s="9">
        <f>R272-W272</f>
        <v>-27591</v>
      </c>
      <c r="U272" s="9">
        <v>90680</v>
      </c>
      <c r="V272" s="9">
        <v>62376</v>
      </c>
      <c r="W272" s="9">
        <f t="shared" si="27"/>
        <v>153056</v>
      </c>
    </row>
    <row r="273" spans="1:23" ht="17">
      <c r="A273" s="4" t="s">
        <v>118</v>
      </c>
      <c r="B273" s="4" t="s">
        <v>19</v>
      </c>
      <c r="C273" s="4" t="s">
        <v>24</v>
      </c>
      <c r="D273" s="4">
        <v>0</v>
      </c>
      <c r="E273" s="4">
        <v>15</v>
      </c>
      <c r="F273" s="4">
        <f t="shared" si="28"/>
        <v>-0.47243649079502209</v>
      </c>
      <c r="G273" s="4">
        <f t="shared" si="29"/>
        <v>12.487703948944798</v>
      </c>
      <c r="H273" s="4">
        <f t="shared" si="30"/>
        <v>0.9518746840314195</v>
      </c>
      <c r="I273" s="4">
        <v>0.19757777758581721</v>
      </c>
      <c r="J273" s="4">
        <f t="shared" si="31"/>
        <v>-2.8808403888366261</v>
      </c>
      <c r="K273" s="4">
        <f t="shared" si="26"/>
        <v>0.73015873015873012</v>
      </c>
      <c r="L273" s="4"/>
      <c r="M273" s="94">
        <v>46</v>
      </c>
      <c r="N273" s="94">
        <v>63</v>
      </c>
      <c r="O273" s="6">
        <v>-36748</v>
      </c>
      <c r="P273" s="7">
        <v>197</v>
      </c>
      <c r="Q273" s="8">
        <v>56552</v>
      </c>
      <c r="R273" s="8">
        <v>265058</v>
      </c>
      <c r="S273" s="8">
        <v>77784</v>
      </c>
      <c r="T273" s="8">
        <v>12756</v>
      </c>
      <c r="U273" s="8">
        <v>91614</v>
      </c>
      <c r="V273" s="8">
        <v>160688</v>
      </c>
      <c r="W273" s="9">
        <f t="shared" si="27"/>
        <v>252302</v>
      </c>
    </row>
    <row r="274" spans="1:23" ht="17">
      <c r="A274" s="4" t="s">
        <v>119</v>
      </c>
      <c r="B274" s="4" t="s">
        <v>19</v>
      </c>
      <c r="C274" s="4" t="s">
        <v>24</v>
      </c>
      <c r="D274" s="4">
        <v>0</v>
      </c>
      <c r="E274" s="4">
        <v>11</v>
      </c>
      <c r="F274" s="4">
        <f t="shared" si="28"/>
        <v>9.9576941894264255E-3</v>
      </c>
      <c r="G274" s="4">
        <f t="shared" si="29"/>
        <v>12.388069149500183</v>
      </c>
      <c r="H274" s="4">
        <f t="shared" si="30"/>
        <v>0.88448745842398779</v>
      </c>
      <c r="I274" s="4">
        <v>-8.1396602584224154E-3</v>
      </c>
      <c r="J274" s="4">
        <f t="shared" si="31"/>
        <v>4.9938659161434654E-2</v>
      </c>
      <c r="K274" s="4">
        <f t="shared" si="26"/>
        <v>0.96969696969696972</v>
      </c>
      <c r="L274" s="4"/>
      <c r="M274" s="94">
        <v>64</v>
      </c>
      <c r="N274" s="94">
        <v>66</v>
      </c>
      <c r="O274" s="6">
        <v>1384</v>
      </c>
      <c r="P274" s="7">
        <v>228</v>
      </c>
      <c r="Q274" s="8">
        <v>23893</v>
      </c>
      <c r="R274" s="8">
        <v>239922</v>
      </c>
      <c r="S274" s="8">
        <v>138988</v>
      </c>
      <c r="T274" s="8">
        <v>27714</v>
      </c>
      <c r="U274" s="8">
        <v>81654</v>
      </c>
      <c r="V274" s="8">
        <v>130554</v>
      </c>
      <c r="W274" s="9">
        <f t="shared" si="27"/>
        <v>212208</v>
      </c>
    </row>
    <row r="275" spans="1:23" ht="17">
      <c r="A275" s="4" t="s">
        <v>122</v>
      </c>
      <c r="B275" s="4" t="s">
        <v>19</v>
      </c>
      <c r="C275" s="4" t="s">
        <v>24</v>
      </c>
      <c r="D275" s="4">
        <v>0</v>
      </c>
      <c r="E275" s="4">
        <v>16</v>
      </c>
      <c r="F275" s="4">
        <f t="shared" si="28"/>
        <v>-0.45328896851804451</v>
      </c>
      <c r="G275" s="4">
        <f t="shared" si="29"/>
        <v>12.090038704315873</v>
      </c>
      <c r="H275" s="4">
        <f t="shared" si="30"/>
        <v>0.76115874646946191</v>
      </c>
      <c r="I275" s="4">
        <v>9.3264143999999993E-2</v>
      </c>
      <c r="J275" s="4">
        <f t="shared" si="31"/>
        <v>-0.41636299518043962</v>
      </c>
      <c r="K275" s="4">
        <f t="shared" si="26"/>
        <v>0.57746478873239437</v>
      </c>
      <c r="L275" s="4"/>
      <c r="M275" s="94">
        <v>41</v>
      </c>
      <c r="N275" s="94">
        <v>71</v>
      </c>
      <c r="O275" s="50">
        <v>-17710</v>
      </c>
      <c r="P275" s="7">
        <v>134</v>
      </c>
      <c r="Q275" s="9">
        <v>10344</v>
      </c>
      <c r="R275" s="9">
        <v>178089</v>
      </c>
      <c r="S275" s="9">
        <v>39070</v>
      </c>
      <c r="T275" s="9">
        <f>R275-W275</f>
        <v>42535</v>
      </c>
      <c r="U275" s="9">
        <v>97889</v>
      </c>
      <c r="V275" s="9">
        <v>37665</v>
      </c>
      <c r="W275" s="9">
        <f t="shared" si="27"/>
        <v>135554</v>
      </c>
    </row>
    <row r="276" spans="1:23" ht="17">
      <c r="A276" s="4" t="s">
        <v>126</v>
      </c>
      <c r="B276" s="4" t="s">
        <v>19</v>
      </c>
      <c r="C276" s="4" t="s">
        <v>24</v>
      </c>
      <c r="D276" s="4">
        <v>0</v>
      </c>
      <c r="E276" s="4">
        <v>10</v>
      </c>
      <c r="F276" s="4">
        <f t="shared" si="28"/>
        <v>-6.0612244897959182E-2</v>
      </c>
      <c r="G276" s="4">
        <f t="shared" si="29"/>
        <v>12.133319140287243</v>
      </c>
      <c r="H276" s="4">
        <f t="shared" si="30"/>
        <v>0.92329242979899551</v>
      </c>
      <c r="I276" s="4">
        <v>-3.3205045408891271E-2</v>
      </c>
      <c r="J276" s="4">
        <f t="shared" si="31"/>
        <v>-0.47886435331230282</v>
      </c>
      <c r="K276" s="4">
        <f t="shared" si="26"/>
        <v>1.1219512195121952</v>
      </c>
      <c r="L276" s="4"/>
      <c r="M276" s="94">
        <v>46</v>
      </c>
      <c r="N276" s="94">
        <v>41</v>
      </c>
      <c r="O276" s="6">
        <v>-6831</v>
      </c>
      <c r="P276" s="7">
        <v>172</v>
      </c>
      <c r="Q276" s="8">
        <v>5000</v>
      </c>
      <c r="R276" s="8">
        <v>185966</v>
      </c>
      <c r="S276" s="8">
        <v>112700</v>
      </c>
      <c r="T276" s="8">
        <v>14265</v>
      </c>
      <c r="U276" s="8">
        <v>95244</v>
      </c>
      <c r="V276" s="8">
        <v>76457</v>
      </c>
      <c r="W276" s="9">
        <f t="shared" si="27"/>
        <v>171701</v>
      </c>
    </row>
    <row r="277" spans="1:23" ht="17">
      <c r="A277" s="4" t="s">
        <v>131</v>
      </c>
      <c r="B277" s="4" t="s">
        <v>19</v>
      </c>
      <c r="C277" s="4" t="s">
        <v>24</v>
      </c>
      <c r="D277" s="4">
        <v>0</v>
      </c>
      <c r="E277" s="4">
        <v>12</v>
      </c>
      <c r="F277" s="4">
        <f t="shared" si="28"/>
        <v>-0.88438780737704914</v>
      </c>
      <c r="G277" s="4">
        <f t="shared" si="29"/>
        <v>12.697522770767504</v>
      </c>
      <c r="H277" s="4">
        <f t="shared" si="30"/>
        <v>0.61084551457926139</v>
      </c>
      <c r="I277" s="4">
        <v>3.9680904351148759E-2</v>
      </c>
      <c r="J277" s="4">
        <f t="shared" si="31"/>
        <v>-0.54275002357971514</v>
      </c>
      <c r="K277" s="4">
        <f t="shared" si="26"/>
        <v>1.0517241379310345</v>
      </c>
      <c r="L277" s="4"/>
      <c r="M277" s="94">
        <v>61</v>
      </c>
      <c r="N277" s="94">
        <v>58</v>
      </c>
      <c r="O277" s="60">
        <v>-69053</v>
      </c>
      <c r="P277" s="61">
        <v>179</v>
      </c>
      <c r="Q277" s="62">
        <v>15942</v>
      </c>
      <c r="R277" s="62">
        <v>326937</v>
      </c>
      <c r="S277" s="62">
        <v>78080</v>
      </c>
      <c r="T277" s="62">
        <v>127228</v>
      </c>
      <c r="U277" s="62">
        <v>100533</v>
      </c>
      <c r="V277" s="62">
        <v>99175</v>
      </c>
      <c r="W277" s="63">
        <f t="shared" si="27"/>
        <v>199708</v>
      </c>
    </row>
    <row r="278" spans="1:23">
      <c r="A278" s="4" t="s">
        <v>133</v>
      </c>
      <c r="B278" s="4" t="s">
        <v>19</v>
      </c>
      <c r="C278" s="4" t="s">
        <v>24</v>
      </c>
      <c r="D278" s="4">
        <v>0</v>
      </c>
      <c r="E278" s="4">
        <v>9</v>
      </c>
      <c r="F278" s="4">
        <f t="shared" si="28"/>
        <v>-5.9858072146658781E-2</v>
      </c>
      <c r="G278" s="4">
        <f t="shared" si="29"/>
        <v>12.455550388136121</v>
      </c>
      <c r="H278" s="4">
        <f t="shared" si="30"/>
        <v>1.6450514471833593</v>
      </c>
      <c r="I278" s="4">
        <v>-9.5717297261539991E-3</v>
      </c>
      <c r="J278" s="4">
        <f t="shared" si="31"/>
        <v>3.0567870214899193E-2</v>
      </c>
      <c r="K278" s="4">
        <f t="shared" si="26"/>
        <v>1.1016949152542372</v>
      </c>
      <c r="L278" s="4"/>
      <c r="M278" s="94">
        <v>65</v>
      </c>
      <c r="N278" s="94">
        <v>59</v>
      </c>
      <c r="O278" s="50">
        <v>-5061</v>
      </c>
      <c r="P278" s="64">
        <v>218</v>
      </c>
      <c r="Q278" s="65">
        <v>576</v>
      </c>
      <c r="R278" s="66">
        <v>256671</v>
      </c>
      <c r="S278" s="9">
        <v>84550</v>
      </c>
      <c r="T278" s="9">
        <f>R278-W278</f>
        <v>-165566</v>
      </c>
      <c r="U278" s="9">
        <v>256770</v>
      </c>
      <c r="V278" s="9">
        <v>165467</v>
      </c>
      <c r="W278" s="9">
        <f t="shared" si="27"/>
        <v>422237</v>
      </c>
    </row>
    <row r="279" spans="1:23" ht="17">
      <c r="A279" s="4" t="s">
        <v>18</v>
      </c>
      <c r="B279" s="4" t="s">
        <v>19</v>
      </c>
      <c r="C279" s="4" t="s">
        <v>23</v>
      </c>
      <c r="D279" s="4">
        <v>0</v>
      </c>
      <c r="E279" s="4">
        <v>2</v>
      </c>
      <c r="F279" s="4">
        <f t="shared" si="28"/>
        <v>-0.39176455769238583</v>
      </c>
      <c r="G279" s="4">
        <f t="shared" si="29"/>
        <v>12.91346783935532</v>
      </c>
      <c r="H279" s="4">
        <f t="shared" si="30"/>
        <v>0.83414501897767046</v>
      </c>
      <c r="I279" s="4">
        <v>-0.17300532272372912</v>
      </c>
      <c r="J279" s="4">
        <f t="shared" si="31"/>
        <v>-1.4327577495764854</v>
      </c>
      <c r="K279" s="4">
        <f t="shared" si="26"/>
        <v>1.8048780487804879</v>
      </c>
      <c r="L279" s="4"/>
      <c r="M279" s="94">
        <v>74</v>
      </c>
      <c r="N279" s="94">
        <v>41</v>
      </c>
      <c r="O279" s="6">
        <v>-96416</v>
      </c>
      <c r="P279" s="7">
        <v>411</v>
      </c>
      <c r="Q279" s="8">
        <v>71684</v>
      </c>
      <c r="R279" s="8">
        <v>405740</v>
      </c>
      <c r="S279" s="8">
        <v>246107</v>
      </c>
      <c r="T279" s="8">
        <v>67294</v>
      </c>
      <c r="U279" s="8">
        <v>104256</v>
      </c>
      <c r="V279" s="8">
        <v>234190</v>
      </c>
      <c r="W279" s="9">
        <f t="shared" si="27"/>
        <v>338446</v>
      </c>
    </row>
    <row r="280" spans="1:23" ht="17">
      <c r="A280" s="4" t="s">
        <v>41</v>
      </c>
      <c r="B280" s="4" t="s">
        <v>19</v>
      </c>
      <c r="C280" s="4" t="s">
        <v>23</v>
      </c>
      <c r="D280" s="4">
        <v>0</v>
      </c>
      <c r="E280" s="4">
        <v>3</v>
      </c>
      <c r="F280" s="4">
        <f t="shared" si="28"/>
        <v>0.14676082156397116</v>
      </c>
      <c r="G280" s="4">
        <f t="shared" si="29"/>
        <v>12.758770272364451</v>
      </c>
      <c r="H280" s="4">
        <f t="shared" si="30"/>
        <v>0.5221081340786623</v>
      </c>
      <c r="I280" s="4">
        <v>1.0069733607585412</v>
      </c>
      <c r="J280" s="4">
        <f t="shared" si="31"/>
        <v>0.21207159154531061</v>
      </c>
      <c r="K280" s="4">
        <f t="shared" si="26"/>
        <v>1.9148936170212767</v>
      </c>
      <c r="L280" s="4"/>
      <c r="M280" s="94">
        <v>90</v>
      </c>
      <c r="N280" s="94">
        <v>47</v>
      </c>
      <c r="O280" s="6">
        <v>35227</v>
      </c>
      <c r="P280" s="7">
        <v>171</v>
      </c>
      <c r="Q280" s="8">
        <v>852</v>
      </c>
      <c r="R280" s="8">
        <v>347587</v>
      </c>
      <c r="S280" s="8">
        <v>240030</v>
      </c>
      <c r="T280" s="8">
        <v>166109</v>
      </c>
      <c r="U280" s="8">
        <v>72572</v>
      </c>
      <c r="V280" s="8">
        <v>108906</v>
      </c>
      <c r="W280" s="9">
        <f t="shared" si="27"/>
        <v>181478</v>
      </c>
    </row>
    <row r="281" spans="1:23" ht="17">
      <c r="A281" s="4" t="s">
        <v>48</v>
      </c>
      <c r="B281" s="4" t="s">
        <v>19</v>
      </c>
      <c r="C281" s="4" t="s">
        <v>23</v>
      </c>
      <c r="D281" s="4">
        <v>0</v>
      </c>
      <c r="E281" s="4">
        <v>12</v>
      </c>
      <c r="F281" s="4">
        <f t="shared" si="28"/>
        <v>-0.38627028651572831</v>
      </c>
      <c r="G281" s="4">
        <f t="shared" si="29"/>
        <v>11.707488455408749</v>
      </c>
      <c r="H281" s="4">
        <f t="shared" si="30"/>
        <v>0.8671529001136008</v>
      </c>
      <c r="I281" s="4">
        <v>-6.5190345857178405E-3</v>
      </c>
      <c r="J281" s="4">
        <f t="shared" si="31"/>
        <v>-1.9112708346242022</v>
      </c>
      <c r="K281" s="4">
        <f t="shared" si="26"/>
        <v>0.7846153846153846</v>
      </c>
      <c r="L281" s="4"/>
      <c r="M281" s="94">
        <v>51</v>
      </c>
      <c r="N281" s="94">
        <v>65</v>
      </c>
      <c r="O281" s="6">
        <v>-30846</v>
      </c>
      <c r="P281" s="7">
        <v>183</v>
      </c>
      <c r="Q281" s="8">
        <v>6528</v>
      </c>
      <c r="R281" s="8">
        <v>121478</v>
      </c>
      <c r="S281" s="8">
        <v>79856</v>
      </c>
      <c r="T281" s="8">
        <v>16139</v>
      </c>
      <c r="U281" s="8">
        <v>27562</v>
      </c>
      <c r="V281" s="8">
        <v>77778</v>
      </c>
      <c r="W281" s="9">
        <f t="shared" si="27"/>
        <v>105340</v>
      </c>
    </row>
    <row r="282" spans="1:23" ht="17">
      <c r="A282" s="4" t="s">
        <v>71</v>
      </c>
      <c r="B282" s="4" t="s">
        <v>19</v>
      </c>
      <c r="C282" s="4" t="s">
        <v>23</v>
      </c>
      <c r="D282" s="4">
        <v>0</v>
      </c>
      <c r="E282" s="4">
        <v>13</v>
      </c>
      <c r="F282" s="4">
        <f t="shared" si="28"/>
        <v>-6.4552062330420934E-2</v>
      </c>
      <c r="G282" s="4">
        <f t="shared" si="29"/>
        <v>12.599539393671195</v>
      </c>
      <c r="H282" s="4">
        <f t="shared" si="30"/>
        <v>0.48380349636666642</v>
      </c>
      <c r="I282" s="4">
        <v>-0.30841435230016395</v>
      </c>
      <c r="J282" s="4">
        <f t="shared" si="31"/>
        <v>-6.779206859592711E-2</v>
      </c>
      <c r="K282" s="4">
        <f t="shared" si="26"/>
        <v>0.79661016949152541</v>
      </c>
      <c r="L282" s="4"/>
      <c r="M282" s="94">
        <v>47</v>
      </c>
      <c r="N282" s="94">
        <v>59</v>
      </c>
      <c r="O282" s="6">
        <v>-10373</v>
      </c>
      <c r="P282" s="7">
        <v>247</v>
      </c>
      <c r="Q282" s="8">
        <v>0</v>
      </c>
      <c r="R282" s="8">
        <v>296422</v>
      </c>
      <c r="S282" s="8">
        <v>160692</v>
      </c>
      <c r="T282" s="8">
        <v>153012</v>
      </c>
      <c r="U282" s="8">
        <v>39146</v>
      </c>
      <c r="V282" s="8">
        <v>104264</v>
      </c>
      <c r="W282" s="9">
        <f t="shared" si="27"/>
        <v>143410</v>
      </c>
    </row>
    <row r="283" spans="1:23" ht="17">
      <c r="A283" s="4" t="s">
        <v>74</v>
      </c>
      <c r="B283" s="4" t="s">
        <v>19</v>
      </c>
      <c r="C283" s="4" t="s">
        <v>23</v>
      </c>
      <c r="D283" s="4">
        <v>0</v>
      </c>
      <c r="E283" s="4">
        <v>11</v>
      </c>
      <c r="F283" s="4">
        <f t="shared" si="28"/>
        <v>-0.57344928469817757</v>
      </c>
      <c r="G283" s="4">
        <f t="shared" si="29"/>
        <v>12.587374834069179</v>
      </c>
      <c r="H283" s="4">
        <f t="shared" si="30"/>
        <v>0.98400822297652624</v>
      </c>
      <c r="I283" s="4">
        <v>-8.0255751950232046E-2</v>
      </c>
      <c r="J283" s="4">
        <f t="shared" si="31"/>
        <v>-9.1264416915847928</v>
      </c>
      <c r="K283" s="4">
        <f t="shared" si="26"/>
        <v>0.81034482758620685</v>
      </c>
      <c r="L283" s="4"/>
      <c r="M283" s="94">
        <v>47</v>
      </c>
      <c r="N283" s="94">
        <v>58</v>
      </c>
      <c r="O283" s="6">
        <v>-42730</v>
      </c>
      <c r="P283" s="7">
        <v>196</v>
      </c>
      <c r="Q283" s="8">
        <v>42892</v>
      </c>
      <c r="R283" s="8">
        <v>292838</v>
      </c>
      <c r="S283" s="8">
        <v>74514</v>
      </c>
      <c r="T283" s="8">
        <v>4682</v>
      </c>
      <c r="U283" s="8">
        <v>125009</v>
      </c>
      <c r="V283" s="8">
        <v>163146</v>
      </c>
      <c r="W283" s="9">
        <f t="shared" si="27"/>
        <v>288155</v>
      </c>
    </row>
    <row r="284" spans="1:23" ht="17">
      <c r="A284" s="4" t="s">
        <v>81</v>
      </c>
      <c r="B284" s="4" t="s">
        <v>19</v>
      </c>
      <c r="C284" s="4" t="s">
        <v>23</v>
      </c>
      <c r="D284" s="4">
        <v>0</v>
      </c>
      <c r="E284" s="4">
        <v>1</v>
      </c>
      <c r="F284" s="4">
        <f t="shared" si="28"/>
        <v>-0.67725753430702029</v>
      </c>
      <c r="G284" s="4">
        <f t="shared" si="29"/>
        <v>13.76769017340655</v>
      </c>
      <c r="H284" s="4">
        <f t="shared" si="30"/>
        <v>0.94393085109172825</v>
      </c>
      <c r="I284" s="4">
        <v>-0.1744311532664575</v>
      </c>
      <c r="J284" s="4">
        <f t="shared" si="31"/>
        <v>-4.59446970122168</v>
      </c>
      <c r="K284" s="4">
        <f t="shared" si="26"/>
        <v>2.5428571428571427</v>
      </c>
      <c r="L284" s="4"/>
      <c r="M284" s="94">
        <v>89</v>
      </c>
      <c r="N284" s="94">
        <v>35</v>
      </c>
      <c r="O284" s="6">
        <v>-245579</v>
      </c>
      <c r="P284" s="7">
        <v>520</v>
      </c>
      <c r="Q284" s="8">
        <v>9321</v>
      </c>
      <c r="R284" s="8">
        <v>953305</v>
      </c>
      <c r="S284" s="8">
        <v>362608</v>
      </c>
      <c r="T284" s="8">
        <v>53451</v>
      </c>
      <c r="U284" s="8">
        <v>581891</v>
      </c>
      <c r="V284" s="8">
        <v>317963</v>
      </c>
      <c r="W284" s="9">
        <f t="shared" si="27"/>
        <v>899854</v>
      </c>
    </row>
    <row r="285" spans="1:23" ht="17">
      <c r="A285" s="4" t="s">
        <v>83</v>
      </c>
      <c r="B285" s="4" t="s">
        <v>19</v>
      </c>
      <c r="C285" s="4" t="s">
        <v>23</v>
      </c>
      <c r="D285" s="4">
        <v>0</v>
      </c>
      <c r="E285" s="4">
        <v>4</v>
      </c>
      <c r="F285" s="4">
        <f t="shared" si="28"/>
        <v>-0.43661277438466273</v>
      </c>
      <c r="G285" s="4">
        <f t="shared" si="29"/>
        <v>13.718791486137523</v>
      </c>
      <c r="H285" s="4">
        <f t="shared" si="30"/>
        <v>0.96867299470925117</v>
      </c>
      <c r="I285" s="4">
        <v>8.1362207930391436E-2</v>
      </c>
      <c r="J285" s="4">
        <f t="shared" si="31"/>
        <v>-7.380182144238546</v>
      </c>
      <c r="K285" s="4">
        <f t="shared" si="26"/>
        <v>2.0263157894736841</v>
      </c>
      <c r="L285" s="4"/>
      <c r="M285" s="94">
        <v>77</v>
      </c>
      <c r="N285" s="94">
        <v>38</v>
      </c>
      <c r="O285" s="6">
        <v>-209885</v>
      </c>
      <c r="P285" s="7">
        <v>270</v>
      </c>
      <c r="Q285" s="8">
        <v>48416</v>
      </c>
      <c r="R285" s="8">
        <v>907811</v>
      </c>
      <c r="S285" s="8">
        <v>480712</v>
      </c>
      <c r="T285" s="8">
        <v>28439</v>
      </c>
      <c r="U285" s="8">
        <v>499212</v>
      </c>
      <c r="V285" s="8">
        <v>380160</v>
      </c>
      <c r="W285" s="9">
        <f t="shared" si="27"/>
        <v>879372</v>
      </c>
    </row>
    <row r="286" spans="1:23" ht="17">
      <c r="A286" s="4" t="s">
        <v>88</v>
      </c>
      <c r="B286" s="4" t="s">
        <v>19</v>
      </c>
      <c r="C286" s="4" t="s">
        <v>23</v>
      </c>
      <c r="D286" s="4">
        <v>0</v>
      </c>
      <c r="E286" s="4">
        <v>6</v>
      </c>
      <c r="F286" s="4">
        <f t="shared" si="28"/>
        <v>-0.17278428572390889</v>
      </c>
      <c r="G286" s="4">
        <f t="shared" si="29"/>
        <v>12.720834512117683</v>
      </c>
      <c r="H286" s="4">
        <f t="shared" si="30"/>
        <v>0.7762305467237216</v>
      </c>
      <c r="I286" s="4">
        <v>0.30852629816040689</v>
      </c>
      <c r="J286" s="4">
        <f t="shared" si="31"/>
        <v>-0.34252977939212648</v>
      </c>
      <c r="K286" s="4">
        <f t="shared" si="26"/>
        <v>1.1090909090909091</v>
      </c>
      <c r="L286" s="4"/>
      <c r="M286" s="94">
        <v>61</v>
      </c>
      <c r="N286" s="94">
        <v>55</v>
      </c>
      <c r="O286" s="6">
        <v>-25650</v>
      </c>
      <c r="P286" s="7">
        <v>183</v>
      </c>
      <c r="Q286" s="8">
        <v>25675</v>
      </c>
      <c r="R286" s="8">
        <v>334648</v>
      </c>
      <c r="S286" s="8">
        <v>148451</v>
      </c>
      <c r="T286" s="8">
        <v>74884</v>
      </c>
      <c r="U286" s="8">
        <v>84582</v>
      </c>
      <c r="V286" s="8">
        <v>175182</v>
      </c>
      <c r="W286" s="9">
        <f t="shared" si="27"/>
        <v>259764</v>
      </c>
    </row>
    <row r="287" spans="1:23" ht="17">
      <c r="A287" s="4" t="s">
        <v>101</v>
      </c>
      <c r="B287" s="4" t="s">
        <v>19</v>
      </c>
      <c r="C287" s="4" t="s">
        <v>23</v>
      </c>
      <c r="D287" s="4">
        <v>0</v>
      </c>
      <c r="E287" s="4">
        <v>5</v>
      </c>
      <c r="F287" s="4">
        <f t="shared" si="28"/>
        <v>-0.26439570988332711</v>
      </c>
      <c r="G287" s="4">
        <f t="shared" si="29"/>
        <v>12.942707863557493</v>
      </c>
      <c r="H287" s="4">
        <f t="shared" si="30"/>
        <v>0.664274652387985</v>
      </c>
      <c r="I287" s="4">
        <v>0.26668939458507346</v>
      </c>
      <c r="J287" s="4">
        <f t="shared" si="31"/>
        <v>-0.42023684754632501</v>
      </c>
      <c r="K287" s="4">
        <f t="shared" si="26"/>
        <v>2.0975609756097562</v>
      </c>
      <c r="L287" s="4"/>
      <c r="M287" s="94">
        <v>86</v>
      </c>
      <c r="N287" s="94">
        <v>41</v>
      </c>
      <c r="O287" s="6">
        <v>-58942</v>
      </c>
      <c r="P287" s="7">
        <v>110</v>
      </c>
      <c r="Q287" s="8">
        <v>0</v>
      </c>
      <c r="R287" s="8">
        <v>417779</v>
      </c>
      <c r="S287" s="8">
        <v>222931</v>
      </c>
      <c r="T287" s="8">
        <v>140259</v>
      </c>
      <c r="U287" s="8">
        <v>82783</v>
      </c>
      <c r="V287" s="8">
        <v>194737</v>
      </c>
      <c r="W287" s="9">
        <f t="shared" ref="W287:W318" si="32">U287+V287</f>
        <v>277520</v>
      </c>
    </row>
    <row r="288" spans="1:23" ht="17">
      <c r="A288" s="4" t="s">
        <v>116</v>
      </c>
      <c r="B288" s="4" t="s">
        <v>19</v>
      </c>
      <c r="C288" s="4" t="s">
        <v>23</v>
      </c>
      <c r="D288" s="4">
        <v>0</v>
      </c>
      <c r="E288" s="4">
        <v>7</v>
      </c>
      <c r="F288" s="4">
        <f t="shared" si="28"/>
        <v>-0.81804296869827009</v>
      </c>
      <c r="G288" s="4">
        <f t="shared" si="29"/>
        <v>12.835478320584524</v>
      </c>
      <c r="H288" s="4">
        <f t="shared" si="30"/>
        <v>1.7280728166075583</v>
      </c>
      <c r="I288" s="4">
        <v>0.10036187006678809</v>
      </c>
      <c r="J288" s="4">
        <f t="shared" si="31"/>
        <v>0.67820820143095029</v>
      </c>
      <c r="K288" s="4">
        <f t="shared" si="26"/>
        <v>1.1724137931034482</v>
      </c>
      <c r="L288" s="4"/>
      <c r="M288" s="94">
        <v>68</v>
      </c>
      <c r="N288" s="94">
        <v>58</v>
      </c>
      <c r="O288" s="6">
        <v>-185317</v>
      </c>
      <c r="P288" s="7">
        <v>403</v>
      </c>
      <c r="Q288" s="8">
        <v>22968</v>
      </c>
      <c r="R288" s="8">
        <v>375299</v>
      </c>
      <c r="S288" s="8">
        <v>226537</v>
      </c>
      <c r="T288" s="8">
        <v>-273245</v>
      </c>
      <c r="U288" s="8">
        <v>389087</v>
      </c>
      <c r="V288" s="8">
        <v>259457</v>
      </c>
      <c r="W288" s="9">
        <f t="shared" si="32"/>
        <v>648544</v>
      </c>
    </row>
    <row r="289" spans="1:23" ht="17">
      <c r="A289" s="4" t="s">
        <v>118</v>
      </c>
      <c r="B289" s="4" t="s">
        <v>19</v>
      </c>
      <c r="C289" s="4" t="s">
        <v>23</v>
      </c>
      <c r="D289" s="4">
        <v>0</v>
      </c>
      <c r="E289" s="4">
        <v>9</v>
      </c>
      <c r="F289" s="4">
        <f t="shared" si="28"/>
        <v>-0.32000681395287889</v>
      </c>
      <c r="G289" s="4">
        <f t="shared" si="29"/>
        <v>12.792950564314253</v>
      </c>
      <c r="H289" s="4">
        <f t="shared" si="30"/>
        <v>0.72160823859450107</v>
      </c>
      <c r="I289" s="4">
        <v>-1.8898488120950324E-2</v>
      </c>
      <c r="J289" s="4">
        <f t="shared" si="31"/>
        <v>-0.24389293917906721</v>
      </c>
      <c r="K289" s="4">
        <f t="shared" si="26"/>
        <v>0.96296296296296291</v>
      </c>
      <c r="L289" s="4"/>
      <c r="M289" s="94">
        <v>52</v>
      </c>
      <c r="N289" s="94">
        <v>54</v>
      </c>
      <c r="O289" s="50">
        <v>-24421</v>
      </c>
      <c r="P289" s="7">
        <v>201</v>
      </c>
      <c r="Q289" s="9">
        <v>76784</v>
      </c>
      <c r="R289" s="9">
        <v>359673</v>
      </c>
      <c r="S289" s="9">
        <v>76314</v>
      </c>
      <c r="T289" s="9">
        <f>R289-W289</f>
        <v>100130</v>
      </c>
      <c r="U289" s="9">
        <v>154067</v>
      </c>
      <c r="V289" s="9">
        <v>105476</v>
      </c>
      <c r="W289" s="9">
        <f t="shared" si="32"/>
        <v>259543</v>
      </c>
    </row>
    <row r="290" spans="1:23" ht="17">
      <c r="A290" s="4" t="s">
        <v>119</v>
      </c>
      <c r="B290" s="4" t="s">
        <v>19</v>
      </c>
      <c r="C290" s="4" t="s">
        <v>23</v>
      </c>
      <c r="D290" s="4">
        <v>0</v>
      </c>
      <c r="E290" s="4">
        <v>8</v>
      </c>
      <c r="F290" s="4">
        <f t="shared" si="28"/>
        <v>-0.11845244712784243</v>
      </c>
      <c r="G290" s="4">
        <f t="shared" si="29"/>
        <v>12.31168412969277</v>
      </c>
      <c r="H290" s="4">
        <f t="shared" si="30"/>
        <v>0.94385409262275166</v>
      </c>
      <c r="I290" s="4">
        <v>-0.15868276397962414</v>
      </c>
      <c r="J290" s="4">
        <f t="shared" si="31"/>
        <v>-1.1098557692307693</v>
      </c>
      <c r="K290" s="4">
        <f t="shared" si="26"/>
        <v>1.1428571428571428</v>
      </c>
      <c r="L290" s="4"/>
      <c r="M290" s="94">
        <v>64</v>
      </c>
      <c r="N290" s="94">
        <v>56</v>
      </c>
      <c r="O290" s="6">
        <v>-13851</v>
      </c>
      <c r="P290" s="7">
        <v>181</v>
      </c>
      <c r="Q290" s="8">
        <v>40997</v>
      </c>
      <c r="R290" s="8">
        <v>222278</v>
      </c>
      <c r="S290" s="8">
        <v>116933</v>
      </c>
      <c r="T290" s="8">
        <v>12480</v>
      </c>
      <c r="U290" s="8">
        <v>58908</v>
      </c>
      <c r="V290" s="8">
        <v>150890</v>
      </c>
      <c r="W290" s="9">
        <f t="shared" si="32"/>
        <v>209798</v>
      </c>
    </row>
    <row r="291" spans="1:23" ht="17">
      <c r="A291" s="4" t="s">
        <v>122</v>
      </c>
      <c r="B291" s="4" t="s">
        <v>19</v>
      </c>
      <c r="C291" s="4" t="s">
        <v>23</v>
      </c>
      <c r="D291" s="4">
        <v>0</v>
      </c>
      <c r="E291" s="4">
        <v>15</v>
      </c>
      <c r="F291" s="4">
        <f t="shared" si="28"/>
        <v>-0.42066759250074398</v>
      </c>
      <c r="G291" s="4">
        <f t="shared" si="29"/>
        <v>12.024400877577715</v>
      </c>
      <c r="H291" s="4">
        <f t="shared" si="30"/>
        <v>0.76378354069854593</v>
      </c>
      <c r="I291" s="4">
        <v>3.2096237522395703E-2</v>
      </c>
      <c r="J291" s="4">
        <f t="shared" si="31"/>
        <v>-0.43058763802513011</v>
      </c>
      <c r="K291" s="4">
        <f t="shared" si="26"/>
        <v>0.72222222222222221</v>
      </c>
      <c r="L291" s="4"/>
      <c r="M291" s="94">
        <v>52</v>
      </c>
      <c r="N291" s="94">
        <v>72</v>
      </c>
      <c r="O291" s="50">
        <v>-16963</v>
      </c>
      <c r="P291" s="7">
        <v>94</v>
      </c>
      <c r="Q291" s="9">
        <v>124</v>
      </c>
      <c r="R291" s="9">
        <v>166775</v>
      </c>
      <c r="S291" s="9">
        <v>40324</v>
      </c>
      <c r="T291" s="9">
        <f>R291-W291</f>
        <v>39395</v>
      </c>
      <c r="U291" s="9">
        <v>28890</v>
      </c>
      <c r="V291" s="9">
        <v>98490</v>
      </c>
      <c r="W291" s="9">
        <f t="shared" si="32"/>
        <v>127380</v>
      </c>
    </row>
    <row r="292" spans="1:23" ht="17">
      <c r="A292" s="4" t="s">
        <v>126</v>
      </c>
      <c r="B292" s="4" t="s">
        <v>19</v>
      </c>
      <c r="C292" s="4" t="s">
        <v>23</v>
      </c>
      <c r="D292" s="4">
        <v>0</v>
      </c>
      <c r="E292" s="4">
        <v>17</v>
      </c>
      <c r="F292" s="4">
        <f t="shared" si="28"/>
        <v>-0.45146802360304833</v>
      </c>
      <c r="G292" s="4">
        <f t="shared" si="29"/>
        <v>11.906378718745147</v>
      </c>
      <c r="H292" s="4">
        <f t="shared" si="30"/>
        <v>0.86268040402404711</v>
      </c>
      <c r="I292" s="4">
        <v>-0.25716060337178348</v>
      </c>
      <c r="J292" s="4">
        <f t="shared" si="31"/>
        <v>-1.8571147798742138</v>
      </c>
      <c r="K292" s="4">
        <f t="shared" si="26"/>
        <v>0.72463768115942029</v>
      </c>
      <c r="L292" s="4"/>
      <c r="M292" s="94">
        <v>50</v>
      </c>
      <c r="N292" s="94">
        <v>69</v>
      </c>
      <c r="O292" s="6">
        <v>-37796</v>
      </c>
      <c r="P292" s="7">
        <v>180</v>
      </c>
      <c r="Q292" s="8">
        <v>1250</v>
      </c>
      <c r="R292" s="8">
        <v>148209</v>
      </c>
      <c r="S292" s="8">
        <v>83718</v>
      </c>
      <c r="T292" s="8">
        <v>20352</v>
      </c>
      <c r="U292" s="8">
        <v>60382</v>
      </c>
      <c r="V292" s="8">
        <v>67475</v>
      </c>
      <c r="W292" s="9">
        <f t="shared" si="32"/>
        <v>127857</v>
      </c>
    </row>
    <row r="293" spans="1:23" ht="17">
      <c r="A293" s="4" t="s">
        <v>131</v>
      </c>
      <c r="B293" s="4" t="s">
        <v>19</v>
      </c>
      <c r="C293" s="4" t="s">
        <v>23</v>
      </c>
      <c r="D293" s="4">
        <v>0</v>
      </c>
      <c r="E293" s="4">
        <v>14</v>
      </c>
      <c r="F293" s="4">
        <f t="shared" si="28"/>
        <v>-0.46747946872148433</v>
      </c>
      <c r="G293" s="4">
        <f t="shared" si="29"/>
        <v>12.87314275558</v>
      </c>
      <c r="H293" s="4">
        <f t="shared" si="30"/>
        <v>0.49633054831359186</v>
      </c>
      <c r="I293" s="4">
        <v>1.0553278688524591E-2</v>
      </c>
      <c r="J293" s="4">
        <f t="shared" si="31"/>
        <v>-0.18792349782455856</v>
      </c>
      <c r="K293" s="4">
        <f t="shared" si="26"/>
        <v>0.72413793103448276</v>
      </c>
      <c r="L293" s="4"/>
      <c r="M293" s="94">
        <v>42</v>
      </c>
      <c r="N293" s="94">
        <v>58</v>
      </c>
      <c r="O293" s="6">
        <v>-36886</v>
      </c>
      <c r="P293" s="7">
        <v>175</v>
      </c>
      <c r="Q293" s="8">
        <v>8169</v>
      </c>
      <c r="R293" s="8">
        <v>389704</v>
      </c>
      <c r="S293" s="8">
        <v>78904</v>
      </c>
      <c r="T293" s="8">
        <v>196282</v>
      </c>
      <c r="U293" s="8">
        <v>101229</v>
      </c>
      <c r="V293" s="8">
        <v>92193</v>
      </c>
      <c r="W293" s="9">
        <f t="shared" si="32"/>
        <v>193422</v>
      </c>
    </row>
    <row r="294" spans="1:23" ht="17">
      <c r="A294" s="4" t="s">
        <v>133</v>
      </c>
      <c r="B294" s="4" t="s">
        <v>19</v>
      </c>
      <c r="C294" s="4" t="s">
        <v>23</v>
      </c>
      <c r="D294" s="4">
        <v>0</v>
      </c>
      <c r="E294" s="4">
        <v>10</v>
      </c>
      <c r="F294" s="4">
        <f t="shared" si="28"/>
        <v>-0.24610902786177977</v>
      </c>
      <c r="G294" s="4">
        <f t="shared" si="29"/>
        <v>12.607757283323652</v>
      </c>
      <c r="H294" s="4">
        <f t="shared" si="30"/>
        <v>0.83436165798948025</v>
      </c>
      <c r="I294" s="4">
        <v>0.17331756357185096</v>
      </c>
      <c r="J294" s="4">
        <f t="shared" si="31"/>
        <v>-0.4931924692954105</v>
      </c>
      <c r="K294" s="4">
        <f t="shared" si="26"/>
        <v>0.95833333333333337</v>
      </c>
      <c r="L294" s="4"/>
      <c r="M294" s="94">
        <v>46</v>
      </c>
      <c r="N294" s="94">
        <v>48</v>
      </c>
      <c r="O294" s="6">
        <v>-24415</v>
      </c>
      <c r="P294" s="7">
        <v>160</v>
      </c>
      <c r="Q294" s="8">
        <v>39683</v>
      </c>
      <c r="R294" s="8">
        <v>298868</v>
      </c>
      <c r="S294" s="8">
        <v>99204</v>
      </c>
      <c r="T294" s="8">
        <v>49504</v>
      </c>
      <c r="U294" s="8">
        <v>102661</v>
      </c>
      <c r="V294" s="8">
        <v>146703</v>
      </c>
      <c r="W294" s="9">
        <f t="shared" si="32"/>
        <v>249364</v>
      </c>
    </row>
    <row r="295" spans="1:23" ht="17">
      <c r="A295" s="4" t="s">
        <v>18</v>
      </c>
      <c r="B295" s="4" t="s">
        <v>19</v>
      </c>
      <c r="C295" s="4" t="s">
        <v>22</v>
      </c>
      <c r="D295" s="4">
        <v>0</v>
      </c>
      <c r="E295" s="4">
        <v>6</v>
      </c>
      <c r="F295" s="4">
        <f t="shared" si="28"/>
        <v>-1.0303739431064332</v>
      </c>
      <c r="G295" s="4">
        <f t="shared" si="29"/>
        <v>12.849472704182654</v>
      </c>
      <c r="H295" s="4">
        <f t="shared" si="30"/>
        <v>0.9103387390038572</v>
      </c>
      <c r="I295" s="4">
        <v>-0.23253300393731183</v>
      </c>
      <c r="J295" s="4">
        <f t="shared" si="31"/>
        <v>-5.7032000937756422</v>
      </c>
      <c r="K295" s="4">
        <f t="shared" si="26"/>
        <v>1.3695652173913044</v>
      </c>
      <c r="L295" s="4"/>
      <c r="M295" s="94">
        <v>63</v>
      </c>
      <c r="N295" s="94">
        <v>46</v>
      </c>
      <c r="O295" s="6">
        <v>-194616</v>
      </c>
      <c r="P295" s="7">
        <v>407</v>
      </c>
      <c r="Q295" s="8">
        <v>96517</v>
      </c>
      <c r="R295" s="8">
        <v>380588</v>
      </c>
      <c r="S295" s="8">
        <v>188879</v>
      </c>
      <c r="T295" s="8">
        <v>34124</v>
      </c>
      <c r="U295" s="8">
        <v>45702</v>
      </c>
      <c r="V295" s="8">
        <v>300762</v>
      </c>
      <c r="W295" s="9">
        <f t="shared" si="32"/>
        <v>346464</v>
      </c>
    </row>
    <row r="296" spans="1:23" ht="17">
      <c r="A296" s="4" t="s">
        <v>41</v>
      </c>
      <c r="B296" s="4" t="s">
        <v>19</v>
      </c>
      <c r="C296" s="4" t="s">
        <v>22</v>
      </c>
      <c r="D296" s="4">
        <v>0</v>
      </c>
      <c r="E296" s="4">
        <v>3</v>
      </c>
      <c r="F296" s="4">
        <f t="shared" si="28"/>
        <v>0.21855340692173625</v>
      </c>
      <c r="G296" s="4">
        <f t="shared" si="29"/>
        <v>12.694646525360701</v>
      </c>
      <c r="H296" s="4">
        <f t="shared" si="30"/>
        <v>0.5985220768225572</v>
      </c>
      <c r="I296" s="4">
        <v>3.9578386035078947E-3</v>
      </c>
      <c r="J296" s="4">
        <f t="shared" si="31"/>
        <v>0.40240063568710749</v>
      </c>
      <c r="K296" s="4">
        <f t="shared" si="26"/>
        <v>2.0416666666666665</v>
      </c>
      <c r="L296" s="4"/>
      <c r="M296" s="94">
        <v>98</v>
      </c>
      <c r="N296" s="94">
        <v>48</v>
      </c>
      <c r="O296" s="6">
        <v>52667</v>
      </c>
      <c r="P296" s="7">
        <v>175</v>
      </c>
      <c r="Q296" s="8">
        <v>830</v>
      </c>
      <c r="R296" s="8">
        <v>325998</v>
      </c>
      <c r="S296" s="8">
        <v>240980</v>
      </c>
      <c r="T296" s="8">
        <v>130882</v>
      </c>
      <c r="U296" s="8">
        <v>76340</v>
      </c>
      <c r="V296" s="8">
        <v>118777</v>
      </c>
      <c r="W296" s="9">
        <f t="shared" si="32"/>
        <v>195117</v>
      </c>
    </row>
    <row r="297" spans="1:23" ht="17">
      <c r="A297" s="4" t="s">
        <v>48</v>
      </c>
      <c r="B297" s="4" t="s">
        <v>19</v>
      </c>
      <c r="C297" s="4" t="s">
        <v>22</v>
      </c>
      <c r="D297" s="4">
        <v>0</v>
      </c>
      <c r="E297" s="4">
        <v>12</v>
      </c>
      <c r="F297" s="4">
        <f t="shared" si="28"/>
        <v>-0.54892972732702694</v>
      </c>
      <c r="G297" s="4">
        <f t="shared" si="29"/>
        <v>11.830629824470885</v>
      </c>
      <c r="H297" s="4">
        <f t="shared" si="30"/>
        <v>0.78142171954263917</v>
      </c>
      <c r="I297" s="4">
        <v>-9.848978160689241E-2</v>
      </c>
      <c r="J297" s="4">
        <f t="shared" si="31"/>
        <v>-1.3158630793819925</v>
      </c>
      <c r="K297" s="4">
        <f t="shared" si="26"/>
        <v>0.8</v>
      </c>
      <c r="L297" s="4"/>
      <c r="M297" s="94">
        <v>52</v>
      </c>
      <c r="N297" s="94">
        <v>65</v>
      </c>
      <c r="O297" s="6">
        <v>-39518</v>
      </c>
      <c r="P297" s="7">
        <v>198</v>
      </c>
      <c r="Q297" s="8">
        <v>8416</v>
      </c>
      <c r="R297" s="8">
        <v>137397</v>
      </c>
      <c r="S297" s="8">
        <v>71991</v>
      </c>
      <c r="T297" s="8">
        <v>30032</v>
      </c>
      <c r="U297" s="8">
        <v>25010</v>
      </c>
      <c r="V297" s="8">
        <v>82355</v>
      </c>
      <c r="W297" s="9">
        <f t="shared" si="32"/>
        <v>107365</v>
      </c>
    </row>
    <row r="298" spans="1:23" ht="17">
      <c r="A298" s="4" t="s">
        <v>71</v>
      </c>
      <c r="B298" s="4" t="s">
        <v>19</v>
      </c>
      <c r="C298" s="4" t="s">
        <v>22</v>
      </c>
      <c r="D298" s="4">
        <v>0</v>
      </c>
      <c r="E298" s="4">
        <v>10</v>
      </c>
      <c r="F298" s="4">
        <f t="shared" si="28"/>
        <v>-0.85904822261911618</v>
      </c>
      <c r="G298" s="4">
        <f t="shared" si="29"/>
        <v>12.383812890790518</v>
      </c>
      <c r="H298" s="4">
        <f t="shared" si="30"/>
        <v>0.63359187620080115</v>
      </c>
      <c r="I298" s="4">
        <v>-0.78397182187041048</v>
      </c>
      <c r="J298" s="4">
        <f t="shared" si="31"/>
        <v>-0.34067126667885211</v>
      </c>
      <c r="K298" s="4">
        <f t="shared" si="26"/>
        <v>1.0625</v>
      </c>
      <c r="L298" s="4"/>
      <c r="M298" s="94">
        <v>51</v>
      </c>
      <c r="N298" s="94">
        <v>48</v>
      </c>
      <c r="O298" s="6">
        <v>-29821</v>
      </c>
      <c r="P298" s="7">
        <v>282</v>
      </c>
      <c r="Q298" s="8">
        <v>0</v>
      </c>
      <c r="R298" s="8">
        <v>238903</v>
      </c>
      <c r="S298" s="8">
        <v>34714</v>
      </c>
      <c r="T298" s="8">
        <v>87536</v>
      </c>
      <c r="U298" s="8">
        <v>49246</v>
      </c>
      <c r="V298" s="8">
        <v>102121</v>
      </c>
      <c r="W298" s="9">
        <f t="shared" si="32"/>
        <v>151367</v>
      </c>
    </row>
    <row r="299" spans="1:23" ht="17">
      <c r="A299" s="4" t="s">
        <v>74</v>
      </c>
      <c r="B299" s="4" t="s">
        <v>19</v>
      </c>
      <c r="C299" s="4" t="s">
        <v>22</v>
      </c>
      <c r="D299" s="4">
        <v>0</v>
      </c>
      <c r="E299" s="4">
        <v>17</v>
      </c>
      <c r="F299" s="4">
        <f t="shared" si="28"/>
        <v>-0.51364181030509726</v>
      </c>
      <c r="G299" s="4">
        <f t="shared" si="29"/>
        <v>12.54809019274273</v>
      </c>
      <c r="H299" s="4">
        <f t="shared" si="30"/>
        <v>0.94889489517220316</v>
      </c>
      <c r="I299" s="4">
        <v>-0.12641919639262419</v>
      </c>
      <c r="J299" s="4">
        <f t="shared" si="31"/>
        <v>-2.3236500104246298</v>
      </c>
      <c r="K299" s="4">
        <f t="shared" ref="K299:K362" si="33">M299/N299</f>
        <v>0.64383561643835618</v>
      </c>
      <c r="L299" s="4"/>
      <c r="M299" s="94">
        <v>47</v>
      </c>
      <c r="N299" s="94">
        <v>73</v>
      </c>
      <c r="O299" s="6">
        <v>-33435</v>
      </c>
      <c r="P299" s="7">
        <v>195</v>
      </c>
      <c r="Q299" s="8">
        <v>23868</v>
      </c>
      <c r="R299" s="8">
        <v>281557</v>
      </c>
      <c r="S299" s="8">
        <v>65094</v>
      </c>
      <c r="T299" s="8">
        <v>14389</v>
      </c>
      <c r="U299" s="8">
        <v>136346</v>
      </c>
      <c r="V299" s="8">
        <v>130822</v>
      </c>
      <c r="W299" s="9">
        <f t="shared" si="32"/>
        <v>267168</v>
      </c>
    </row>
    <row r="300" spans="1:23" ht="17">
      <c r="A300" s="4" t="s">
        <v>81</v>
      </c>
      <c r="B300" s="4" t="s">
        <v>19</v>
      </c>
      <c r="C300" s="4" t="s">
        <v>22</v>
      </c>
      <c r="D300" s="4">
        <v>0</v>
      </c>
      <c r="E300" s="4">
        <v>2</v>
      </c>
      <c r="F300" s="4">
        <f t="shared" si="28"/>
        <v>-0.2749791873674034</v>
      </c>
      <c r="G300" s="4">
        <f t="shared" si="29"/>
        <v>13.726924123040057</v>
      </c>
      <c r="H300" s="4">
        <f t="shared" si="30"/>
        <v>1.0403704448309923</v>
      </c>
      <c r="I300" s="4">
        <v>2.6921634382032388E-2</v>
      </c>
      <c r="J300" s="4">
        <f t="shared" si="31"/>
        <v>2.7712252023058812</v>
      </c>
      <c r="K300" s="4">
        <f t="shared" si="33"/>
        <v>2.25</v>
      </c>
      <c r="L300" s="4"/>
      <c r="M300" s="94">
        <v>81</v>
      </c>
      <c r="N300" s="94">
        <v>36</v>
      </c>
      <c r="O300" s="6">
        <v>-102394</v>
      </c>
      <c r="P300" s="7">
        <v>483</v>
      </c>
      <c r="Q300" s="8">
        <v>32278</v>
      </c>
      <c r="R300" s="8">
        <v>915224</v>
      </c>
      <c r="S300" s="8">
        <v>372370</v>
      </c>
      <c r="T300" s="8">
        <v>-36949</v>
      </c>
      <c r="U300" s="8">
        <v>594912</v>
      </c>
      <c r="V300" s="8">
        <v>357260</v>
      </c>
      <c r="W300" s="9">
        <f t="shared" si="32"/>
        <v>952172</v>
      </c>
    </row>
    <row r="301" spans="1:23" ht="17">
      <c r="A301" s="4" t="s">
        <v>83</v>
      </c>
      <c r="B301" s="4" t="s">
        <v>19</v>
      </c>
      <c r="C301" s="4" t="s">
        <v>22</v>
      </c>
      <c r="D301" s="4">
        <v>0</v>
      </c>
      <c r="E301" s="4">
        <v>1</v>
      </c>
      <c r="F301" s="4">
        <f t="shared" si="28"/>
        <v>-0.15639736041742236</v>
      </c>
      <c r="G301" s="4">
        <f t="shared" si="29"/>
        <v>13.978374028101106</v>
      </c>
      <c r="H301" s="4">
        <f t="shared" si="30"/>
        <v>0.79674579140028345</v>
      </c>
      <c r="I301" s="4">
        <v>0.19286391852086071</v>
      </c>
      <c r="J301" s="4">
        <f t="shared" si="31"/>
        <v>-0.37491691227190066</v>
      </c>
      <c r="K301" s="4">
        <f t="shared" si="33"/>
        <v>1.7674418604651163</v>
      </c>
      <c r="L301" s="4"/>
      <c r="M301" s="94">
        <v>76</v>
      </c>
      <c r="N301" s="94">
        <v>43</v>
      </c>
      <c r="O301" s="6">
        <v>-89682</v>
      </c>
      <c r="P301" s="7">
        <v>270</v>
      </c>
      <c r="Q301" s="8">
        <v>127598</v>
      </c>
      <c r="R301" s="8">
        <v>1176876</v>
      </c>
      <c r="S301" s="8">
        <v>573424</v>
      </c>
      <c r="T301" s="8">
        <v>239205</v>
      </c>
      <c r="U301" s="8">
        <v>502738</v>
      </c>
      <c r="V301" s="8">
        <v>434933</v>
      </c>
      <c r="W301" s="9">
        <f t="shared" si="32"/>
        <v>937671</v>
      </c>
    </row>
    <row r="302" spans="1:23" ht="17">
      <c r="A302" s="4" t="s">
        <v>88</v>
      </c>
      <c r="B302" s="4" t="s">
        <v>19</v>
      </c>
      <c r="C302" s="4" t="s">
        <v>22</v>
      </c>
      <c r="D302" s="4">
        <v>0</v>
      </c>
      <c r="E302" s="4">
        <v>4</v>
      </c>
      <c r="F302" s="4">
        <f t="shared" si="28"/>
        <v>-0.14940852069001215</v>
      </c>
      <c r="G302" s="4">
        <f t="shared" si="29"/>
        <v>12.573129510342019</v>
      </c>
      <c r="H302" s="4">
        <f t="shared" si="30"/>
        <v>0.90662842574888469</v>
      </c>
      <c r="I302" s="4">
        <v>-0.28421499349953855</v>
      </c>
      <c r="J302" s="4">
        <f t="shared" si="31"/>
        <v>-0.58895978631844492</v>
      </c>
      <c r="K302" s="4">
        <f t="shared" si="33"/>
        <v>1.8809523809523809</v>
      </c>
      <c r="L302" s="4"/>
      <c r="M302" s="94">
        <v>79</v>
      </c>
      <c r="N302" s="94">
        <v>42</v>
      </c>
      <c r="O302" s="6">
        <v>-15876</v>
      </c>
      <c r="P302" s="7">
        <v>245</v>
      </c>
      <c r="Q302" s="8">
        <v>36535</v>
      </c>
      <c r="R302" s="8">
        <v>288696</v>
      </c>
      <c r="S302" s="8">
        <v>106259</v>
      </c>
      <c r="T302" s="8">
        <v>26956</v>
      </c>
      <c r="U302" s="8">
        <v>99204</v>
      </c>
      <c r="V302" s="8">
        <v>162536</v>
      </c>
      <c r="W302" s="9">
        <f t="shared" si="32"/>
        <v>261740</v>
      </c>
    </row>
    <row r="303" spans="1:23" ht="17">
      <c r="A303" s="4" t="s">
        <v>89</v>
      </c>
      <c r="B303" s="4" t="s">
        <v>19</v>
      </c>
      <c r="C303" s="4" t="s">
        <v>22</v>
      </c>
      <c r="D303" s="4">
        <v>0</v>
      </c>
      <c r="E303" s="4">
        <v>18</v>
      </c>
      <c r="F303" s="4">
        <f t="shared" si="28"/>
        <v>-2.7746975806451614E-2</v>
      </c>
      <c r="G303" s="4">
        <f t="shared" si="29"/>
        <v>12.606407952008809</v>
      </c>
      <c r="H303" s="4">
        <f t="shared" si="30"/>
        <v>0.60782001239676342</v>
      </c>
      <c r="I303" s="4">
        <v>9.0623419999999996E-2</v>
      </c>
      <c r="J303" s="4">
        <f t="shared" si="31"/>
        <v>-9.4060759320643821E-3</v>
      </c>
      <c r="K303" s="4">
        <f t="shared" si="33"/>
        <v>0.61176470588235299</v>
      </c>
      <c r="L303" s="4"/>
      <c r="M303" s="94">
        <v>52</v>
      </c>
      <c r="N303" s="94">
        <v>85</v>
      </c>
      <c r="O303" s="50">
        <v>-1101</v>
      </c>
      <c r="P303" s="7">
        <v>154</v>
      </c>
      <c r="Q303" s="9">
        <v>4535</v>
      </c>
      <c r="R303" s="9">
        <v>298465</v>
      </c>
      <c r="S303" s="9">
        <v>39680</v>
      </c>
      <c r="T303" s="9">
        <f>R303-W303</f>
        <v>117052</v>
      </c>
      <c r="U303" s="9">
        <v>78979</v>
      </c>
      <c r="V303" s="9">
        <v>102434</v>
      </c>
      <c r="W303" s="9">
        <f t="shared" si="32"/>
        <v>181413</v>
      </c>
    </row>
    <row r="304" spans="1:23" ht="17">
      <c r="A304" s="4" t="s">
        <v>101</v>
      </c>
      <c r="B304" s="4" t="s">
        <v>19</v>
      </c>
      <c r="C304" s="4" t="s">
        <v>22</v>
      </c>
      <c r="D304" s="4">
        <v>0</v>
      </c>
      <c r="E304" s="4">
        <v>7</v>
      </c>
      <c r="F304" s="4">
        <f t="shared" si="28"/>
        <v>-6.9764363251257608E-2</v>
      </c>
      <c r="G304" s="4">
        <f t="shared" si="29"/>
        <v>12.987482503210433</v>
      </c>
      <c r="H304" s="4">
        <f t="shared" si="30"/>
        <v>0.71057883774690445</v>
      </c>
      <c r="I304" s="4">
        <v>0.21985726525247723</v>
      </c>
      <c r="J304" s="4">
        <f t="shared" si="31"/>
        <v>-0.15003440067694207</v>
      </c>
      <c r="K304" s="4">
        <f t="shared" si="33"/>
        <v>1.22</v>
      </c>
      <c r="L304" s="4"/>
      <c r="M304" s="94">
        <v>61</v>
      </c>
      <c r="N304" s="94">
        <v>50</v>
      </c>
      <c r="O304" s="6">
        <v>-18972</v>
      </c>
      <c r="P304" s="7">
        <v>112</v>
      </c>
      <c r="Q304" s="8">
        <v>0</v>
      </c>
      <c r="R304" s="8">
        <v>436910</v>
      </c>
      <c r="S304" s="8">
        <v>271944</v>
      </c>
      <c r="T304" s="8">
        <v>126451</v>
      </c>
      <c r="U304" s="8">
        <v>106054</v>
      </c>
      <c r="V304" s="8">
        <v>204405</v>
      </c>
      <c r="W304" s="9">
        <f t="shared" si="32"/>
        <v>310459</v>
      </c>
    </row>
    <row r="305" spans="1:23" ht="17">
      <c r="A305" s="4" t="s">
        <v>116</v>
      </c>
      <c r="B305" s="4" t="s">
        <v>19</v>
      </c>
      <c r="C305" s="4" t="s">
        <v>22</v>
      </c>
      <c r="D305" s="4">
        <v>0</v>
      </c>
      <c r="E305" s="4">
        <v>5</v>
      </c>
      <c r="F305" s="4">
        <f t="shared" si="28"/>
        <v>-0.74514172184463001</v>
      </c>
      <c r="G305" s="4">
        <f t="shared" si="29"/>
        <v>13.051874387289839</v>
      </c>
      <c r="H305" s="4">
        <f t="shared" si="30"/>
        <v>1.5203135830924375</v>
      </c>
      <c r="I305" s="4">
        <v>0.20868114259480791</v>
      </c>
      <c r="J305" s="4">
        <f t="shared" si="31"/>
        <v>0.84152608785316563</v>
      </c>
      <c r="K305" s="4">
        <f t="shared" si="33"/>
        <v>1.5098039215686274</v>
      </c>
      <c r="L305" s="4"/>
      <c r="M305" s="94">
        <v>77</v>
      </c>
      <c r="N305" s="94">
        <v>51</v>
      </c>
      <c r="O305" s="6">
        <v>-204028</v>
      </c>
      <c r="P305" s="7">
        <v>424</v>
      </c>
      <c r="Q305" s="8">
        <v>22886</v>
      </c>
      <c r="R305" s="8">
        <v>465969</v>
      </c>
      <c r="S305" s="8">
        <v>273811</v>
      </c>
      <c r="T305" s="8">
        <v>-242450</v>
      </c>
      <c r="U305" s="8">
        <v>386910</v>
      </c>
      <c r="V305" s="8">
        <v>321509</v>
      </c>
      <c r="W305" s="9">
        <f t="shared" si="32"/>
        <v>708419</v>
      </c>
    </row>
    <row r="306" spans="1:23" ht="17">
      <c r="A306" s="4" t="s">
        <v>118</v>
      </c>
      <c r="B306" s="4" t="s">
        <v>19</v>
      </c>
      <c r="C306" s="4" t="s">
        <v>22</v>
      </c>
      <c r="D306" s="4">
        <v>0</v>
      </c>
      <c r="E306" s="4">
        <v>15</v>
      </c>
      <c r="F306" s="4">
        <f t="shared" si="28"/>
        <v>-0.20926492563865368</v>
      </c>
      <c r="G306" s="4">
        <f t="shared" si="29"/>
        <v>12.628745513909234</v>
      </c>
      <c r="H306" s="4">
        <f t="shared" si="30"/>
        <v>0.75780699656298844</v>
      </c>
      <c r="I306" s="4">
        <v>-7.9264617239300783E-2</v>
      </c>
      <c r="J306" s="4">
        <f t="shared" si="31"/>
        <v>-0.19892043994101652</v>
      </c>
      <c r="K306" s="4">
        <f t="shared" si="33"/>
        <v>0.7384615384615385</v>
      </c>
      <c r="L306" s="4"/>
      <c r="M306" s="94">
        <v>48</v>
      </c>
      <c r="N306" s="94">
        <v>65</v>
      </c>
      <c r="O306" s="6">
        <v>-14704</v>
      </c>
      <c r="P306" s="7">
        <v>169</v>
      </c>
      <c r="Q306" s="8">
        <v>21520</v>
      </c>
      <c r="R306" s="8">
        <v>305207</v>
      </c>
      <c r="S306" s="8">
        <v>70265</v>
      </c>
      <c r="T306" s="8">
        <v>73919</v>
      </c>
      <c r="U306" s="8">
        <v>109859</v>
      </c>
      <c r="V306" s="8">
        <v>121429</v>
      </c>
      <c r="W306" s="9">
        <f t="shared" si="32"/>
        <v>231288</v>
      </c>
    </row>
    <row r="307" spans="1:23" ht="17">
      <c r="A307" s="4" t="s">
        <v>119</v>
      </c>
      <c r="B307" s="4" t="s">
        <v>19</v>
      </c>
      <c r="C307" s="4" t="s">
        <v>22</v>
      </c>
      <c r="D307" s="4">
        <v>0</v>
      </c>
      <c r="E307" s="4">
        <v>8</v>
      </c>
      <c r="F307" s="4">
        <f t="shared" si="28"/>
        <v>-1.4395369736744469E-2</v>
      </c>
      <c r="G307" s="4">
        <f t="shared" si="29"/>
        <v>12.404197831202247</v>
      </c>
      <c r="H307" s="4">
        <f t="shared" si="30"/>
        <v>0.89201182825246184</v>
      </c>
      <c r="I307" s="4">
        <v>3.7252101630848432E-2</v>
      </c>
      <c r="J307" s="4">
        <f t="shared" si="31"/>
        <v>-6.6312191416635011E-2</v>
      </c>
      <c r="K307" s="4">
        <f t="shared" si="33"/>
        <v>1.0952380952380953</v>
      </c>
      <c r="L307" s="4"/>
      <c r="M307" s="94">
        <v>69</v>
      </c>
      <c r="N307" s="94">
        <v>63</v>
      </c>
      <c r="O307" s="6">
        <v>-1746</v>
      </c>
      <c r="P307" s="7">
        <v>182</v>
      </c>
      <c r="Q307" s="8">
        <v>5893</v>
      </c>
      <c r="R307" s="8">
        <v>243823</v>
      </c>
      <c r="S307" s="8">
        <v>121289</v>
      </c>
      <c r="T307" s="8">
        <v>26330</v>
      </c>
      <c r="U307" s="8">
        <v>91905</v>
      </c>
      <c r="V307" s="8">
        <v>125588</v>
      </c>
      <c r="W307" s="9">
        <f t="shared" si="32"/>
        <v>217493</v>
      </c>
    </row>
    <row r="308" spans="1:23" ht="17">
      <c r="A308" s="4" t="s">
        <v>126</v>
      </c>
      <c r="B308" s="4" t="s">
        <v>19</v>
      </c>
      <c r="C308" s="4" t="s">
        <v>22</v>
      </c>
      <c r="D308" s="4">
        <v>0</v>
      </c>
      <c r="E308" s="4">
        <v>16</v>
      </c>
      <c r="F308" s="4">
        <f t="shared" si="28"/>
        <v>-0.23671503581137274</v>
      </c>
      <c r="G308" s="4">
        <f t="shared" si="29"/>
        <v>12.253714531632998</v>
      </c>
      <c r="H308" s="4">
        <f t="shared" si="30"/>
        <v>0.65204830305255079</v>
      </c>
      <c r="I308" s="4">
        <v>-3.7709930958694668E-2</v>
      </c>
      <c r="J308" s="4">
        <f t="shared" si="31"/>
        <v>-0.26127940592160248</v>
      </c>
      <c r="K308" s="4">
        <f t="shared" si="33"/>
        <v>0.67647058823529416</v>
      </c>
      <c r="L308" s="4"/>
      <c r="M308" s="94">
        <v>46</v>
      </c>
      <c r="N308" s="94">
        <v>68</v>
      </c>
      <c r="O308" s="6">
        <v>-19070</v>
      </c>
      <c r="P308" s="7">
        <v>166</v>
      </c>
      <c r="Q308" s="8">
        <v>0</v>
      </c>
      <c r="R308" s="8">
        <v>209759</v>
      </c>
      <c r="S308" s="8">
        <v>80561</v>
      </c>
      <c r="T308" s="8">
        <v>72987</v>
      </c>
      <c r="U308" s="8">
        <v>61677</v>
      </c>
      <c r="V308" s="8">
        <v>75096</v>
      </c>
      <c r="W308" s="9">
        <f t="shared" si="32"/>
        <v>136773</v>
      </c>
    </row>
    <row r="309" spans="1:23" ht="17">
      <c r="A309" s="4" t="s">
        <v>131</v>
      </c>
      <c r="B309" s="4" t="s">
        <v>19</v>
      </c>
      <c r="C309" s="4" t="s">
        <v>22</v>
      </c>
      <c r="D309" s="4">
        <v>0</v>
      </c>
      <c r="E309" s="4">
        <v>13</v>
      </c>
      <c r="F309" s="4">
        <f t="shared" si="28"/>
        <v>-0.14848085717245563</v>
      </c>
      <c r="G309" s="4">
        <f t="shared" si="29"/>
        <v>12.801204490649384</v>
      </c>
      <c r="H309" s="4">
        <f t="shared" si="30"/>
        <v>0.35705383092424187</v>
      </c>
      <c r="I309" s="4">
        <v>-0.14363023420865861</v>
      </c>
      <c r="J309" s="4">
        <f t="shared" si="31"/>
        <v>-4.3029245133316463E-2</v>
      </c>
      <c r="K309" s="4">
        <f t="shared" si="33"/>
        <v>0.72549019607843135</v>
      </c>
      <c r="L309" s="4"/>
      <c r="M309" s="94">
        <v>37</v>
      </c>
      <c r="N309" s="94">
        <v>51</v>
      </c>
      <c r="O309" s="6">
        <v>-10033</v>
      </c>
      <c r="P309" s="7">
        <v>194</v>
      </c>
      <c r="Q309" s="8">
        <v>3106</v>
      </c>
      <c r="R309" s="8">
        <v>362654</v>
      </c>
      <c r="S309" s="8">
        <v>67571</v>
      </c>
      <c r="T309" s="8">
        <v>233167</v>
      </c>
      <c r="U309" s="8">
        <v>51700</v>
      </c>
      <c r="V309" s="8">
        <v>77787</v>
      </c>
      <c r="W309" s="9">
        <f t="shared" si="32"/>
        <v>129487</v>
      </c>
    </row>
    <row r="310" spans="1:23">
      <c r="A310" s="4" t="s">
        <v>133</v>
      </c>
      <c r="B310" s="4" t="s">
        <v>19</v>
      </c>
      <c r="C310" s="4" t="s">
        <v>22</v>
      </c>
      <c r="D310" s="4">
        <v>0</v>
      </c>
      <c r="E310" s="4">
        <v>9</v>
      </c>
      <c r="F310" s="4">
        <f t="shared" si="28"/>
        <v>-0.2217258728464705</v>
      </c>
      <c r="G310" s="4">
        <f t="shared" si="29"/>
        <v>12.41133324579015</v>
      </c>
      <c r="H310" s="4">
        <f t="shared" si="30"/>
        <v>0.62439884513110366</v>
      </c>
      <c r="I310" s="4">
        <v>-0.33883714366356193</v>
      </c>
      <c r="J310" s="4">
        <f t="shared" si="31"/>
        <v>-0.15767162496205386</v>
      </c>
      <c r="K310" s="4">
        <f t="shared" si="33"/>
        <v>0.92156862745098034</v>
      </c>
      <c r="L310" s="4"/>
      <c r="M310" s="94">
        <v>47</v>
      </c>
      <c r="N310" s="94">
        <v>51</v>
      </c>
      <c r="O310" s="50">
        <v>-14543</v>
      </c>
      <c r="P310" s="64">
        <v>172</v>
      </c>
      <c r="Q310" s="9">
        <v>2655</v>
      </c>
      <c r="R310" s="9">
        <v>245569</v>
      </c>
      <c r="S310" s="9">
        <v>65590</v>
      </c>
      <c r="T310" s="9">
        <f>R310-W310</f>
        <v>92236</v>
      </c>
      <c r="U310" s="9">
        <v>85686</v>
      </c>
      <c r="V310" s="9">
        <v>67647</v>
      </c>
      <c r="W310" s="9">
        <f t="shared" si="32"/>
        <v>153333</v>
      </c>
    </row>
    <row r="311" spans="1:23" ht="17">
      <c r="A311" s="4" t="s">
        <v>18</v>
      </c>
      <c r="B311" s="4" t="s">
        <v>19</v>
      </c>
      <c r="C311" s="4" t="s">
        <v>21</v>
      </c>
      <c r="D311" s="4">
        <v>1</v>
      </c>
      <c r="E311" s="4">
        <v>5</v>
      </c>
      <c r="F311" s="4">
        <f t="shared" si="28"/>
        <v>-0.64101888565419185</v>
      </c>
      <c r="G311" s="4">
        <f t="shared" si="29"/>
        <v>13.030147206215094</v>
      </c>
      <c r="H311" s="4">
        <f t="shared" si="30"/>
        <v>0.81733683661071077</v>
      </c>
      <c r="I311" s="4">
        <v>0.20574018286839724</v>
      </c>
      <c r="J311" s="4">
        <f t="shared" si="31"/>
        <v>-1.75281559926038</v>
      </c>
      <c r="K311" s="4">
        <f t="shared" si="33"/>
        <v>1.5277777777777777</v>
      </c>
      <c r="L311" s="4"/>
      <c r="M311" s="4">
        <v>55</v>
      </c>
      <c r="N311" s="4">
        <v>36</v>
      </c>
      <c r="O311" s="6">
        <v>-145985</v>
      </c>
      <c r="P311" s="7">
        <v>382</v>
      </c>
      <c r="Q311" s="8">
        <v>95543</v>
      </c>
      <c r="R311" s="8">
        <v>455954</v>
      </c>
      <c r="S311" s="8">
        <v>227739</v>
      </c>
      <c r="T311" s="8">
        <v>83286</v>
      </c>
      <c r="U311" s="8">
        <v>26664</v>
      </c>
      <c r="V311" s="8">
        <v>346004</v>
      </c>
      <c r="W311" s="9">
        <f t="shared" si="32"/>
        <v>372668</v>
      </c>
    </row>
    <row r="312" spans="1:23" ht="17">
      <c r="A312" s="4" t="s">
        <v>41</v>
      </c>
      <c r="B312" s="4" t="s">
        <v>19</v>
      </c>
      <c r="C312" s="4" t="s">
        <v>21</v>
      </c>
      <c r="D312" s="4">
        <v>0</v>
      </c>
      <c r="E312" s="4">
        <v>3</v>
      </c>
      <c r="F312" s="4">
        <f t="shared" si="28"/>
        <v>0.14139211284986331</v>
      </c>
      <c r="G312" s="4">
        <f t="shared" si="29"/>
        <v>12.241965712821539</v>
      </c>
      <c r="H312" s="4">
        <f t="shared" si="30"/>
        <v>0.62271777877467938</v>
      </c>
      <c r="I312" s="4">
        <v>-0.21984397045397958</v>
      </c>
      <c r="J312" s="4">
        <f t="shared" si="31"/>
        <v>0.33986242872120082</v>
      </c>
      <c r="K312" s="4">
        <f t="shared" si="33"/>
        <v>1.673913043478261</v>
      </c>
      <c r="L312" s="4"/>
      <c r="M312" s="4">
        <v>77</v>
      </c>
      <c r="N312" s="4">
        <v>46</v>
      </c>
      <c r="O312" s="6">
        <v>26582</v>
      </c>
      <c r="P312" s="7">
        <v>176</v>
      </c>
      <c r="Q312" s="8">
        <v>740</v>
      </c>
      <c r="R312" s="8">
        <v>207309</v>
      </c>
      <c r="S312" s="8">
        <v>188002</v>
      </c>
      <c r="T312" s="8">
        <v>78214</v>
      </c>
      <c r="U312" s="8">
        <v>48469</v>
      </c>
      <c r="V312" s="8">
        <v>80626</v>
      </c>
      <c r="W312" s="9">
        <f t="shared" si="32"/>
        <v>129095</v>
      </c>
    </row>
    <row r="313" spans="1:23" ht="17">
      <c r="A313" s="4" t="s">
        <v>48</v>
      </c>
      <c r="B313" s="4" t="s">
        <v>19</v>
      </c>
      <c r="C313" s="4" t="s">
        <v>21</v>
      </c>
      <c r="D313" s="4">
        <v>0</v>
      </c>
      <c r="E313" s="4">
        <v>10</v>
      </c>
      <c r="F313" s="4">
        <f t="shared" si="28"/>
        <v>-0.26763618437268916</v>
      </c>
      <c r="G313" s="4">
        <f t="shared" si="29"/>
        <v>11.880785620547261</v>
      </c>
      <c r="H313" s="4">
        <f t="shared" si="30"/>
        <v>0.81823845387086058</v>
      </c>
      <c r="I313" s="4">
        <v>0.12708533011070827</v>
      </c>
      <c r="J313" s="4">
        <f t="shared" si="31"/>
        <v>-0.82705564230490913</v>
      </c>
      <c r="K313" s="4">
        <f t="shared" si="33"/>
        <v>0.8571428571428571</v>
      </c>
      <c r="L313" s="4"/>
      <c r="M313" s="4">
        <v>48</v>
      </c>
      <c r="N313" s="4">
        <v>56</v>
      </c>
      <c r="O313" s="6">
        <v>-21716</v>
      </c>
      <c r="P313" s="7">
        <v>200</v>
      </c>
      <c r="Q313" s="8">
        <v>14482</v>
      </c>
      <c r="R313" s="8">
        <v>144464</v>
      </c>
      <c r="S313" s="8">
        <v>81140</v>
      </c>
      <c r="T313" s="8">
        <v>26257</v>
      </c>
      <c r="U313" s="8">
        <v>40899</v>
      </c>
      <c r="V313" s="8">
        <v>77307</v>
      </c>
      <c r="W313" s="9">
        <f t="shared" si="32"/>
        <v>118206</v>
      </c>
    </row>
    <row r="314" spans="1:23" ht="17">
      <c r="A314" s="4" t="s">
        <v>66</v>
      </c>
      <c r="B314" s="4" t="s">
        <v>19</v>
      </c>
      <c r="C314" s="4" t="s">
        <v>21</v>
      </c>
      <c r="D314" s="4">
        <v>0</v>
      </c>
      <c r="E314" s="4">
        <v>18</v>
      </c>
      <c r="F314" s="4">
        <f t="shared" si="28"/>
        <v>-0.25724917032617078</v>
      </c>
      <c r="G314" s="4">
        <f t="shared" si="29"/>
        <v>11.234322056451651</v>
      </c>
      <c r="H314" s="4">
        <f t="shared" si="30"/>
        <v>0.38491623064320069</v>
      </c>
      <c r="I314" s="4">
        <v>-0.57931180369482438</v>
      </c>
      <c r="J314" s="4">
        <f t="shared" si="31"/>
        <v>-0.16484791201237325</v>
      </c>
      <c r="K314" s="4">
        <f t="shared" si="33"/>
        <v>0.72857142857142854</v>
      </c>
      <c r="L314" s="4"/>
      <c r="M314" s="4">
        <v>51</v>
      </c>
      <c r="N314" s="4">
        <v>70</v>
      </c>
      <c r="O314" s="50">
        <v>-7674</v>
      </c>
      <c r="P314" s="7">
        <v>102</v>
      </c>
      <c r="Q314" s="9">
        <v>453</v>
      </c>
      <c r="R314" s="9">
        <v>75684</v>
      </c>
      <c r="S314" s="9">
        <v>29831</v>
      </c>
      <c r="T314" s="9">
        <f>R314-W314</f>
        <v>46552</v>
      </c>
      <c r="U314" s="9">
        <v>27565</v>
      </c>
      <c r="V314" s="9">
        <v>1567</v>
      </c>
      <c r="W314" s="9">
        <f t="shared" si="32"/>
        <v>29132</v>
      </c>
    </row>
    <row r="315" spans="1:23" ht="17">
      <c r="A315" s="4" t="s">
        <v>71</v>
      </c>
      <c r="B315" s="4" t="s">
        <v>19</v>
      </c>
      <c r="C315" s="4" t="s">
        <v>21</v>
      </c>
      <c r="D315" s="4">
        <v>0</v>
      </c>
      <c r="E315" s="4">
        <v>16</v>
      </c>
      <c r="F315" s="4">
        <f t="shared" si="28"/>
        <v>-0.2624155157214223</v>
      </c>
      <c r="G315" s="4">
        <f t="shared" si="29"/>
        <v>12.350194634291325</v>
      </c>
      <c r="H315" s="4">
        <f t="shared" si="30"/>
        <v>0.73082833704898165</v>
      </c>
      <c r="I315" s="4">
        <v>2.038918015786138</v>
      </c>
      <c r="J315" s="4">
        <f t="shared" si="31"/>
        <v>-0.44521462230013348</v>
      </c>
      <c r="K315" s="4">
        <f t="shared" si="33"/>
        <v>1.0444444444444445</v>
      </c>
      <c r="L315" s="4"/>
      <c r="M315" s="4">
        <v>47</v>
      </c>
      <c r="N315" s="4">
        <v>45</v>
      </c>
      <c r="O315" s="6">
        <v>-27683</v>
      </c>
      <c r="P315" s="7">
        <v>216</v>
      </c>
      <c r="Q315" s="8">
        <v>7500</v>
      </c>
      <c r="R315" s="8">
        <v>231005</v>
      </c>
      <c r="S315" s="8">
        <v>105493</v>
      </c>
      <c r="T315" s="8">
        <v>62179</v>
      </c>
      <c r="U315" s="8">
        <v>36192</v>
      </c>
      <c r="V315" s="8">
        <v>132633</v>
      </c>
      <c r="W315" s="9">
        <f t="shared" si="32"/>
        <v>168825</v>
      </c>
    </row>
    <row r="316" spans="1:23" ht="17">
      <c r="A316" s="4" t="s">
        <v>74</v>
      </c>
      <c r="B316" s="4" t="s">
        <v>19</v>
      </c>
      <c r="C316" s="4" t="s">
        <v>21</v>
      </c>
      <c r="D316" s="4">
        <v>0</v>
      </c>
      <c r="E316" s="4">
        <v>17</v>
      </c>
      <c r="F316" s="4">
        <f t="shared" si="28"/>
        <v>6.6390229974562634E-2</v>
      </c>
      <c r="G316" s="4">
        <f t="shared" si="29"/>
        <v>12.255762404942441</v>
      </c>
      <c r="H316" s="4">
        <f t="shared" si="30"/>
        <v>1.0260289548929773</v>
      </c>
      <c r="I316" s="4">
        <v>1.367407134298092</v>
      </c>
      <c r="J316" s="4">
        <f t="shared" si="31"/>
        <v>-1.8697002923976609</v>
      </c>
      <c r="K316" s="4">
        <f t="shared" si="33"/>
        <v>0.68421052631578949</v>
      </c>
      <c r="L316" s="4"/>
      <c r="M316" s="4">
        <v>39</v>
      </c>
      <c r="N316" s="4">
        <v>57</v>
      </c>
      <c r="O316" s="6">
        <v>10231</v>
      </c>
      <c r="P316" s="7">
        <v>171</v>
      </c>
      <c r="Q316" s="8">
        <v>17749</v>
      </c>
      <c r="R316" s="8">
        <v>210189</v>
      </c>
      <c r="S316" s="8">
        <v>154104</v>
      </c>
      <c r="T316" s="8">
        <v>-5472</v>
      </c>
      <c r="U316" s="8">
        <v>77071</v>
      </c>
      <c r="V316" s="8">
        <v>138589</v>
      </c>
      <c r="W316" s="9">
        <f t="shared" si="32"/>
        <v>215660</v>
      </c>
    </row>
    <row r="317" spans="1:23" ht="17">
      <c r="A317" s="4" t="s">
        <v>81</v>
      </c>
      <c r="B317" s="4" t="s">
        <v>19</v>
      </c>
      <c r="C317" s="4" t="s">
        <v>21</v>
      </c>
      <c r="D317" s="4">
        <v>1</v>
      </c>
      <c r="E317" s="4">
        <v>4</v>
      </c>
      <c r="F317" s="4">
        <f t="shared" si="28"/>
        <v>-0.12237790535926553</v>
      </c>
      <c r="G317" s="4">
        <f t="shared" si="29"/>
        <v>13.628588032930205</v>
      </c>
      <c r="H317" s="4">
        <f t="shared" si="30"/>
        <v>1.0054912068358592</v>
      </c>
      <c r="I317" s="4">
        <v>6.1820232564384889E-2</v>
      </c>
      <c r="J317" s="4">
        <f t="shared" si="31"/>
        <v>10.622832052689352</v>
      </c>
      <c r="K317" s="4">
        <f t="shared" si="33"/>
        <v>1.7272727272727273</v>
      </c>
      <c r="L317" s="4"/>
      <c r="M317" s="4">
        <v>57</v>
      </c>
      <c r="N317" s="4">
        <v>33</v>
      </c>
      <c r="O317" s="6">
        <v>-48387</v>
      </c>
      <c r="P317" s="7">
        <v>463</v>
      </c>
      <c r="Q317" s="8">
        <v>6717</v>
      </c>
      <c r="R317" s="8">
        <v>829508</v>
      </c>
      <c r="S317" s="8">
        <v>395390</v>
      </c>
      <c r="T317" s="8">
        <v>-4555</v>
      </c>
      <c r="U317" s="8">
        <v>604718</v>
      </c>
      <c r="V317" s="8">
        <v>229345</v>
      </c>
      <c r="W317" s="9">
        <f t="shared" si="32"/>
        <v>834063</v>
      </c>
    </row>
    <row r="318" spans="1:23" ht="17">
      <c r="A318" s="4" t="s">
        <v>83</v>
      </c>
      <c r="B318" s="4" t="s">
        <v>19</v>
      </c>
      <c r="C318" s="4" t="s">
        <v>21</v>
      </c>
      <c r="D318" s="4">
        <v>0</v>
      </c>
      <c r="E318" s="4">
        <v>1</v>
      </c>
      <c r="F318" s="4">
        <f t="shared" si="28"/>
        <v>-6.4196017095337399E-2</v>
      </c>
      <c r="G318" s="4">
        <f t="shared" si="29"/>
        <v>13.755505744027245</v>
      </c>
      <c r="H318" s="4">
        <f t="shared" si="30"/>
        <v>0.96682594291539248</v>
      </c>
      <c r="I318" s="4">
        <v>8.376349786545384E-2</v>
      </c>
      <c r="J318" s="4">
        <f t="shared" si="31"/>
        <v>-1.276966903527303</v>
      </c>
      <c r="K318" s="4">
        <f t="shared" si="33"/>
        <v>2.3333333333333335</v>
      </c>
      <c r="L318" s="4"/>
      <c r="M318" s="4">
        <v>70</v>
      </c>
      <c r="N318" s="4">
        <v>30</v>
      </c>
      <c r="O318" s="6">
        <v>-39895</v>
      </c>
      <c r="P318" s="7">
        <v>250</v>
      </c>
      <c r="Q318" s="8">
        <v>41832</v>
      </c>
      <c r="R318" s="8">
        <v>941760</v>
      </c>
      <c r="S318" s="8">
        <v>621456</v>
      </c>
      <c r="T318" s="8">
        <v>31242</v>
      </c>
      <c r="U318" s="8">
        <v>519951</v>
      </c>
      <c r="V318" s="8">
        <v>390567</v>
      </c>
      <c r="W318" s="9">
        <f t="shared" si="32"/>
        <v>910518</v>
      </c>
    </row>
    <row r="319" spans="1:23" ht="17">
      <c r="A319" s="4" t="s">
        <v>88</v>
      </c>
      <c r="B319" s="4" t="s">
        <v>19</v>
      </c>
      <c r="C319" s="4" t="s">
        <v>21</v>
      </c>
      <c r="D319" s="4">
        <v>0</v>
      </c>
      <c r="E319" s="4">
        <v>8</v>
      </c>
      <c r="F319" s="4">
        <f t="shared" si="28"/>
        <v>-8.7693230277185508E-2</v>
      </c>
      <c r="G319" s="4">
        <f t="shared" si="29"/>
        <v>12.444593359928596</v>
      </c>
      <c r="H319" s="4">
        <f t="shared" si="30"/>
        <v>0.83107368222031397</v>
      </c>
      <c r="I319" s="4">
        <v>0.41239800863926818</v>
      </c>
      <c r="J319" s="4">
        <f t="shared" si="31"/>
        <v>-0.30688336520076481</v>
      </c>
      <c r="K319" s="4">
        <f t="shared" si="33"/>
        <v>1.2173913043478262</v>
      </c>
      <c r="L319" s="4"/>
      <c r="M319" s="4">
        <v>56</v>
      </c>
      <c r="N319" s="4">
        <v>46</v>
      </c>
      <c r="O319" s="6">
        <v>-13161</v>
      </c>
      <c r="P319" s="7">
        <v>233</v>
      </c>
      <c r="Q319" s="8">
        <v>0</v>
      </c>
      <c r="R319" s="8">
        <v>253874</v>
      </c>
      <c r="S319" s="8">
        <v>150080</v>
      </c>
      <c r="T319" s="8">
        <v>42886</v>
      </c>
      <c r="U319" s="8">
        <v>95883</v>
      </c>
      <c r="V319" s="8">
        <v>115105</v>
      </c>
      <c r="W319" s="9">
        <f t="shared" ref="W319:W341" si="34">U319+V319</f>
        <v>210988</v>
      </c>
    </row>
    <row r="320" spans="1:23" ht="17">
      <c r="A320" s="4" t="s">
        <v>101</v>
      </c>
      <c r="B320" s="4" t="s">
        <v>19</v>
      </c>
      <c r="C320" s="4" t="s">
        <v>21</v>
      </c>
      <c r="D320" s="4">
        <v>0</v>
      </c>
      <c r="E320" s="4">
        <v>2</v>
      </c>
      <c r="F320" s="4">
        <f t="shared" si="28"/>
        <v>9.7258072046474714E-2</v>
      </c>
      <c r="G320" s="4">
        <f t="shared" si="29"/>
        <v>12.73655971015542</v>
      </c>
      <c r="H320" s="4">
        <f t="shared" si="30"/>
        <v>0.5722249023391538</v>
      </c>
      <c r="I320" s="4">
        <v>0.10266084193804607</v>
      </c>
      <c r="J320" s="4">
        <f t="shared" si="31"/>
        <v>0.20054599341232129</v>
      </c>
      <c r="K320" s="4">
        <f t="shared" si="33"/>
        <v>2.0555555555555554</v>
      </c>
      <c r="L320" s="4"/>
      <c r="M320" s="4">
        <v>74</v>
      </c>
      <c r="N320" s="4">
        <v>36</v>
      </c>
      <c r="O320" s="6">
        <v>29164</v>
      </c>
      <c r="P320" s="7">
        <v>110</v>
      </c>
      <c r="Q320" s="8">
        <v>0</v>
      </c>
      <c r="R320" s="8">
        <v>339952</v>
      </c>
      <c r="S320" s="8">
        <v>299862</v>
      </c>
      <c r="T320" s="8">
        <v>145423</v>
      </c>
      <c r="U320" s="8">
        <v>95980</v>
      </c>
      <c r="V320" s="8">
        <v>98549</v>
      </c>
      <c r="W320" s="9">
        <f t="shared" si="34"/>
        <v>194529</v>
      </c>
    </row>
    <row r="321" spans="1:23" ht="17">
      <c r="A321" s="4" t="s">
        <v>116</v>
      </c>
      <c r="B321" s="4" t="s">
        <v>19</v>
      </c>
      <c r="C321" s="4" t="s">
        <v>21</v>
      </c>
      <c r="D321" s="4">
        <v>1</v>
      </c>
      <c r="E321" s="4">
        <v>6</v>
      </c>
      <c r="F321" s="4">
        <f t="shared" si="28"/>
        <v>-6.3991191794461152E-2</v>
      </c>
      <c r="G321" s="4">
        <f t="shared" si="29"/>
        <v>13.001209918246479</v>
      </c>
      <c r="H321" s="4">
        <f t="shared" si="30"/>
        <v>1.2877351568690751</v>
      </c>
      <c r="I321" s="4">
        <v>0.38652574220904201</v>
      </c>
      <c r="J321" s="4">
        <f t="shared" si="31"/>
        <v>0.19061293663496845</v>
      </c>
      <c r="K321" s="4">
        <f t="shared" si="33"/>
        <v>1.375</v>
      </c>
      <c r="L321" s="4"/>
      <c r="M321" s="4">
        <v>66</v>
      </c>
      <c r="N321" s="4">
        <v>48</v>
      </c>
      <c r="O321" s="6">
        <v>-24294</v>
      </c>
      <c r="P321" s="7">
        <v>406</v>
      </c>
      <c r="Q321" s="8">
        <v>38952</v>
      </c>
      <c r="R321" s="8">
        <v>442949</v>
      </c>
      <c r="S321" s="8">
        <v>379646</v>
      </c>
      <c r="T321" s="8">
        <v>-127452</v>
      </c>
      <c r="U321" s="8">
        <v>317098</v>
      </c>
      <c r="V321" s="8">
        <v>253303</v>
      </c>
      <c r="W321" s="9">
        <f t="shared" si="34"/>
        <v>570401</v>
      </c>
    </row>
    <row r="322" spans="1:23" ht="17">
      <c r="A322" s="4" t="s">
        <v>118</v>
      </c>
      <c r="B322" s="4" t="s">
        <v>19</v>
      </c>
      <c r="C322" s="4" t="s">
        <v>21</v>
      </c>
      <c r="D322" s="4">
        <v>0</v>
      </c>
      <c r="E322" s="4">
        <v>9</v>
      </c>
      <c r="F322" s="4">
        <f t="shared" ref="F322:F385" si="35">O322/S322</f>
        <v>-0.10490729067124926</v>
      </c>
      <c r="G322" s="4">
        <f t="shared" ref="G322:G385" si="36">LN(R322)</f>
        <v>12.457916378149264</v>
      </c>
      <c r="H322" s="4">
        <f t="shared" ref="H322:H385" si="37">W322/R322</f>
        <v>0.87585461697223632</v>
      </c>
      <c r="I322" s="4">
        <v>0.77227638226713158</v>
      </c>
      <c r="J322" s="4">
        <f t="shared" si="31"/>
        <v>-0.40901690670006263</v>
      </c>
      <c r="K322" s="4">
        <f t="shared" si="33"/>
        <v>1.1764705882352942</v>
      </c>
      <c r="L322" s="4"/>
      <c r="M322" s="4">
        <v>60</v>
      </c>
      <c r="N322" s="4">
        <v>51</v>
      </c>
      <c r="O322" s="6">
        <v>-13064</v>
      </c>
      <c r="P322" s="7">
        <v>167</v>
      </c>
      <c r="Q322" s="8">
        <v>26410</v>
      </c>
      <c r="R322" s="8">
        <v>257279</v>
      </c>
      <c r="S322" s="8">
        <v>124529</v>
      </c>
      <c r="T322" s="8">
        <v>31940</v>
      </c>
      <c r="U322" s="8">
        <v>82621</v>
      </c>
      <c r="V322" s="8">
        <v>142718</v>
      </c>
      <c r="W322" s="9">
        <f t="shared" si="34"/>
        <v>225339</v>
      </c>
    </row>
    <row r="323" spans="1:23" ht="17">
      <c r="A323" s="4" t="s">
        <v>119</v>
      </c>
      <c r="B323" s="4" t="s">
        <v>19</v>
      </c>
      <c r="C323" s="4" t="s">
        <v>21</v>
      </c>
      <c r="D323" s="4">
        <v>0</v>
      </c>
      <c r="E323" s="4">
        <v>11</v>
      </c>
      <c r="F323" s="4">
        <f t="shared" si="35"/>
        <v>1.222536436806613E-2</v>
      </c>
      <c r="G323" s="4">
        <f t="shared" si="36"/>
        <v>12.456099578678142</v>
      </c>
      <c r="H323" s="4">
        <f t="shared" si="37"/>
        <v>0.89067489058143701</v>
      </c>
      <c r="I323" s="4">
        <v>-0.43148183264764323</v>
      </c>
      <c r="J323" s="4">
        <f t="shared" ref="J323:J386" si="38">O323/T323</f>
        <v>3.0025644678729164E-2</v>
      </c>
      <c r="K323" s="4">
        <f t="shared" si="33"/>
        <v>0.8833333333333333</v>
      </c>
      <c r="L323" s="4"/>
      <c r="M323" s="4">
        <v>53</v>
      </c>
      <c r="N323" s="4">
        <v>60</v>
      </c>
      <c r="O323" s="6">
        <v>843</v>
      </c>
      <c r="P323" s="7">
        <v>180</v>
      </c>
      <c r="Q323" s="8">
        <v>25930</v>
      </c>
      <c r="R323" s="8">
        <v>256812</v>
      </c>
      <c r="S323" s="8">
        <v>68955</v>
      </c>
      <c r="T323" s="8">
        <v>28076</v>
      </c>
      <c r="U323" s="8">
        <v>106410</v>
      </c>
      <c r="V323" s="8">
        <v>122326</v>
      </c>
      <c r="W323" s="9">
        <f t="shared" si="34"/>
        <v>228736</v>
      </c>
    </row>
    <row r="324" spans="1:23" ht="17">
      <c r="A324" s="4" t="s">
        <v>126</v>
      </c>
      <c r="B324" s="4" t="s">
        <v>19</v>
      </c>
      <c r="C324" s="4" t="s">
        <v>21</v>
      </c>
      <c r="D324" s="4">
        <v>0</v>
      </c>
      <c r="E324" s="4">
        <v>7</v>
      </c>
      <c r="F324" s="4">
        <f t="shared" si="35"/>
        <v>-0.14502818348852417</v>
      </c>
      <c r="G324" s="4">
        <f t="shared" si="36"/>
        <v>11.857557179470644</v>
      </c>
      <c r="H324" s="4">
        <f t="shared" si="37"/>
        <v>0.75734517913947874</v>
      </c>
      <c r="I324" s="4">
        <v>0.19577711299512171</v>
      </c>
      <c r="J324" s="4">
        <f t="shared" si="38"/>
        <v>-0.40792431895821774</v>
      </c>
      <c r="K324" s="4">
        <f t="shared" si="33"/>
        <v>1.4054054054054055</v>
      </c>
      <c r="L324" s="4"/>
      <c r="M324" s="4">
        <v>52</v>
      </c>
      <c r="N324" s="4">
        <v>37</v>
      </c>
      <c r="O324" s="6">
        <v>-13971</v>
      </c>
      <c r="P324" s="7">
        <v>167</v>
      </c>
      <c r="Q324" s="8">
        <v>0</v>
      </c>
      <c r="R324" s="8">
        <v>141147</v>
      </c>
      <c r="S324" s="8">
        <v>96333</v>
      </c>
      <c r="T324" s="8">
        <v>34249</v>
      </c>
      <c r="U324" s="8">
        <v>33882</v>
      </c>
      <c r="V324" s="8">
        <v>73015</v>
      </c>
      <c r="W324" s="9">
        <f t="shared" si="34"/>
        <v>106897</v>
      </c>
    </row>
    <row r="325" spans="1:23" ht="17">
      <c r="A325" s="4" t="s">
        <v>131</v>
      </c>
      <c r="B325" s="4" t="s">
        <v>19</v>
      </c>
      <c r="C325" s="4" t="s">
        <v>21</v>
      </c>
      <c r="D325" s="4">
        <v>0</v>
      </c>
      <c r="E325" s="4">
        <v>12</v>
      </c>
      <c r="F325" s="4">
        <f t="shared" si="35"/>
        <v>1.0442157339105085E-2</v>
      </c>
      <c r="G325" s="4">
        <f t="shared" si="36"/>
        <v>12.102976231525414</v>
      </c>
      <c r="H325" s="4">
        <f t="shared" si="37"/>
        <v>0.90477140703294756</v>
      </c>
      <c r="I325" s="4">
        <v>0.67520089979429043</v>
      </c>
      <c r="J325" s="4">
        <f t="shared" si="38"/>
        <v>6.8796926837785932E-2</v>
      </c>
      <c r="K325" s="4">
        <f t="shared" si="33"/>
        <v>0.73584905660377353</v>
      </c>
      <c r="L325" s="4"/>
      <c r="M325" s="4">
        <v>39</v>
      </c>
      <c r="N325" s="4">
        <v>53</v>
      </c>
      <c r="O325" s="6">
        <v>1182</v>
      </c>
      <c r="P325" s="7">
        <v>158</v>
      </c>
      <c r="Q325" s="8">
        <v>9978</v>
      </c>
      <c r="R325" s="8">
        <v>180408</v>
      </c>
      <c r="S325" s="8">
        <v>113195</v>
      </c>
      <c r="T325" s="8">
        <v>17181</v>
      </c>
      <c r="U325" s="8">
        <v>76493</v>
      </c>
      <c r="V325" s="8">
        <v>86735</v>
      </c>
      <c r="W325" s="9">
        <f t="shared" si="34"/>
        <v>163228</v>
      </c>
    </row>
    <row r="326" spans="1:23" ht="17">
      <c r="A326" s="4" t="s">
        <v>18</v>
      </c>
      <c r="B326" s="4" t="s">
        <v>19</v>
      </c>
      <c r="C326" s="4" t="s">
        <v>20</v>
      </c>
      <c r="D326" s="4">
        <v>1</v>
      </c>
      <c r="E326" s="4">
        <v>6</v>
      </c>
      <c r="F326" s="4">
        <f t="shared" si="35"/>
        <v>-0.50478673972953925</v>
      </c>
      <c r="G326" s="4">
        <f t="shared" si="36"/>
        <v>12.983480548495667</v>
      </c>
      <c r="H326" s="4">
        <f t="shared" si="37"/>
        <v>1.0828260544850803</v>
      </c>
      <c r="I326" s="4">
        <v>9.6202231501850796E-2</v>
      </c>
      <c r="J326" s="4">
        <f t="shared" si="38"/>
        <v>3.4963515800571541</v>
      </c>
      <c r="K326" s="4">
        <f t="shared" si="33"/>
        <v>1.3333333333333333</v>
      </c>
      <c r="L326" s="4"/>
      <c r="M326" s="94">
        <v>56</v>
      </c>
      <c r="N326" s="94">
        <v>42</v>
      </c>
      <c r="O326" s="6">
        <v>-126019</v>
      </c>
      <c r="P326" s="7">
        <v>339</v>
      </c>
      <c r="Q326" s="8">
        <v>140271</v>
      </c>
      <c r="R326" s="8">
        <v>435165</v>
      </c>
      <c r="S326" s="8">
        <v>249648</v>
      </c>
      <c r="T326" s="8">
        <v>-36043</v>
      </c>
      <c r="U326" s="8">
        <v>46042</v>
      </c>
      <c r="V326" s="8">
        <v>425166</v>
      </c>
      <c r="W326" s="9">
        <f t="shared" si="34"/>
        <v>471208</v>
      </c>
    </row>
    <row r="327" spans="1:23" ht="17">
      <c r="A327" s="4" t="s">
        <v>41</v>
      </c>
      <c r="B327" s="4" t="s">
        <v>19</v>
      </c>
      <c r="C327" s="4" t="s">
        <v>20</v>
      </c>
      <c r="D327" s="4">
        <v>0</v>
      </c>
      <c r="E327" s="4">
        <v>7</v>
      </c>
      <c r="F327" s="4">
        <f t="shared" si="35"/>
        <v>0.15663300355035664</v>
      </c>
      <c r="G327" s="4">
        <f t="shared" si="36"/>
        <v>12.043194828110421</v>
      </c>
      <c r="H327" s="4">
        <f t="shared" si="37"/>
        <v>0.69616744831969113</v>
      </c>
      <c r="I327" s="4">
        <v>-0.17150349464367401</v>
      </c>
      <c r="J327" s="4">
        <f t="shared" si="38"/>
        <v>0.47251704369383329</v>
      </c>
      <c r="K327" s="4">
        <f t="shared" si="33"/>
        <v>1.4615384615384615</v>
      </c>
      <c r="L327" s="4"/>
      <c r="M327" s="94">
        <v>57</v>
      </c>
      <c r="N327" s="94">
        <v>39</v>
      </c>
      <c r="O327" s="6">
        <v>24397</v>
      </c>
      <c r="P327" s="7">
        <v>156</v>
      </c>
      <c r="Q327" s="8">
        <v>1049</v>
      </c>
      <c r="R327" s="8">
        <v>169939</v>
      </c>
      <c r="S327" s="8">
        <v>155759</v>
      </c>
      <c r="T327" s="8">
        <v>51632</v>
      </c>
      <c r="U327" s="8">
        <v>43758</v>
      </c>
      <c r="V327" s="8">
        <v>74548</v>
      </c>
      <c r="W327" s="9">
        <f t="shared" si="34"/>
        <v>118306</v>
      </c>
    </row>
    <row r="328" spans="1:23" ht="17">
      <c r="A328" s="4" t="s">
        <v>48</v>
      </c>
      <c r="B328" s="4" t="s">
        <v>19</v>
      </c>
      <c r="C328" s="4" t="s">
        <v>20</v>
      </c>
      <c r="D328" s="4">
        <v>0</v>
      </c>
      <c r="E328" s="4">
        <v>15</v>
      </c>
      <c r="F328" s="4">
        <f t="shared" si="35"/>
        <v>-5.1920486990249419E-2</v>
      </c>
      <c r="G328" s="4">
        <f t="shared" si="36"/>
        <v>11.66899715561698</v>
      </c>
      <c r="H328" s="4">
        <f t="shared" si="37"/>
        <v>0.73926991812885512</v>
      </c>
      <c r="I328" s="4">
        <v>0.1438871087010106</v>
      </c>
      <c r="J328" s="4">
        <f t="shared" si="38"/>
        <v>-0.15811923745775502</v>
      </c>
      <c r="K328" s="4">
        <f t="shared" si="33"/>
        <v>0.76923076923076927</v>
      </c>
      <c r="L328" s="4"/>
      <c r="M328" s="94">
        <v>40</v>
      </c>
      <c r="N328" s="94">
        <v>52</v>
      </c>
      <c r="O328" s="6">
        <v>-4819</v>
      </c>
      <c r="P328" s="7">
        <v>172</v>
      </c>
      <c r="Q328" s="8">
        <v>9819</v>
      </c>
      <c r="R328" s="8">
        <v>116891</v>
      </c>
      <c r="S328" s="8">
        <v>92815</v>
      </c>
      <c r="T328" s="8">
        <v>30477</v>
      </c>
      <c r="U328" s="8">
        <v>31422</v>
      </c>
      <c r="V328" s="8">
        <v>54992</v>
      </c>
      <c r="W328" s="9">
        <f t="shared" si="34"/>
        <v>86414</v>
      </c>
    </row>
    <row r="329" spans="1:23" ht="17">
      <c r="A329" s="4" t="s">
        <v>71</v>
      </c>
      <c r="B329" s="4" t="s">
        <v>19</v>
      </c>
      <c r="C329" s="4" t="s">
        <v>20</v>
      </c>
      <c r="D329" s="4">
        <v>0</v>
      </c>
      <c r="E329" s="4">
        <v>8</v>
      </c>
      <c r="F329" s="4">
        <f t="shared" si="35"/>
        <v>-0.14004128462387788</v>
      </c>
      <c r="G329" s="4">
        <f t="shared" si="36"/>
        <v>12.353267762848551</v>
      </c>
      <c r="H329" s="4">
        <f t="shared" si="37"/>
        <v>0.61219337464827639</v>
      </c>
      <c r="I329" s="4">
        <v>-1.2683306001346061E-2</v>
      </c>
      <c r="J329" s="4">
        <f t="shared" si="38"/>
        <v>-0.1623155505107832</v>
      </c>
      <c r="K329" s="4">
        <f t="shared" si="33"/>
        <v>1.173913043478261</v>
      </c>
      <c r="L329" s="4"/>
      <c r="M329" s="94">
        <v>54</v>
      </c>
      <c r="N329" s="94">
        <v>46</v>
      </c>
      <c r="O329" s="6">
        <v>-14586</v>
      </c>
      <c r="P329" s="7">
        <v>183</v>
      </c>
      <c r="Q329" s="8">
        <v>12930</v>
      </c>
      <c r="R329" s="8">
        <v>231716</v>
      </c>
      <c r="S329" s="8">
        <v>104155</v>
      </c>
      <c r="T329" s="8">
        <v>89862</v>
      </c>
      <c r="U329" s="8">
        <v>39587</v>
      </c>
      <c r="V329" s="8">
        <v>102268</v>
      </c>
      <c r="W329" s="9">
        <f t="shared" si="34"/>
        <v>141855</v>
      </c>
    </row>
    <row r="330" spans="1:23" ht="17">
      <c r="A330" s="4" t="s">
        <v>74</v>
      </c>
      <c r="B330" s="4" t="s">
        <v>19</v>
      </c>
      <c r="C330" s="4" t="s">
        <v>20</v>
      </c>
      <c r="D330" s="4">
        <v>0</v>
      </c>
      <c r="E330" s="4">
        <v>12</v>
      </c>
      <c r="F330" s="4">
        <f t="shared" si="35"/>
        <v>-3.9816433925243616E-2</v>
      </c>
      <c r="G330" s="4">
        <f t="shared" si="36"/>
        <v>12.299248731593673</v>
      </c>
      <c r="H330" s="4">
        <f t="shared" si="37"/>
        <v>1.0715252060073521</v>
      </c>
      <c r="I330" s="4">
        <v>-0.20956626693661423</v>
      </c>
      <c r="J330" s="4">
        <f t="shared" si="38"/>
        <v>0.30885817996561166</v>
      </c>
      <c r="K330" s="4">
        <f t="shared" si="33"/>
        <v>0.76744186046511631</v>
      </c>
      <c r="L330" s="4"/>
      <c r="M330" s="94">
        <v>33</v>
      </c>
      <c r="N330" s="94">
        <v>43</v>
      </c>
      <c r="O330" s="6">
        <v>-4850</v>
      </c>
      <c r="P330" s="7">
        <v>163</v>
      </c>
      <c r="Q330" s="8">
        <v>30197</v>
      </c>
      <c r="R330" s="8">
        <v>219531</v>
      </c>
      <c r="S330" s="8">
        <v>121809</v>
      </c>
      <c r="T330" s="8">
        <v>-15703</v>
      </c>
      <c r="U330" s="8">
        <v>86208</v>
      </c>
      <c r="V330" s="8">
        <v>149025</v>
      </c>
      <c r="W330" s="9">
        <f t="shared" si="34"/>
        <v>235233</v>
      </c>
    </row>
    <row r="331" spans="1:23" ht="17">
      <c r="A331" s="4" t="s">
        <v>81</v>
      </c>
      <c r="B331" s="4" t="s">
        <v>19</v>
      </c>
      <c r="C331" s="4" t="s">
        <v>20</v>
      </c>
      <c r="D331" s="4">
        <v>1</v>
      </c>
      <c r="E331" s="4">
        <v>4</v>
      </c>
      <c r="F331" s="4">
        <f t="shared" si="35"/>
        <v>-5.1165739646675694E-2</v>
      </c>
      <c r="G331" s="4">
        <f t="shared" si="36"/>
        <v>13.653364500117695</v>
      </c>
      <c r="H331" s="4">
        <f t="shared" si="37"/>
        <v>0.99549226935366453</v>
      </c>
      <c r="I331" s="4">
        <v>-0.12241078428892992</v>
      </c>
      <c r="J331" s="4">
        <f t="shared" si="38"/>
        <v>-4.6330897703549061</v>
      </c>
      <c r="K331" s="4">
        <f t="shared" si="33"/>
        <v>2.2000000000000002</v>
      </c>
      <c r="L331" s="4"/>
      <c r="M331" s="94">
        <v>66</v>
      </c>
      <c r="N331" s="94">
        <v>30</v>
      </c>
      <c r="O331" s="6">
        <v>-17754</v>
      </c>
      <c r="P331" s="7">
        <v>449</v>
      </c>
      <c r="Q331" s="8">
        <v>6251</v>
      </c>
      <c r="R331" s="8">
        <v>850317</v>
      </c>
      <c r="S331" s="8">
        <v>346990</v>
      </c>
      <c r="T331" s="8">
        <v>3832</v>
      </c>
      <c r="U331" s="8">
        <v>426048</v>
      </c>
      <c r="V331" s="8">
        <v>420436</v>
      </c>
      <c r="W331" s="9">
        <f t="shared" si="34"/>
        <v>846484</v>
      </c>
    </row>
    <row r="332" spans="1:23" ht="17">
      <c r="A332" s="4" t="s">
        <v>83</v>
      </c>
      <c r="B332" s="4" t="s">
        <v>19</v>
      </c>
      <c r="C332" s="4" t="s">
        <v>20</v>
      </c>
      <c r="D332" s="4">
        <v>0</v>
      </c>
      <c r="E332" s="4">
        <v>1</v>
      </c>
      <c r="F332" s="4">
        <f t="shared" si="35"/>
        <v>-3.8104183137858676E-2</v>
      </c>
      <c r="G332" s="4">
        <f t="shared" si="36"/>
        <v>13.557604739837775</v>
      </c>
      <c r="H332" s="4">
        <f t="shared" si="37"/>
        <v>0.90675814191865067</v>
      </c>
      <c r="I332" s="4">
        <v>-0.18792480883602378</v>
      </c>
      <c r="J332" s="4">
        <f t="shared" si="38"/>
        <v>-0.26691651051426191</v>
      </c>
      <c r="K332" s="4">
        <f t="shared" si="33"/>
        <v>3.5833333333333335</v>
      </c>
      <c r="L332" s="4"/>
      <c r="M332" s="94">
        <v>86</v>
      </c>
      <c r="N332" s="94">
        <v>24</v>
      </c>
      <c r="O332" s="6">
        <v>-19230</v>
      </c>
      <c r="P332" s="7">
        <v>236</v>
      </c>
      <c r="Q332" s="8">
        <v>52393</v>
      </c>
      <c r="R332" s="8">
        <v>772668</v>
      </c>
      <c r="S332" s="8">
        <v>504669</v>
      </c>
      <c r="T332" s="8">
        <v>72045</v>
      </c>
      <c r="U332" s="8">
        <v>387945</v>
      </c>
      <c r="V332" s="8">
        <v>312678</v>
      </c>
      <c r="W332" s="9">
        <f t="shared" si="34"/>
        <v>700623</v>
      </c>
    </row>
    <row r="333" spans="1:23" ht="17">
      <c r="A333" s="4" t="s">
        <v>88</v>
      </c>
      <c r="B333" s="4" t="s">
        <v>19</v>
      </c>
      <c r="C333" s="4" t="s">
        <v>20</v>
      </c>
      <c r="D333" s="4">
        <v>0</v>
      </c>
      <c r="E333" s="4">
        <v>5</v>
      </c>
      <c r="F333" s="4">
        <f t="shared" si="35"/>
        <v>0.19335662161041545</v>
      </c>
      <c r="G333" s="4">
        <f t="shared" si="36"/>
        <v>12.445640575258526</v>
      </c>
      <c r="H333" s="4">
        <f t="shared" si="37"/>
        <v>0.77350279373573616</v>
      </c>
      <c r="I333" s="4">
        <v>0.28560767590618336</v>
      </c>
      <c r="J333" s="4">
        <f t="shared" si="38"/>
        <v>0.64811855043257705</v>
      </c>
      <c r="K333" s="4">
        <f t="shared" si="33"/>
        <v>1.8163265306122449</v>
      </c>
      <c r="L333" s="4"/>
      <c r="M333" s="94">
        <v>89</v>
      </c>
      <c r="N333" s="94">
        <v>49</v>
      </c>
      <c r="O333" s="6">
        <v>37307</v>
      </c>
      <c r="P333" s="7">
        <v>188</v>
      </c>
      <c r="Q333" s="8">
        <v>0</v>
      </c>
      <c r="R333" s="8">
        <v>254140</v>
      </c>
      <c r="S333" s="8">
        <v>192944</v>
      </c>
      <c r="T333" s="8">
        <v>57562</v>
      </c>
      <c r="U333" s="8">
        <v>96722</v>
      </c>
      <c r="V333" s="8">
        <v>99856</v>
      </c>
      <c r="W333" s="9">
        <f t="shared" si="34"/>
        <v>196578</v>
      </c>
    </row>
    <row r="334" spans="1:23" ht="17">
      <c r="A334" s="4" t="s">
        <v>101</v>
      </c>
      <c r="B334" s="4" t="s">
        <v>19</v>
      </c>
      <c r="C334" s="4" t="s">
        <v>20</v>
      </c>
      <c r="D334" s="4">
        <v>0</v>
      </c>
      <c r="E334" s="4">
        <v>2</v>
      </c>
      <c r="F334" s="4">
        <f t="shared" si="35"/>
        <v>-3.4373954973517008E-2</v>
      </c>
      <c r="G334" s="4">
        <f t="shared" si="36"/>
        <v>12.555090851319905</v>
      </c>
      <c r="H334" s="4">
        <f t="shared" si="37"/>
        <v>0.58996596540109691</v>
      </c>
      <c r="I334" s="4">
        <v>-0.381708919436274</v>
      </c>
      <c r="J334" s="4">
        <f t="shared" si="38"/>
        <v>-5.481726145932788E-2</v>
      </c>
      <c r="K334" s="4">
        <f t="shared" si="33"/>
        <v>2.6551724137931036</v>
      </c>
      <c r="L334" s="4"/>
      <c r="M334" s="94">
        <v>77</v>
      </c>
      <c r="N334" s="94">
        <v>29</v>
      </c>
      <c r="O334" s="6">
        <v>-6373</v>
      </c>
      <c r="P334" s="7">
        <v>105</v>
      </c>
      <c r="Q334" s="8">
        <v>0</v>
      </c>
      <c r="R334" s="8">
        <v>283535</v>
      </c>
      <c r="S334" s="8">
        <v>185402</v>
      </c>
      <c r="T334" s="8">
        <v>116259</v>
      </c>
      <c r="U334" s="8">
        <v>55567</v>
      </c>
      <c r="V334" s="8">
        <v>111709</v>
      </c>
      <c r="W334" s="9">
        <f t="shared" si="34"/>
        <v>167276</v>
      </c>
    </row>
    <row r="335" spans="1:23" ht="17">
      <c r="A335" s="4" t="s">
        <v>116</v>
      </c>
      <c r="B335" s="4" t="s">
        <v>19</v>
      </c>
      <c r="C335" s="4" t="s">
        <v>20</v>
      </c>
      <c r="D335" s="4">
        <v>1</v>
      </c>
      <c r="E335" s="4">
        <v>3</v>
      </c>
      <c r="F335" s="4">
        <f t="shared" si="35"/>
        <v>-7.9596927005453594E-2</v>
      </c>
      <c r="G335" s="4">
        <f t="shared" si="36"/>
        <v>13.074724450307126</v>
      </c>
      <c r="H335" s="4">
        <f t="shared" si="37"/>
        <v>1.2211356738173298</v>
      </c>
      <c r="I335" s="4">
        <v>-0.1562165807093977</v>
      </c>
      <c r="J335" s="4">
        <f t="shared" si="38"/>
        <v>0.24186143572621036</v>
      </c>
      <c r="K335" s="4">
        <f t="shared" si="33"/>
        <v>2.1785714285714284</v>
      </c>
      <c r="L335" s="4"/>
      <c r="M335" s="94">
        <v>61</v>
      </c>
      <c r="N335" s="94">
        <v>28</v>
      </c>
      <c r="O335" s="6">
        <v>-25498</v>
      </c>
      <c r="P335" s="7">
        <v>348</v>
      </c>
      <c r="Q335" s="8">
        <v>37762</v>
      </c>
      <c r="R335" s="8">
        <v>476739</v>
      </c>
      <c r="S335" s="8">
        <v>320339</v>
      </c>
      <c r="T335" s="8">
        <v>-105424</v>
      </c>
      <c r="U335" s="8">
        <v>342188</v>
      </c>
      <c r="V335" s="8">
        <v>239975</v>
      </c>
      <c r="W335" s="9">
        <f t="shared" si="34"/>
        <v>582163</v>
      </c>
    </row>
    <row r="336" spans="1:23" ht="17">
      <c r="A336" s="4" t="s">
        <v>118</v>
      </c>
      <c r="B336" s="4" t="s">
        <v>19</v>
      </c>
      <c r="C336" s="4" t="s">
        <v>20</v>
      </c>
      <c r="D336" s="4">
        <v>0</v>
      </c>
      <c r="E336" s="4">
        <v>10</v>
      </c>
      <c r="F336" s="4">
        <f t="shared" si="35"/>
        <v>8.6712854049309701E-2</v>
      </c>
      <c r="G336" s="4">
        <f t="shared" si="36"/>
        <v>12.322476953400276</v>
      </c>
      <c r="H336" s="4">
        <f t="shared" si="37"/>
        <v>0.79970626196092398</v>
      </c>
      <c r="I336" s="4">
        <v>0.11619783343638831</v>
      </c>
      <c r="J336" s="4">
        <f t="shared" si="38"/>
        <v>0.26782063816549639</v>
      </c>
      <c r="K336" s="4">
        <f t="shared" si="33"/>
        <v>0.93333333333333335</v>
      </c>
      <c r="L336" s="4"/>
      <c r="M336" s="94">
        <v>56</v>
      </c>
      <c r="N336" s="94">
        <v>60</v>
      </c>
      <c r="O336" s="6">
        <v>12053</v>
      </c>
      <c r="P336" s="7">
        <v>158</v>
      </c>
      <c r="Q336" s="8">
        <v>13720</v>
      </c>
      <c r="R336" s="8">
        <v>224690</v>
      </c>
      <c r="S336" s="8">
        <v>138999</v>
      </c>
      <c r="T336" s="8">
        <v>45004</v>
      </c>
      <c r="U336" s="8">
        <v>56529</v>
      </c>
      <c r="V336" s="8">
        <v>123157</v>
      </c>
      <c r="W336" s="9">
        <f t="shared" si="34"/>
        <v>179686</v>
      </c>
    </row>
    <row r="337" spans="1:23" ht="17">
      <c r="A337" s="4" t="s">
        <v>119</v>
      </c>
      <c r="B337" s="4" t="s">
        <v>19</v>
      </c>
      <c r="C337" s="4" t="s">
        <v>20</v>
      </c>
      <c r="D337" s="4">
        <v>0</v>
      </c>
      <c r="E337" s="4">
        <v>11</v>
      </c>
      <c r="F337" s="4">
        <f t="shared" si="35"/>
        <v>7.7692777290243806E-2</v>
      </c>
      <c r="G337" s="4">
        <f t="shared" si="36"/>
        <v>12.074082921067221</v>
      </c>
      <c r="H337" s="4">
        <f t="shared" si="37"/>
        <v>0.84461687681862274</v>
      </c>
      <c r="I337" s="4">
        <v>0.52035385396272926</v>
      </c>
      <c r="J337" s="4">
        <f t="shared" si="38"/>
        <v>0.29908566812323284</v>
      </c>
      <c r="K337" s="4">
        <f t="shared" si="33"/>
        <v>0.49152542372881358</v>
      </c>
      <c r="L337" s="4"/>
      <c r="M337" s="94">
        <v>29</v>
      </c>
      <c r="N337" s="94">
        <v>59</v>
      </c>
      <c r="O337" s="6">
        <v>8145</v>
      </c>
      <c r="P337" s="7">
        <v>159</v>
      </c>
      <c r="Q337" s="8">
        <v>26649</v>
      </c>
      <c r="R337" s="8">
        <v>175270</v>
      </c>
      <c r="S337" s="8">
        <v>104836</v>
      </c>
      <c r="T337" s="8">
        <v>27233</v>
      </c>
      <c r="U337" s="8">
        <v>41128</v>
      </c>
      <c r="V337" s="8">
        <v>106908</v>
      </c>
      <c r="W337" s="9">
        <f t="shared" si="34"/>
        <v>148036</v>
      </c>
    </row>
    <row r="338" spans="1:23" ht="17">
      <c r="A338" s="4" t="s">
        <v>126</v>
      </c>
      <c r="B338" s="4" t="s">
        <v>19</v>
      </c>
      <c r="C338" s="4" t="s">
        <v>20</v>
      </c>
      <c r="D338" s="4">
        <v>0</v>
      </c>
      <c r="E338" s="4">
        <v>9</v>
      </c>
      <c r="F338" s="4">
        <f t="shared" si="35"/>
        <v>-0.13280477847965277</v>
      </c>
      <c r="G338" s="4">
        <f t="shared" si="36"/>
        <v>11.904460667544894</v>
      </c>
      <c r="H338" s="4">
        <f t="shared" si="37"/>
        <v>0.6740172384654386</v>
      </c>
      <c r="I338" s="4">
        <v>-3.3726760300208651E-2</v>
      </c>
      <c r="J338" s="4">
        <f t="shared" si="38"/>
        <v>-0.25636133634723463</v>
      </c>
      <c r="K338" s="4">
        <f t="shared" si="33"/>
        <v>1.173913043478261</v>
      </c>
      <c r="L338" s="4"/>
      <c r="M338" s="94">
        <v>54</v>
      </c>
      <c r="N338" s="94">
        <v>46</v>
      </c>
      <c r="O338" s="6">
        <v>-12362</v>
      </c>
      <c r="P338" s="7">
        <v>148</v>
      </c>
      <c r="Q338" s="8">
        <v>0</v>
      </c>
      <c r="R338" s="8">
        <v>147925</v>
      </c>
      <c r="S338" s="8">
        <v>93084</v>
      </c>
      <c r="T338" s="8">
        <v>48221</v>
      </c>
      <c r="U338" s="8">
        <v>34112</v>
      </c>
      <c r="V338" s="8">
        <v>65592</v>
      </c>
      <c r="W338" s="9">
        <f t="shared" si="34"/>
        <v>99704</v>
      </c>
    </row>
    <row r="339" spans="1:23" ht="17">
      <c r="A339" s="4" t="s">
        <v>131</v>
      </c>
      <c r="B339" s="4" t="s">
        <v>19</v>
      </c>
      <c r="C339" s="4" t="s">
        <v>20</v>
      </c>
      <c r="D339" s="4">
        <v>0</v>
      </c>
      <c r="E339" s="4">
        <v>14</v>
      </c>
      <c r="F339" s="4">
        <f t="shared" si="35"/>
        <v>-0.21624448392458021</v>
      </c>
      <c r="G339" s="4">
        <f t="shared" si="36"/>
        <v>11.744251448691996</v>
      </c>
      <c r="H339" s="4">
        <f t="shared" si="37"/>
        <v>0.97325176351099363</v>
      </c>
      <c r="I339" s="4">
        <v>-0.38340032686956138</v>
      </c>
      <c r="J339" s="4">
        <f t="shared" si="38"/>
        <v>-4.4773064372589735</v>
      </c>
      <c r="K339" s="4">
        <f t="shared" si="33"/>
        <v>0.76190476190476186</v>
      </c>
      <c r="L339" s="4"/>
      <c r="M339" s="94">
        <v>48</v>
      </c>
      <c r="N339" s="94">
        <v>63</v>
      </c>
      <c r="O339" s="6">
        <v>-15093</v>
      </c>
      <c r="P339" s="7">
        <v>111</v>
      </c>
      <c r="Q339" s="8">
        <v>2505</v>
      </c>
      <c r="R339" s="8">
        <v>126027</v>
      </c>
      <c r="S339" s="8">
        <v>69796</v>
      </c>
      <c r="T339" s="8">
        <v>3371</v>
      </c>
      <c r="U339" s="8">
        <v>52065</v>
      </c>
      <c r="V339" s="8">
        <v>70591</v>
      </c>
      <c r="W339" s="9">
        <f t="shared" si="34"/>
        <v>122656</v>
      </c>
    </row>
    <row r="340" spans="1:23">
      <c r="A340" s="4" t="s">
        <v>133</v>
      </c>
      <c r="B340" s="4" t="s">
        <v>19</v>
      </c>
      <c r="C340" s="4" t="s">
        <v>20</v>
      </c>
      <c r="D340" s="4">
        <v>0</v>
      </c>
      <c r="E340" s="4">
        <v>19</v>
      </c>
      <c r="F340" s="4">
        <f t="shared" si="35"/>
        <v>0.11106044552928396</v>
      </c>
      <c r="G340" s="4">
        <f t="shared" si="36"/>
        <v>11.535997252537985</v>
      </c>
      <c r="H340" s="4">
        <f t="shared" si="37"/>
        <v>0.78687435261008076</v>
      </c>
      <c r="I340" s="4">
        <v>0.13680439091324897</v>
      </c>
      <c r="J340" s="4">
        <f t="shared" si="38"/>
        <v>0.37968821641448874</v>
      </c>
      <c r="K340" s="4">
        <f t="shared" si="33"/>
        <v>0.38461538461538464</v>
      </c>
      <c r="L340" s="4"/>
      <c r="M340" s="94">
        <v>30</v>
      </c>
      <c r="N340" s="94">
        <v>78</v>
      </c>
      <c r="O340" s="50">
        <v>8281</v>
      </c>
      <c r="P340" s="64">
        <v>142</v>
      </c>
      <c r="Q340" s="9">
        <v>5774</v>
      </c>
      <c r="R340" s="9">
        <v>102334</v>
      </c>
      <c r="S340" s="9">
        <v>74563</v>
      </c>
      <c r="T340" s="9">
        <f>R340-W340</f>
        <v>21810</v>
      </c>
      <c r="U340" s="9">
        <v>33767</v>
      </c>
      <c r="V340" s="9">
        <v>46757</v>
      </c>
      <c r="W340" s="9">
        <f t="shared" si="34"/>
        <v>80524</v>
      </c>
    </row>
    <row r="341" spans="1:23">
      <c r="A341" s="10" t="s">
        <v>25</v>
      </c>
      <c r="B341" s="10" t="s">
        <v>26</v>
      </c>
      <c r="C341" s="10" t="s">
        <v>24</v>
      </c>
      <c r="D341" s="10">
        <v>1</v>
      </c>
      <c r="E341" s="10">
        <v>9</v>
      </c>
      <c r="F341" s="10">
        <f t="shared" si="35"/>
        <v>-0.89170511767060656</v>
      </c>
      <c r="G341" s="10">
        <f t="shared" si="36"/>
        <v>11.586594054895428</v>
      </c>
      <c r="H341" s="10">
        <f t="shared" si="37"/>
        <v>1.5476241348878257</v>
      </c>
      <c r="I341" s="10">
        <v>6.9324230000000001E-2</v>
      </c>
      <c r="J341" s="10">
        <f t="shared" si="38"/>
        <v>0.71795959218985905</v>
      </c>
      <c r="K341" s="10">
        <f t="shared" si="33"/>
        <v>1.2765957446808511</v>
      </c>
      <c r="L341" s="10"/>
      <c r="M341" s="95">
        <v>60</v>
      </c>
      <c r="N341" s="95">
        <v>47</v>
      </c>
      <c r="O341" s="37">
        <v>-42323</v>
      </c>
      <c r="P341" s="47">
        <v>134</v>
      </c>
      <c r="Q341" s="96">
        <v>56223</v>
      </c>
      <c r="R341" s="96">
        <v>107645</v>
      </c>
      <c r="S341" s="96">
        <v>47463</v>
      </c>
      <c r="T341" s="96">
        <f>R341-W341</f>
        <v>-58949</v>
      </c>
      <c r="U341" s="96">
        <v>128952</v>
      </c>
      <c r="V341" s="96">
        <v>37642</v>
      </c>
      <c r="W341" s="96">
        <f t="shared" si="34"/>
        <v>166594</v>
      </c>
    </row>
    <row r="342" spans="1:23">
      <c r="A342" s="10" t="s">
        <v>29</v>
      </c>
      <c r="B342" s="10" t="s">
        <v>26</v>
      </c>
      <c r="C342" s="10" t="s">
        <v>24</v>
      </c>
      <c r="D342" s="10">
        <v>0</v>
      </c>
      <c r="E342" s="10">
        <v>5</v>
      </c>
      <c r="F342" s="10">
        <f t="shared" si="35"/>
        <v>-1.0255196001052356</v>
      </c>
      <c r="G342" s="10">
        <f t="shared" si="36"/>
        <v>11.719085611244024</v>
      </c>
      <c r="H342" s="10">
        <f t="shared" si="37"/>
        <v>1.3819602099353105</v>
      </c>
      <c r="I342" s="10">
        <v>0.19613680583811777</v>
      </c>
      <c r="J342" s="10">
        <f t="shared" si="38"/>
        <v>1.9099294859504485</v>
      </c>
      <c r="K342" s="10">
        <f t="shared" si="33"/>
        <v>1.1551724137931034</v>
      </c>
      <c r="L342" s="10"/>
      <c r="M342" s="95">
        <v>67</v>
      </c>
      <c r="N342" s="95">
        <v>58</v>
      </c>
      <c r="O342" s="37">
        <v>-89654</v>
      </c>
      <c r="P342" s="47"/>
      <c r="Q342" s="96">
        <v>65489</v>
      </c>
      <c r="R342" s="96">
        <v>122895</v>
      </c>
      <c r="S342" s="96">
        <v>87423</v>
      </c>
      <c r="T342" s="96">
        <f>R342-W342</f>
        <v>-46941</v>
      </c>
      <c r="U342" s="96"/>
      <c r="V342" s="96"/>
      <c r="W342" s="96">
        <v>169836</v>
      </c>
    </row>
    <row r="343" spans="1:23">
      <c r="A343" s="10" t="s">
        <v>30</v>
      </c>
      <c r="B343" s="10" t="s">
        <v>26</v>
      </c>
      <c r="C343" s="10" t="s">
        <v>24</v>
      </c>
      <c r="D343" s="10">
        <v>0</v>
      </c>
      <c r="E343" s="10">
        <v>18</v>
      </c>
      <c r="F343" s="10">
        <f t="shared" si="35"/>
        <v>-1.2416786870968619</v>
      </c>
      <c r="G343" s="10">
        <f t="shared" si="36"/>
        <v>11.085736084387904</v>
      </c>
      <c r="H343" s="10">
        <f t="shared" si="37"/>
        <v>1.3656682098292301</v>
      </c>
      <c r="I343" s="10">
        <v>-8.9324262299999999E-2</v>
      </c>
      <c r="J343" s="10">
        <f t="shared" si="38"/>
        <v>1.9125932757608788</v>
      </c>
      <c r="K343" s="10">
        <f t="shared" si="33"/>
        <v>0.68421052631578949</v>
      </c>
      <c r="L343" s="10"/>
      <c r="M343" s="95">
        <v>39</v>
      </c>
      <c r="N343" s="95">
        <v>57</v>
      </c>
      <c r="O343" s="37">
        <v>-45623</v>
      </c>
      <c r="P343" s="47">
        <v>94</v>
      </c>
      <c r="Q343" s="96">
        <v>26356</v>
      </c>
      <c r="R343" s="96">
        <v>65234</v>
      </c>
      <c r="S343" s="96">
        <v>36743</v>
      </c>
      <c r="T343" s="96">
        <f>R343-W343</f>
        <v>-23854</v>
      </c>
      <c r="U343" s="96">
        <v>62545</v>
      </c>
      <c r="V343" s="96">
        <v>26543</v>
      </c>
      <c r="W343" s="96">
        <f>U343+V343</f>
        <v>89088</v>
      </c>
    </row>
    <row r="344" spans="1:23">
      <c r="A344" s="10" t="s">
        <v>35</v>
      </c>
      <c r="B344" s="10" t="s">
        <v>26</v>
      </c>
      <c r="C344" s="10" t="s">
        <v>24</v>
      </c>
      <c r="D344" s="10">
        <v>0</v>
      </c>
      <c r="E344" s="10">
        <v>7</v>
      </c>
      <c r="F344" s="10">
        <f t="shared" si="35"/>
        <v>0.38553594893936549</v>
      </c>
      <c r="G344" s="10">
        <f t="shared" si="36"/>
        <v>12.157118717952248</v>
      </c>
      <c r="H344" s="10">
        <f t="shared" si="37"/>
        <v>1.4121452387828506</v>
      </c>
      <c r="I344" s="10">
        <v>0.81677131771517075</v>
      </c>
      <c r="J344" s="10">
        <f t="shared" si="38"/>
        <v>-0.31398504287115719</v>
      </c>
      <c r="K344" s="10">
        <f t="shared" si="33"/>
        <v>1.1489361702127661</v>
      </c>
      <c r="L344" s="10"/>
      <c r="M344" s="95">
        <v>54</v>
      </c>
      <c r="N344" s="95">
        <v>47</v>
      </c>
      <c r="O344" s="37">
        <v>24645</v>
      </c>
      <c r="P344" s="47"/>
      <c r="Q344" s="96">
        <v>74563</v>
      </c>
      <c r="R344" s="96">
        <v>190445</v>
      </c>
      <c r="S344" s="96">
        <v>63924</v>
      </c>
      <c r="T344" s="96">
        <f>R344-W344</f>
        <v>-78491</v>
      </c>
      <c r="U344" s="96"/>
      <c r="V344" s="96"/>
      <c r="W344" s="96">
        <v>268936</v>
      </c>
    </row>
    <row r="345" spans="1:23" ht="17">
      <c r="A345" s="10" t="s">
        <v>47</v>
      </c>
      <c r="B345" s="10" t="s">
        <v>26</v>
      </c>
      <c r="C345" s="10" t="s">
        <v>24</v>
      </c>
      <c r="D345" s="10">
        <v>1</v>
      </c>
      <c r="E345" s="10">
        <v>6</v>
      </c>
      <c r="F345" s="10">
        <f t="shared" si="35"/>
        <v>-0.62721539382221614</v>
      </c>
      <c r="G345" s="10">
        <f t="shared" si="36"/>
        <v>11.815308940274901</v>
      </c>
      <c r="H345" s="10">
        <f t="shared" si="37"/>
        <v>1.2777958435569219</v>
      </c>
      <c r="I345" s="10">
        <v>0.32859133173835819</v>
      </c>
      <c r="J345" s="10">
        <f t="shared" si="38"/>
        <v>0.29708259441230339</v>
      </c>
      <c r="K345" s="10">
        <f t="shared" si="33"/>
        <v>1.1666666666666667</v>
      </c>
      <c r="L345" s="10"/>
      <c r="M345" s="95">
        <v>56</v>
      </c>
      <c r="N345" s="95">
        <v>48</v>
      </c>
      <c r="O345" s="97">
        <v>-40875</v>
      </c>
      <c r="P345" s="98">
        <v>344</v>
      </c>
      <c r="Q345" s="99">
        <v>9533</v>
      </c>
      <c r="R345" s="99">
        <v>135308</v>
      </c>
      <c r="S345" s="99">
        <v>65169</v>
      </c>
      <c r="T345" s="99">
        <v>-137588</v>
      </c>
      <c r="U345" s="99">
        <v>104231</v>
      </c>
      <c r="V345" s="99">
        <v>68665</v>
      </c>
      <c r="W345" s="96">
        <f>U345+V345</f>
        <v>172896</v>
      </c>
    </row>
    <row r="346" spans="1:23" ht="18">
      <c r="A346" s="10" t="s">
        <v>69</v>
      </c>
      <c r="B346" s="10" t="s">
        <v>26</v>
      </c>
      <c r="C346" s="10" t="s">
        <v>24</v>
      </c>
      <c r="D346" s="10">
        <v>0</v>
      </c>
      <c r="E346" s="10">
        <v>8</v>
      </c>
      <c r="F346" s="10">
        <f t="shared" si="35"/>
        <v>0.15068305261425358</v>
      </c>
      <c r="G346" s="10">
        <f t="shared" si="36"/>
        <v>11.498035152475033</v>
      </c>
      <c r="H346" s="10">
        <f t="shared" si="37"/>
        <v>1.8973833255516535</v>
      </c>
      <c r="I346" s="10">
        <v>9.1635464129999997E-2</v>
      </c>
      <c r="J346" s="10">
        <f t="shared" si="38"/>
        <v>-6.2129575170791297E-2</v>
      </c>
      <c r="K346" s="10">
        <f t="shared" si="33"/>
        <v>0.90384615384615385</v>
      </c>
      <c r="L346" s="10"/>
      <c r="M346" s="95">
        <v>47</v>
      </c>
      <c r="N346" s="95">
        <v>52</v>
      </c>
      <c r="O346" s="45">
        <v>5493</v>
      </c>
      <c r="P346" s="46"/>
      <c r="Q346" s="39">
        <v>98754</v>
      </c>
      <c r="R346" s="39">
        <v>98522</v>
      </c>
      <c r="S346" s="39">
        <v>36454</v>
      </c>
      <c r="T346" s="39">
        <f>R346-W346</f>
        <v>-88412</v>
      </c>
      <c r="U346" s="39"/>
      <c r="V346" s="96"/>
      <c r="W346" s="96">
        <v>186934</v>
      </c>
    </row>
    <row r="347" spans="1:23" ht="17">
      <c r="A347" s="10" t="s">
        <v>70</v>
      </c>
      <c r="B347" s="10" t="s">
        <v>26</v>
      </c>
      <c r="C347" s="10" t="s">
        <v>24</v>
      </c>
      <c r="D347" s="10">
        <v>0</v>
      </c>
      <c r="E347" s="10">
        <v>2</v>
      </c>
      <c r="F347" s="10">
        <f t="shared" si="35"/>
        <v>-0.22716901105980886</v>
      </c>
      <c r="G347" s="10">
        <f t="shared" si="36"/>
        <v>12.23434907248183</v>
      </c>
      <c r="H347" s="10">
        <f t="shared" si="37"/>
        <v>1.3607973325037912</v>
      </c>
      <c r="I347" s="10">
        <v>0.17474308681192596</v>
      </c>
      <c r="J347" s="10">
        <f t="shared" si="38"/>
        <v>0.22801368755725601</v>
      </c>
      <c r="K347" s="10">
        <f t="shared" si="33"/>
        <v>1.9210526315789473</v>
      </c>
      <c r="L347" s="10"/>
      <c r="M347" s="95">
        <v>73</v>
      </c>
      <c r="N347" s="95">
        <v>38</v>
      </c>
      <c r="O347" s="97">
        <v>-16925</v>
      </c>
      <c r="P347" s="98">
        <v>497</v>
      </c>
      <c r="Q347" s="99">
        <v>39383</v>
      </c>
      <c r="R347" s="99">
        <v>205736</v>
      </c>
      <c r="S347" s="99">
        <v>74504</v>
      </c>
      <c r="T347" s="99">
        <v>-74228</v>
      </c>
      <c r="U347" s="99">
        <v>195462</v>
      </c>
      <c r="V347" s="99">
        <v>84503</v>
      </c>
      <c r="W347" s="96">
        <f>U347+V347</f>
        <v>279965</v>
      </c>
    </row>
    <row r="348" spans="1:23" ht="17">
      <c r="A348" s="10" t="s">
        <v>73</v>
      </c>
      <c r="B348" s="10" t="s">
        <v>26</v>
      </c>
      <c r="C348" s="10" t="s">
        <v>24</v>
      </c>
      <c r="D348" s="10">
        <v>0</v>
      </c>
      <c r="E348" s="10">
        <v>13</v>
      </c>
      <c r="F348" s="10">
        <f t="shared" si="35"/>
        <v>-0.30931953725659267</v>
      </c>
      <c r="G348" s="10">
        <f t="shared" si="36"/>
        <v>12.066764600128197</v>
      </c>
      <c r="H348" s="10">
        <f t="shared" si="37"/>
        <v>1.3717009977470229</v>
      </c>
      <c r="I348" s="10">
        <v>0.2359406622154796</v>
      </c>
      <c r="J348" s="10">
        <f t="shared" si="38"/>
        <v>0.33281276576005442</v>
      </c>
      <c r="K348" s="10">
        <f t="shared" si="33"/>
        <v>0.96226415094339623</v>
      </c>
      <c r="L348" s="10"/>
      <c r="M348" s="95">
        <v>51</v>
      </c>
      <c r="N348" s="95">
        <v>53</v>
      </c>
      <c r="O348" s="97">
        <v>-21524</v>
      </c>
      <c r="P348" s="98">
        <v>631</v>
      </c>
      <c r="Q348" s="99">
        <v>27922</v>
      </c>
      <c r="R348" s="99">
        <v>173992</v>
      </c>
      <c r="S348" s="99">
        <v>69585</v>
      </c>
      <c r="T348" s="99">
        <v>-64673</v>
      </c>
      <c r="U348" s="99">
        <v>147776</v>
      </c>
      <c r="V348" s="99">
        <v>90889</v>
      </c>
      <c r="W348" s="96">
        <f>U348+V348</f>
        <v>238665</v>
      </c>
    </row>
    <row r="349" spans="1:23" ht="18">
      <c r="A349" s="10" t="s">
        <v>76</v>
      </c>
      <c r="B349" s="10" t="s">
        <v>26</v>
      </c>
      <c r="C349" s="10" t="s">
        <v>24</v>
      </c>
      <c r="D349" s="10">
        <v>0</v>
      </c>
      <c r="E349" s="10">
        <v>16</v>
      </c>
      <c r="F349" s="10">
        <f t="shared" si="35"/>
        <v>-2.6273777340869993</v>
      </c>
      <c r="G349" s="10">
        <f t="shared" si="36"/>
        <v>11.158177235153772</v>
      </c>
      <c r="H349" s="10">
        <f t="shared" si="37"/>
        <v>1.6427461324588295</v>
      </c>
      <c r="I349" s="10">
        <v>1.8504329999999999E-2</v>
      </c>
      <c r="J349" s="10">
        <f t="shared" si="38"/>
        <v>1.1857849553006943</v>
      </c>
      <c r="K349" s="10">
        <f t="shared" si="33"/>
        <v>0.87234042553191493</v>
      </c>
      <c r="L349" s="10"/>
      <c r="M349" s="95">
        <v>41</v>
      </c>
      <c r="N349" s="95">
        <v>47</v>
      </c>
      <c r="O349" s="51">
        <v>-53454</v>
      </c>
      <c r="P349" s="46">
        <v>124</v>
      </c>
      <c r="Q349" s="39">
        <v>5324</v>
      </c>
      <c r="R349" s="39">
        <v>70135</v>
      </c>
      <c r="S349" s="39">
        <v>20345</v>
      </c>
      <c r="T349" s="39">
        <f t="shared" ref="T349:T354" si="39">R349-W349</f>
        <v>-45079</v>
      </c>
      <c r="U349" s="39">
        <v>89765</v>
      </c>
      <c r="V349" s="96">
        <v>25449</v>
      </c>
      <c r="W349" s="96">
        <f>U349+V349</f>
        <v>115214</v>
      </c>
    </row>
    <row r="350" spans="1:23" ht="18">
      <c r="A350" s="10" t="s">
        <v>80</v>
      </c>
      <c r="B350" s="10" t="s">
        <v>26</v>
      </c>
      <c r="C350" s="10" t="s">
        <v>24</v>
      </c>
      <c r="D350" s="10">
        <v>0</v>
      </c>
      <c r="E350" s="10">
        <v>12</v>
      </c>
      <c r="F350" s="10">
        <f t="shared" si="35"/>
        <v>-8.3932132393079548E-2</v>
      </c>
      <c r="G350" s="10">
        <f t="shared" si="36"/>
        <v>11.812681848654782</v>
      </c>
      <c r="H350" s="10">
        <f t="shared" si="37"/>
        <v>0.77547738842411806</v>
      </c>
      <c r="I350" s="10">
        <v>6.3244243000000006E-2</v>
      </c>
      <c r="J350" s="10">
        <f t="shared" si="38"/>
        <v>-0.24864686468646865</v>
      </c>
      <c r="K350" s="10">
        <f t="shared" si="33"/>
        <v>0.93333333333333335</v>
      </c>
      <c r="L350" s="10"/>
      <c r="M350" s="95">
        <v>56</v>
      </c>
      <c r="N350" s="95">
        <v>60</v>
      </c>
      <c r="O350" s="45">
        <v>-7534</v>
      </c>
      <c r="P350" s="46"/>
      <c r="Q350" s="39">
        <v>54373</v>
      </c>
      <c r="R350" s="96">
        <v>134953</v>
      </c>
      <c r="S350" s="39">
        <v>89763</v>
      </c>
      <c r="T350" s="39">
        <f t="shared" si="39"/>
        <v>30300</v>
      </c>
      <c r="U350" s="39"/>
      <c r="V350" s="96"/>
      <c r="W350" s="96">
        <v>104653</v>
      </c>
    </row>
    <row r="351" spans="1:23" ht="18">
      <c r="A351" s="10" t="s">
        <v>82</v>
      </c>
      <c r="B351" s="10" t="s">
        <v>26</v>
      </c>
      <c r="C351" s="10" t="s">
        <v>24</v>
      </c>
      <c r="D351" s="10">
        <v>1</v>
      </c>
      <c r="E351" s="10">
        <v>4</v>
      </c>
      <c r="F351" s="10">
        <f t="shared" si="35"/>
        <v>-0.738242041067532</v>
      </c>
      <c r="G351" s="10">
        <f t="shared" si="36"/>
        <v>11.774027394566664</v>
      </c>
      <c r="H351" s="10">
        <f t="shared" si="37"/>
        <v>1.4217397332018855</v>
      </c>
      <c r="I351" s="10">
        <v>0.21265905138380584</v>
      </c>
      <c r="J351" s="10">
        <f t="shared" si="38"/>
        <v>1.2048322588892744</v>
      </c>
      <c r="K351" s="10">
        <f t="shared" si="33"/>
        <v>1.5555555555555556</v>
      </c>
      <c r="L351" s="10"/>
      <c r="M351" s="95">
        <v>56</v>
      </c>
      <c r="N351" s="95">
        <v>36</v>
      </c>
      <c r="O351" s="45">
        <v>-65973</v>
      </c>
      <c r="P351" s="46"/>
      <c r="Q351" s="39">
        <v>49567</v>
      </c>
      <c r="R351" s="39">
        <v>129836</v>
      </c>
      <c r="S351" s="39">
        <v>89365</v>
      </c>
      <c r="T351" s="39">
        <f t="shared" si="39"/>
        <v>-54757</v>
      </c>
      <c r="U351" s="39"/>
      <c r="V351" s="96"/>
      <c r="W351" s="96">
        <v>184593</v>
      </c>
    </row>
    <row r="352" spans="1:23" ht="18">
      <c r="A352" s="10" t="s">
        <v>85</v>
      </c>
      <c r="B352" s="10" t="s">
        <v>26</v>
      </c>
      <c r="C352" s="10" t="s">
        <v>24</v>
      </c>
      <c r="D352" s="10">
        <v>0</v>
      </c>
      <c r="E352" s="10">
        <v>11</v>
      </c>
      <c r="F352" s="10">
        <f t="shared" si="35"/>
        <v>-1.2514326803651974</v>
      </c>
      <c r="G352" s="10">
        <f t="shared" si="36"/>
        <v>12.091525618346022</v>
      </c>
      <c r="H352" s="10">
        <f t="shared" si="37"/>
        <v>0.81660069300380145</v>
      </c>
      <c r="I352" s="10">
        <v>0.61533413557610439</v>
      </c>
      <c r="J352" s="10">
        <f t="shared" si="38"/>
        <v>-1.7557933353714461</v>
      </c>
      <c r="K352" s="10">
        <f t="shared" si="33"/>
        <v>1.1754385964912282</v>
      </c>
      <c r="L352" s="10"/>
      <c r="M352" s="95">
        <v>67</v>
      </c>
      <c r="N352" s="95">
        <v>57</v>
      </c>
      <c r="O352" s="45">
        <v>-57432</v>
      </c>
      <c r="P352" s="46"/>
      <c r="Q352" s="39">
        <v>35684</v>
      </c>
      <c r="R352" s="96">
        <v>178354</v>
      </c>
      <c r="S352" s="39">
        <v>45893</v>
      </c>
      <c r="T352" s="39">
        <f t="shared" si="39"/>
        <v>32710</v>
      </c>
      <c r="U352" s="39"/>
      <c r="V352" s="96"/>
      <c r="W352" s="96">
        <v>145644</v>
      </c>
    </row>
    <row r="353" spans="1:23" ht="18">
      <c r="A353" s="10" t="s">
        <v>86</v>
      </c>
      <c r="B353" s="10" t="s">
        <v>26</v>
      </c>
      <c r="C353" s="10" t="s">
        <v>24</v>
      </c>
      <c r="D353" s="10">
        <v>0</v>
      </c>
      <c r="E353" s="10">
        <v>14</v>
      </c>
      <c r="F353" s="10">
        <f t="shared" si="35"/>
        <v>0.11201856641746094</v>
      </c>
      <c r="G353" s="10">
        <f t="shared" si="36"/>
        <v>11.732350109715686</v>
      </c>
      <c r="H353" s="10">
        <f t="shared" si="37"/>
        <v>0.92619804715102461</v>
      </c>
      <c r="I353" s="10">
        <v>0.3233633348765686</v>
      </c>
      <c r="J353" s="10">
        <f t="shared" si="38"/>
        <v>0.68795560874768791</v>
      </c>
      <c r="K353" s="10">
        <f t="shared" si="33"/>
        <v>0.88524590163934425</v>
      </c>
      <c r="L353" s="10"/>
      <c r="M353" s="95">
        <v>54</v>
      </c>
      <c r="N353" s="95">
        <v>61</v>
      </c>
      <c r="O353" s="45">
        <v>6323</v>
      </c>
      <c r="P353" s="46"/>
      <c r="Q353" s="39">
        <v>64285</v>
      </c>
      <c r="R353" s="39">
        <v>124536</v>
      </c>
      <c r="S353" s="39">
        <v>56446</v>
      </c>
      <c r="T353" s="39">
        <f t="shared" si="39"/>
        <v>9191</v>
      </c>
      <c r="U353" s="39"/>
      <c r="V353" s="96"/>
      <c r="W353" s="96">
        <v>115345</v>
      </c>
    </row>
    <row r="354" spans="1:23" ht="18">
      <c r="A354" s="10" t="s">
        <v>87</v>
      </c>
      <c r="B354" s="10" t="s">
        <v>26</v>
      </c>
      <c r="C354" s="10" t="s">
        <v>24</v>
      </c>
      <c r="D354" s="10">
        <v>0</v>
      </c>
      <c r="E354" s="10">
        <v>3</v>
      </c>
      <c r="F354" s="10">
        <f t="shared" si="35"/>
        <v>-0.19739463258499898</v>
      </c>
      <c r="G354" s="10">
        <f t="shared" si="36"/>
        <v>12.447700308221537</v>
      </c>
      <c r="H354" s="10">
        <f t="shared" si="37"/>
        <v>1.0387530235918701</v>
      </c>
      <c r="I354" s="10">
        <v>1.737415954632165</v>
      </c>
      <c r="J354" s="10">
        <f t="shared" si="38"/>
        <v>1.7872124835342993</v>
      </c>
      <c r="K354" s="10">
        <f t="shared" si="33"/>
        <v>1.4666666666666666</v>
      </c>
      <c r="L354" s="10"/>
      <c r="M354" s="95">
        <v>66</v>
      </c>
      <c r="N354" s="95">
        <v>45</v>
      </c>
      <c r="O354" s="45">
        <v>-17638</v>
      </c>
      <c r="P354" s="46"/>
      <c r="Q354" s="39">
        <v>82976</v>
      </c>
      <c r="R354" s="39">
        <v>254664</v>
      </c>
      <c r="S354" s="39">
        <v>89354</v>
      </c>
      <c r="T354" s="39">
        <f t="shared" si="39"/>
        <v>-9869</v>
      </c>
      <c r="U354" s="39"/>
      <c r="V354" s="96"/>
      <c r="W354" s="96">
        <v>264533</v>
      </c>
    </row>
    <row r="355" spans="1:23" ht="17">
      <c r="A355" s="10" t="s">
        <v>129</v>
      </c>
      <c r="B355" s="10" t="s">
        <v>26</v>
      </c>
      <c r="C355" s="10" t="s">
        <v>24</v>
      </c>
      <c r="D355" s="10">
        <v>1</v>
      </c>
      <c r="E355" s="10">
        <v>1</v>
      </c>
      <c r="F355" s="10">
        <f t="shared" si="35"/>
        <v>-0.42745974955277283</v>
      </c>
      <c r="G355" s="10">
        <f t="shared" si="36"/>
        <v>11.421588381953585</v>
      </c>
      <c r="H355" s="10">
        <f t="shared" si="37"/>
        <v>1.4993700079981593</v>
      </c>
      <c r="I355" s="10">
        <v>3.8281448501703501E-2</v>
      </c>
      <c r="J355" s="10">
        <f t="shared" si="38"/>
        <v>0.41941287463249816</v>
      </c>
      <c r="K355" s="10">
        <f t="shared" si="33"/>
        <v>1.9166666666666667</v>
      </c>
      <c r="L355" s="10"/>
      <c r="M355" s="95">
        <v>69</v>
      </c>
      <c r="N355" s="95">
        <v>36</v>
      </c>
      <c r="O355" s="97">
        <v>-19116</v>
      </c>
      <c r="P355" s="98">
        <v>139</v>
      </c>
      <c r="Q355" s="99">
        <v>11593</v>
      </c>
      <c r="R355" s="99">
        <v>91271</v>
      </c>
      <c r="S355" s="99">
        <v>44720</v>
      </c>
      <c r="T355" s="99">
        <v>-45578</v>
      </c>
      <c r="U355" s="99">
        <v>82754</v>
      </c>
      <c r="V355" s="99">
        <v>54095</v>
      </c>
      <c r="W355" s="96">
        <f>U355+V355</f>
        <v>136849</v>
      </c>
    </row>
    <row r="356" spans="1:23">
      <c r="A356" s="10" t="s">
        <v>29</v>
      </c>
      <c r="B356" s="10" t="s">
        <v>26</v>
      </c>
      <c r="C356" s="10" t="s">
        <v>23</v>
      </c>
      <c r="D356" s="10">
        <v>0</v>
      </c>
      <c r="E356" s="10">
        <v>7</v>
      </c>
      <c r="F356" s="10">
        <f t="shared" si="35"/>
        <v>4.1520826503960155E-2</v>
      </c>
      <c r="G356" s="10">
        <f t="shared" si="36"/>
        <v>12.151912086570738</v>
      </c>
      <c r="H356" s="10">
        <f t="shared" si="37"/>
        <v>1.0093847648002703</v>
      </c>
      <c r="I356" s="10">
        <v>1.1634352515928303</v>
      </c>
      <c r="J356" s="10">
        <f t="shared" si="38"/>
        <v>-4.4167604049493816</v>
      </c>
      <c r="K356" s="10">
        <f t="shared" si="33"/>
        <v>1.288888888888889</v>
      </c>
      <c r="L356" s="10"/>
      <c r="M356" s="95">
        <v>58</v>
      </c>
      <c r="N356" s="95">
        <v>45</v>
      </c>
      <c r="O356" s="37">
        <v>7853</v>
      </c>
      <c r="P356" s="38"/>
      <c r="Q356" s="96">
        <v>98672</v>
      </c>
      <c r="R356" s="96">
        <v>189456</v>
      </c>
      <c r="S356" s="96">
        <v>189134</v>
      </c>
      <c r="T356" s="96">
        <f>R356-W356</f>
        <v>-1778</v>
      </c>
      <c r="U356" s="96"/>
      <c r="V356" s="96"/>
      <c r="W356" s="96">
        <v>191234</v>
      </c>
    </row>
    <row r="357" spans="1:23" ht="18">
      <c r="A357" s="10" t="s">
        <v>34</v>
      </c>
      <c r="B357" s="10" t="s">
        <v>26</v>
      </c>
      <c r="C357" s="10" t="s">
        <v>23</v>
      </c>
      <c r="D357" s="10">
        <v>0</v>
      </c>
      <c r="E357" s="10">
        <v>19</v>
      </c>
      <c r="F357" s="10">
        <f t="shared" si="35"/>
        <v>-1.0944403927068724</v>
      </c>
      <c r="G357" s="10">
        <f t="shared" si="36"/>
        <v>11.774011990399837</v>
      </c>
      <c r="H357" s="10">
        <f t="shared" si="37"/>
        <v>1.4575765978095105</v>
      </c>
      <c r="I357" s="10">
        <v>0.30265902141099987</v>
      </c>
      <c r="J357" s="10">
        <f t="shared" si="38"/>
        <v>1.6418724435691563</v>
      </c>
      <c r="K357" s="10">
        <f t="shared" si="33"/>
        <v>0.70769230769230773</v>
      </c>
      <c r="L357" s="10"/>
      <c r="M357" s="95">
        <v>46</v>
      </c>
      <c r="N357" s="95">
        <v>65</v>
      </c>
      <c r="O357" s="100">
        <v>-97542</v>
      </c>
      <c r="P357" s="38"/>
      <c r="Q357" s="96">
        <v>81234</v>
      </c>
      <c r="R357" s="96">
        <v>129834</v>
      </c>
      <c r="S357" s="96">
        <v>89125</v>
      </c>
      <c r="T357" s="96">
        <f>R357-W357</f>
        <v>-59409</v>
      </c>
      <c r="U357" s="96"/>
      <c r="V357" s="96"/>
      <c r="W357" s="96">
        <v>189243</v>
      </c>
    </row>
    <row r="358" spans="1:23" ht="18">
      <c r="A358" s="10" t="s">
        <v>35</v>
      </c>
      <c r="B358" s="10" t="s">
        <v>26</v>
      </c>
      <c r="C358" s="10" t="s">
        <v>23</v>
      </c>
      <c r="D358" s="10">
        <v>0</v>
      </c>
      <c r="E358" s="10">
        <v>16</v>
      </c>
      <c r="F358" s="10">
        <f t="shared" si="35"/>
        <v>-0.40408972506670321</v>
      </c>
      <c r="G358" s="10">
        <f t="shared" si="36"/>
        <v>12.497233659441383</v>
      </c>
      <c r="H358" s="10">
        <f t="shared" si="37"/>
        <v>0.91801446957353627</v>
      </c>
      <c r="I358" s="10">
        <v>1.9667417558350542</v>
      </c>
      <c r="J358" s="10">
        <f t="shared" si="38"/>
        <v>-3.493048908336752</v>
      </c>
      <c r="K358" s="10">
        <f t="shared" si="33"/>
        <v>0.74545454545454548</v>
      </c>
      <c r="L358" s="10"/>
      <c r="M358" s="95">
        <v>41</v>
      </c>
      <c r="N358" s="95">
        <v>55</v>
      </c>
      <c r="O358" s="100">
        <v>-76634</v>
      </c>
      <c r="P358" s="38"/>
      <c r="Q358" s="96">
        <v>125688</v>
      </c>
      <c r="R358" s="96">
        <v>267596</v>
      </c>
      <c r="S358" s="96">
        <v>189646</v>
      </c>
      <c r="T358" s="96">
        <f>R358-W358</f>
        <v>21939</v>
      </c>
      <c r="U358" s="96"/>
      <c r="V358" s="96"/>
      <c r="W358" s="96">
        <v>245657</v>
      </c>
    </row>
    <row r="359" spans="1:23" ht="18">
      <c r="A359" s="10" t="s">
        <v>46</v>
      </c>
      <c r="B359" s="10" t="s">
        <v>26</v>
      </c>
      <c r="C359" s="10" t="s">
        <v>23</v>
      </c>
      <c r="D359" s="10">
        <v>0</v>
      </c>
      <c r="E359" s="10">
        <v>18</v>
      </c>
      <c r="F359" s="10">
        <f t="shared" si="35"/>
        <v>-0.15991239728206952</v>
      </c>
      <c r="G359" s="10">
        <f t="shared" si="36"/>
        <v>11.90802368881223</v>
      </c>
      <c r="H359" s="10">
        <f t="shared" si="37"/>
        <v>0.93671397681421054</v>
      </c>
      <c r="I359" s="10">
        <v>8.5423190999999996E-2</v>
      </c>
      <c r="J359" s="10">
        <f t="shared" si="38"/>
        <v>-0.90931346460883444</v>
      </c>
      <c r="K359" s="10">
        <f t="shared" si="33"/>
        <v>0.6470588235294118</v>
      </c>
      <c r="L359" s="10"/>
      <c r="M359" s="95">
        <v>44</v>
      </c>
      <c r="N359" s="95">
        <v>68</v>
      </c>
      <c r="O359" s="100">
        <v>-8543</v>
      </c>
      <c r="P359" s="38"/>
      <c r="Q359" s="96">
        <v>58276</v>
      </c>
      <c r="R359" s="96">
        <v>148453</v>
      </c>
      <c r="S359" s="96">
        <v>53423</v>
      </c>
      <c r="T359" s="96">
        <f>R359-W359</f>
        <v>9395</v>
      </c>
      <c r="U359" s="96"/>
      <c r="V359" s="96"/>
      <c r="W359" s="96">
        <v>139058</v>
      </c>
    </row>
    <row r="360" spans="1:23" ht="18">
      <c r="A360" s="10" t="s">
        <v>47</v>
      </c>
      <c r="B360" s="10" t="s">
        <v>26</v>
      </c>
      <c r="C360" s="10" t="s">
        <v>23</v>
      </c>
      <c r="D360" s="10">
        <v>0</v>
      </c>
      <c r="E360" s="10">
        <v>1</v>
      </c>
      <c r="F360" s="10">
        <f t="shared" si="35"/>
        <v>-7.4094891076827665E-2</v>
      </c>
      <c r="G360" s="10">
        <f t="shared" si="36"/>
        <v>12.247104218087419</v>
      </c>
      <c r="H360" s="10">
        <f t="shared" si="37"/>
        <v>1.7778929536369177</v>
      </c>
      <c r="I360" s="10">
        <v>-0.20827387254676302</v>
      </c>
      <c r="J360" s="10">
        <f t="shared" si="38"/>
        <v>2.3598765432098765</v>
      </c>
      <c r="K360" s="10">
        <f t="shared" si="33"/>
        <v>2.0227272727272729</v>
      </c>
      <c r="L360" s="10"/>
      <c r="M360" s="95">
        <v>89</v>
      </c>
      <c r="N360" s="95">
        <v>44</v>
      </c>
      <c r="O360" s="97">
        <v>-3823</v>
      </c>
      <c r="P360" s="98">
        <v>265</v>
      </c>
      <c r="Q360" s="99">
        <v>19</v>
      </c>
      <c r="R360" s="99">
        <v>208377</v>
      </c>
      <c r="S360" s="99">
        <v>51596</v>
      </c>
      <c r="T360" s="99">
        <v>-1620</v>
      </c>
      <c r="U360" s="99">
        <v>291339</v>
      </c>
      <c r="V360" s="99">
        <v>79133</v>
      </c>
      <c r="W360" s="49">
        <f>U360+V360</f>
        <v>370472</v>
      </c>
    </row>
    <row r="361" spans="1:23" ht="18">
      <c r="A361" s="10" t="s">
        <v>60</v>
      </c>
      <c r="B361" s="10" t="s">
        <v>26</v>
      </c>
      <c r="C361" s="10" t="s">
        <v>23</v>
      </c>
      <c r="D361" s="10">
        <v>0</v>
      </c>
      <c r="E361" s="10">
        <v>21</v>
      </c>
      <c r="F361" s="10">
        <f t="shared" si="35"/>
        <v>-0.17806962958110897</v>
      </c>
      <c r="G361" s="10">
        <f t="shared" si="36"/>
        <v>11.396874678104211</v>
      </c>
      <c r="H361" s="10">
        <f t="shared" si="37"/>
        <v>0.89691497366440931</v>
      </c>
      <c r="I361" s="10">
        <v>9.4310610000000003E-2</v>
      </c>
      <c r="J361" s="10">
        <f t="shared" si="38"/>
        <v>8.1237766521732632E-2</v>
      </c>
      <c r="K361" s="10">
        <f t="shared" si="33"/>
        <v>0.4935064935064935</v>
      </c>
      <c r="L361" s="10"/>
      <c r="M361" s="95">
        <v>38</v>
      </c>
      <c r="N361" s="95">
        <v>77</v>
      </c>
      <c r="O361" s="100">
        <v>-5437</v>
      </c>
      <c r="P361" s="47"/>
      <c r="Q361" s="48">
        <v>12937</v>
      </c>
      <c r="R361" s="49">
        <v>89043</v>
      </c>
      <c r="S361" s="96">
        <v>30533</v>
      </c>
      <c r="T361" s="48">
        <f>Q361-W361</f>
        <v>-66927</v>
      </c>
      <c r="U361" s="49"/>
      <c r="V361" s="49"/>
      <c r="W361" s="49">
        <v>79864</v>
      </c>
    </row>
    <row r="362" spans="1:23" ht="18">
      <c r="A362" s="10" t="s">
        <v>69</v>
      </c>
      <c r="B362" s="10" t="s">
        <v>26</v>
      </c>
      <c r="C362" s="10" t="s">
        <v>23</v>
      </c>
      <c r="D362" s="10">
        <v>0</v>
      </c>
      <c r="E362" s="10">
        <v>8</v>
      </c>
      <c r="F362" s="10">
        <f t="shared" si="35"/>
        <v>0.49472643375082398</v>
      </c>
      <c r="G362" s="10">
        <f t="shared" si="36"/>
        <v>11.143961027898758</v>
      </c>
      <c r="H362" s="10">
        <f t="shared" si="37"/>
        <v>0.53862173692964066</v>
      </c>
      <c r="I362" s="10">
        <v>0.9142480934876831</v>
      </c>
      <c r="J362" s="10">
        <f t="shared" si="38"/>
        <v>1.082157858441477</v>
      </c>
      <c r="K362" s="10">
        <f t="shared" si="33"/>
        <v>1.2307692307692308</v>
      </c>
      <c r="L362" s="10"/>
      <c r="M362" s="95">
        <v>64</v>
      </c>
      <c r="N362" s="95">
        <v>52</v>
      </c>
      <c r="O362" s="100">
        <v>34523</v>
      </c>
      <c r="P362" s="47"/>
      <c r="Q362" s="48">
        <v>53497</v>
      </c>
      <c r="R362" s="49">
        <v>69145</v>
      </c>
      <c r="S362" s="96">
        <v>69782</v>
      </c>
      <c r="T362" s="48">
        <f>R362-W362</f>
        <v>31902</v>
      </c>
      <c r="U362" s="49"/>
      <c r="V362" s="49"/>
      <c r="W362" s="49">
        <v>37243</v>
      </c>
    </row>
    <row r="363" spans="1:23" ht="18">
      <c r="A363" s="10" t="s">
        <v>70</v>
      </c>
      <c r="B363" s="10" t="s">
        <v>26</v>
      </c>
      <c r="C363" s="10" t="s">
        <v>23</v>
      </c>
      <c r="D363" s="10">
        <v>0</v>
      </c>
      <c r="E363" s="10">
        <v>3</v>
      </c>
      <c r="F363" s="10">
        <f t="shared" si="35"/>
        <v>-0.29157928089684204</v>
      </c>
      <c r="G363" s="10">
        <f t="shared" si="36"/>
        <v>12.476527172315329</v>
      </c>
      <c r="H363" s="10">
        <f t="shared" si="37"/>
        <v>1.3666180869246733</v>
      </c>
      <c r="I363" s="10">
        <v>-0.11042360141737356</v>
      </c>
      <c r="J363" s="10">
        <f t="shared" si="38"/>
        <v>0.20110307508195016</v>
      </c>
      <c r="K363" s="10">
        <f t="shared" ref="K363:K407" si="40">M363/N363</f>
        <v>1.7560975609756098</v>
      </c>
      <c r="L363" s="10"/>
      <c r="M363" s="95">
        <v>72</v>
      </c>
      <c r="N363" s="95">
        <v>41</v>
      </c>
      <c r="O363" s="97">
        <v>-19325</v>
      </c>
      <c r="P363" s="98">
        <v>502</v>
      </c>
      <c r="Q363" s="99">
        <v>268088</v>
      </c>
      <c r="R363" s="99">
        <v>262112</v>
      </c>
      <c r="S363" s="99">
        <v>66277</v>
      </c>
      <c r="T363" s="99">
        <v>-96095</v>
      </c>
      <c r="U363" s="99">
        <v>28668</v>
      </c>
      <c r="V363" s="99">
        <v>329539</v>
      </c>
      <c r="W363" s="49">
        <f>U363+V363</f>
        <v>358207</v>
      </c>
    </row>
    <row r="364" spans="1:23" ht="18">
      <c r="A364" s="10" t="s">
        <v>73</v>
      </c>
      <c r="B364" s="10" t="s">
        <v>26</v>
      </c>
      <c r="C364" s="10" t="s">
        <v>23</v>
      </c>
      <c r="D364" s="10">
        <v>1</v>
      </c>
      <c r="E364" s="10">
        <v>2</v>
      </c>
      <c r="F364" s="10">
        <f t="shared" si="35"/>
        <v>-0.67395352603028091</v>
      </c>
      <c r="G364" s="10">
        <f t="shared" si="36"/>
        <v>12.290740027508681</v>
      </c>
      <c r="H364" s="10">
        <f t="shared" si="37"/>
        <v>1.3321756228436494</v>
      </c>
      <c r="I364" s="10">
        <v>-0.11252425091614572</v>
      </c>
      <c r="J364" s="10">
        <f t="shared" si="38"/>
        <v>0.57561717723532257</v>
      </c>
      <c r="K364" s="10">
        <f t="shared" si="40"/>
        <v>2.2222222222222223</v>
      </c>
      <c r="L364" s="10"/>
      <c r="M364" s="95">
        <v>80</v>
      </c>
      <c r="N364" s="95">
        <v>36</v>
      </c>
      <c r="O364" s="97">
        <v>-41620</v>
      </c>
      <c r="P364" s="98">
        <v>583</v>
      </c>
      <c r="Q364" s="99">
        <v>0</v>
      </c>
      <c r="R364" s="99">
        <v>217671</v>
      </c>
      <c r="S364" s="99">
        <v>61755</v>
      </c>
      <c r="T364" s="99">
        <v>-72305</v>
      </c>
      <c r="U364" s="99">
        <v>234369</v>
      </c>
      <c r="V364" s="99">
        <v>55607</v>
      </c>
      <c r="W364" s="49">
        <f>U364+V364</f>
        <v>289976</v>
      </c>
    </row>
    <row r="365" spans="1:23" ht="18">
      <c r="A365" s="10" t="s">
        <v>80</v>
      </c>
      <c r="B365" s="10" t="s">
        <v>26</v>
      </c>
      <c r="C365" s="10" t="s">
        <v>23</v>
      </c>
      <c r="D365" s="10">
        <v>0</v>
      </c>
      <c r="E365" s="10">
        <v>6</v>
      </c>
      <c r="F365" s="10">
        <f t="shared" si="35"/>
        <v>-0.87641468833238345</v>
      </c>
      <c r="G365" s="10">
        <f t="shared" si="36"/>
        <v>11.536104737917634</v>
      </c>
      <c r="H365" s="10">
        <f t="shared" si="37"/>
        <v>1.3230055205432605</v>
      </c>
      <c r="I365" s="10">
        <v>-4.2222296491873042E-2</v>
      </c>
      <c r="J365" s="10">
        <f t="shared" si="38"/>
        <v>2.279266743299655</v>
      </c>
      <c r="K365" s="10">
        <f t="shared" si="40"/>
        <v>1.1698113207547169</v>
      </c>
      <c r="L365" s="10"/>
      <c r="M365" s="95">
        <v>62</v>
      </c>
      <c r="N365" s="95">
        <v>53</v>
      </c>
      <c r="O365" s="100">
        <v>-75348</v>
      </c>
      <c r="P365" s="47"/>
      <c r="Q365" s="48">
        <v>52341</v>
      </c>
      <c r="R365" s="49">
        <v>102345</v>
      </c>
      <c r="S365" s="96">
        <v>85973</v>
      </c>
      <c r="T365" s="48">
        <f>R365-W365</f>
        <v>-33058</v>
      </c>
      <c r="U365" s="99"/>
      <c r="V365" s="99"/>
      <c r="W365" s="99">
        <v>135403</v>
      </c>
    </row>
    <row r="366" spans="1:23" ht="18">
      <c r="A366" s="10" t="s">
        <v>82</v>
      </c>
      <c r="B366" s="10" t="s">
        <v>26</v>
      </c>
      <c r="C366" s="10" t="s">
        <v>23</v>
      </c>
      <c r="D366" s="10">
        <v>1</v>
      </c>
      <c r="E366" s="10">
        <v>12</v>
      </c>
      <c r="F366" s="10">
        <f t="shared" si="35"/>
        <v>-0.28978441339770028</v>
      </c>
      <c r="G366" s="10">
        <f t="shared" si="36"/>
        <v>12.279996672195534</v>
      </c>
      <c r="H366" s="10">
        <f t="shared" si="37"/>
        <v>1.1416331932480439</v>
      </c>
      <c r="I366" s="10">
        <v>1.100083925474179</v>
      </c>
      <c r="J366" s="10">
        <f t="shared" si="38"/>
        <v>1.7831147540983607</v>
      </c>
      <c r="K366" s="10">
        <f t="shared" si="40"/>
        <v>0.78181818181818186</v>
      </c>
      <c r="L366" s="10"/>
      <c r="M366" s="95">
        <v>43</v>
      </c>
      <c r="N366" s="95">
        <v>55</v>
      </c>
      <c r="O366" s="100">
        <v>-54385</v>
      </c>
      <c r="P366" s="47"/>
      <c r="Q366" s="48">
        <v>135749</v>
      </c>
      <c r="R366" s="49">
        <v>215345</v>
      </c>
      <c r="S366" s="96">
        <v>187674</v>
      </c>
      <c r="T366" s="48">
        <f>R366-W366</f>
        <v>-30500</v>
      </c>
      <c r="U366" s="99"/>
      <c r="V366" s="99"/>
      <c r="W366" s="99">
        <v>245845</v>
      </c>
    </row>
    <row r="367" spans="1:23" ht="18">
      <c r="A367" s="10" t="s">
        <v>85</v>
      </c>
      <c r="B367" s="10" t="s">
        <v>26</v>
      </c>
      <c r="C367" s="10" t="s">
        <v>23</v>
      </c>
      <c r="D367" s="10">
        <v>0</v>
      </c>
      <c r="E367" s="10">
        <v>14</v>
      </c>
      <c r="F367" s="10">
        <f t="shared" si="35"/>
        <v>-0.5983521688366048</v>
      </c>
      <c r="G367" s="10">
        <f t="shared" si="36"/>
        <v>11.468377788708915</v>
      </c>
      <c r="H367" s="10">
        <f t="shared" si="37"/>
        <v>1.6361887435567684</v>
      </c>
      <c r="I367" s="10">
        <v>0.97821018455973674</v>
      </c>
      <c r="J367" s="10">
        <f t="shared" si="38"/>
        <v>0.89276381744375233</v>
      </c>
      <c r="K367" s="10">
        <f t="shared" si="40"/>
        <v>0.82456140350877194</v>
      </c>
      <c r="L367" s="10"/>
      <c r="M367" s="95">
        <v>47</v>
      </c>
      <c r="N367" s="95">
        <v>57</v>
      </c>
      <c r="O367" s="100">
        <v>-54322</v>
      </c>
      <c r="P367" s="47"/>
      <c r="Q367" s="96">
        <v>195043</v>
      </c>
      <c r="R367" s="49">
        <v>95643</v>
      </c>
      <c r="S367" s="96">
        <v>90786</v>
      </c>
      <c r="T367" s="48">
        <f>R367-W367</f>
        <v>-60847</v>
      </c>
      <c r="U367" s="99"/>
      <c r="V367" s="99"/>
      <c r="W367" s="99">
        <v>156490</v>
      </c>
    </row>
    <row r="368" spans="1:23" ht="18">
      <c r="A368" s="10" t="s">
        <v>86</v>
      </c>
      <c r="B368" s="10" t="s">
        <v>26</v>
      </c>
      <c r="C368" s="10" t="s">
        <v>23</v>
      </c>
      <c r="D368" s="10">
        <v>0</v>
      </c>
      <c r="E368" s="10">
        <v>17</v>
      </c>
      <c r="F368" s="10">
        <f t="shared" si="35"/>
        <v>-1.1364719111097961</v>
      </c>
      <c r="G368" s="10">
        <f t="shared" si="36"/>
        <v>11.771775870753308</v>
      </c>
      <c r="H368" s="10">
        <f t="shared" si="37"/>
        <v>0.80669888223306363</v>
      </c>
      <c r="I368" s="10">
        <v>0.19740991390001064</v>
      </c>
      <c r="J368" s="10">
        <f t="shared" si="38"/>
        <v>-3.0674893175192683</v>
      </c>
      <c r="K368" s="10">
        <f t="shared" si="40"/>
        <v>0.67307692307692313</v>
      </c>
      <c r="L368" s="10"/>
      <c r="M368" s="95">
        <v>35</v>
      </c>
      <c r="N368" s="95">
        <v>52</v>
      </c>
      <c r="O368" s="100">
        <v>-76813</v>
      </c>
      <c r="P368" s="47"/>
      <c r="Q368" s="48">
        <v>126539</v>
      </c>
      <c r="R368" s="49">
        <v>129544</v>
      </c>
      <c r="S368" s="96">
        <v>67589</v>
      </c>
      <c r="T368" s="48">
        <f>R368-W368</f>
        <v>25041</v>
      </c>
      <c r="U368" s="96"/>
      <c r="V368" s="96"/>
      <c r="W368" s="96">
        <v>104503</v>
      </c>
    </row>
    <row r="369" spans="1:23" ht="18">
      <c r="A369" s="10" t="s">
        <v>87</v>
      </c>
      <c r="B369" s="10" t="s">
        <v>26</v>
      </c>
      <c r="C369" s="10" t="s">
        <v>23</v>
      </c>
      <c r="D369" s="10">
        <v>0</v>
      </c>
      <c r="E369" s="10">
        <v>11</v>
      </c>
      <c r="F369" s="10">
        <f t="shared" si="35"/>
        <v>-0.46858161948850269</v>
      </c>
      <c r="G369" s="10">
        <f t="shared" si="36"/>
        <v>11.35549942700905</v>
      </c>
      <c r="H369" s="10">
        <f t="shared" si="37"/>
        <v>1.1521642437437085</v>
      </c>
      <c r="I369" s="10">
        <v>-0.70506076952346841</v>
      </c>
      <c r="J369" s="10">
        <f t="shared" si="38"/>
        <v>0.94992307692307687</v>
      </c>
      <c r="K369" s="10">
        <f t="shared" si="40"/>
        <v>1.0208333333333333</v>
      </c>
      <c r="L369" s="10"/>
      <c r="M369" s="95">
        <v>49</v>
      </c>
      <c r="N369" s="95">
        <v>48</v>
      </c>
      <c r="O369" s="100">
        <v>-12349</v>
      </c>
      <c r="P369" s="47"/>
      <c r="Q369" s="48">
        <v>134943</v>
      </c>
      <c r="R369" s="49">
        <v>85434</v>
      </c>
      <c r="S369" s="96">
        <v>26354</v>
      </c>
      <c r="T369" s="48">
        <f>R369-W369</f>
        <v>-13000</v>
      </c>
      <c r="U369" s="49"/>
      <c r="V369" s="49"/>
      <c r="W369" s="49">
        <v>98434</v>
      </c>
    </row>
    <row r="370" spans="1:23" ht="18">
      <c r="A370" s="10" t="s">
        <v>129</v>
      </c>
      <c r="B370" s="10" t="s">
        <v>26</v>
      </c>
      <c r="C370" s="10" t="s">
        <v>23</v>
      </c>
      <c r="D370" s="10">
        <v>1</v>
      </c>
      <c r="E370" s="10">
        <v>4</v>
      </c>
      <c r="F370" s="10">
        <f t="shared" si="35"/>
        <v>-0.57309835428275235</v>
      </c>
      <c r="G370" s="10">
        <f t="shared" si="36"/>
        <v>11.283562613842102</v>
      </c>
      <c r="H370" s="10">
        <f t="shared" si="37"/>
        <v>1.7364409337894948</v>
      </c>
      <c r="I370" s="10">
        <v>-0.13718694096601072</v>
      </c>
      <c r="J370" s="10">
        <f t="shared" si="38"/>
        <v>0.37768364959264888</v>
      </c>
      <c r="K370" s="10">
        <f t="shared" si="40"/>
        <v>1.3513513513513513</v>
      </c>
      <c r="L370" s="10"/>
      <c r="M370" s="95">
        <v>50</v>
      </c>
      <c r="N370" s="95">
        <v>37</v>
      </c>
      <c r="O370" s="97">
        <v>-22113</v>
      </c>
      <c r="P370" s="98">
        <v>119</v>
      </c>
      <c r="Q370" s="99">
        <v>4285</v>
      </c>
      <c r="R370" s="99">
        <v>79504</v>
      </c>
      <c r="S370" s="99">
        <v>38585</v>
      </c>
      <c r="T370" s="99">
        <v>-58549</v>
      </c>
      <c r="U370" s="99">
        <v>107900</v>
      </c>
      <c r="V370" s="99">
        <v>30154</v>
      </c>
      <c r="W370" s="49">
        <f>U370+V370</f>
        <v>138054</v>
      </c>
    </row>
    <row r="371" spans="1:23">
      <c r="A371" s="10" t="s">
        <v>29</v>
      </c>
      <c r="B371" s="10" t="s">
        <v>26</v>
      </c>
      <c r="C371" s="10" t="s">
        <v>22</v>
      </c>
      <c r="D371" s="10">
        <v>0</v>
      </c>
      <c r="E371" s="10">
        <v>5</v>
      </c>
      <c r="F371" s="10">
        <f t="shared" si="35"/>
        <v>0.56164371787599054</v>
      </c>
      <c r="G371" s="10">
        <f t="shared" si="36"/>
        <v>11.817803830000262</v>
      </c>
      <c r="H371" s="10">
        <f t="shared" si="37"/>
        <v>1.2086165460094658</v>
      </c>
      <c r="I371" s="10">
        <v>-0.38484883733226177</v>
      </c>
      <c r="J371" s="10">
        <f t="shared" si="38"/>
        <v>-2.3091737932009329</v>
      </c>
      <c r="K371" s="10">
        <f t="shared" si="40"/>
        <v>1.6486486486486487</v>
      </c>
      <c r="L371" s="10"/>
      <c r="M371" s="95">
        <v>61</v>
      </c>
      <c r="N371" s="95">
        <v>37</v>
      </c>
      <c r="O371" s="37">
        <v>65345</v>
      </c>
      <c r="P371" s="47"/>
      <c r="Q371" s="96">
        <v>53472</v>
      </c>
      <c r="R371" s="96">
        <v>135646</v>
      </c>
      <c r="S371" s="96">
        <v>116346</v>
      </c>
      <c r="T371" s="96">
        <f>R371-W371</f>
        <v>-28298</v>
      </c>
      <c r="U371" s="96"/>
      <c r="V371" s="96"/>
      <c r="W371" s="96">
        <v>163944</v>
      </c>
    </row>
    <row r="372" spans="1:23">
      <c r="A372" s="10" t="s">
        <v>34</v>
      </c>
      <c r="B372" s="10" t="s">
        <v>26</v>
      </c>
      <c r="C372" s="10" t="s">
        <v>22</v>
      </c>
      <c r="D372" s="10">
        <v>0</v>
      </c>
      <c r="E372" s="10">
        <v>18</v>
      </c>
      <c r="F372" s="10">
        <f t="shared" si="35"/>
        <v>-4.2057434474114197E-2</v>
      </c>
      <c r="G372" s="10">
        <f t="shared" si="36"/>
        <v>10.938147814711721</v>
      </c>
      <c r="H372" s="10">
        <f t="shared" si="37"/>
        <v>1.2852904074054332</v>
      </c>
      <c r="I372" s="10">
        <v>2.5694249649368863E-3</v>
      </c>
      <c r="J372" s="10">
        <f t="shared" si="38"/>
        <v>0.23404122812480538</v>
      </c>
      <c r="K372" s="10">
        <f t="shared" si="40"/>
        <v>0.5535714285714286</v>
      </c>
      <c r="L372" s="10"/>
      <c r="M372" s="95">
        <v>31</v>
      </c>
      <c r="N372" s="95">
        <v>56</v>
      </c>
      <c r="O372" s="37">
        <v>-3758</v>
      </c>
      <c r="P372" s="47"/>
      <c r="Q372" s="96">
        <v>8791</v>
      </c>
      <c r="R372" s="96">
        <v>56283</v>
      </c>
      <c r="S372" s="96">
        <v>89354</v>
      </c>
      <c r="T372" s="96">
        <f>R372-W372</f>
        <v>-16057</v>
      </c>
      <c r="U372" s="96"/>
      <c r="V372" s="96"/>
      <c r="W372" s="96">
        <v>72340</v>
      </c>
    </row>
    <row r="373" spans="1:23">
      <c r="A373" s="10" t="s">
        <v>35</v>
      </c>
      <c r="B373" s="10" t="s">
        <v>26</v>
      </c>
      <c r="C373" s="10" t="s">
        <v>22</v>
      </c>
      <c r="D373" s="10">
        <v>0</v>
      </c>
      <c r="E373" s="10">
        <v>9</v>
      </c>
      <c r="F373" s="10">
        <f t="shared" si="35"/>
        <v>1.3678044934962554</v>
      </c>
      <c r="G373" s="10">
        <f t="shared" si="36"/>
        <v>11.998716317616294</v>
      </c>
      <c r="H373" s="10">
        <f t="shared" si="37"/>
        <v>1.0391089291646671</v>
      </c>
      <c r="I373" s="10">
        <v>-0.66556109804583274</v>
      </c>
      <c r="J373" s="10">
        <f t="shared" si="38"/>
        <v>-13.646845996539248</v>
      </c>
      <c r="K373" s="10">
        <f t="shared" si="40"/>
        <v>0.78846153846153844</v>
      </c>
      <c r="L373" s="10"/>
      <c r="M373" s="95">
        <v>41</v>
      </c>
      <c r="N373" s="95">
        <v>52</v>
      </c>
      <c r="O373" s="37">
        <v>86753</v>
      </c>
      <c r="P373" s="47"/>
      <c r="Q373" s="96">
        <v>65824</v>
      </c>
      <c r="R373" s="96">
        <v>162546</v>
      </c>
      <c r="S373" s="96">
        <v>63425</v>
      </c>
      <c r="T373" s="96">
        <f>R373-W373</f>
        <v>-6357</v>
      </c>
      <c r="U373" s="96"/>
      <c r="V373" s="96"/>
      <c r="W373" s="96">
        <v>168903</v>
      </c>
    </row>
    <row r="374" spans="1:23" ht="17">
      <c r="A374" s="10" t="s">
        <v>47</v>
      </c>
      <c r="B374" s="10" t="s">
        <v>26</v>
      </c>
      <c r="C374" s="10" t="s">
        <v>22</v>
      </c>
      <c r="D374" s="10">
        <v>1</v>
      </c>
      <c r="E374" s="10">
        <v>3</v>
      </c>
      <c r="F374" s="10">
        <f t="shared" si="35"/>
        <v>-0.95754235869019166</v>
      </c>
      <c r="G374" s="10">
        <f t="shared" si="36"/>
        <v>12.131349099334237</v>
      </c>
      <c r="H374" s="10">
        <f t="shared" si="37"/>
        <v>1.9171821120689656</v>
      </c>
      <c r="I374" s="10">
        <v>0.27314132878517716</v>
      </c>
      <c r="J374" s="10">
        <f t="shared" si="38"/>
        <v>0.36950225872207437</v>
      </c>
      <c r="K374" s="10">
        <f t="shared" si="40"/>
        <v>1.4750000000000001</v>
      </c>
      <c r="L374" s="10"/>
      <c r="M374" s="95">
        <v>59</v>
      </c>
      <c r="N374" s="95">
        <v>40</v>
      </c>
      <c r="O374" s="97">
        <v>-62900</v>
      </c>
      <c r="P374" s="98">
        <v>286</v>
      </c>
      <c r="Q374" s="99">
        <v>42062</v>
      </c>
      <c r="R374" s="99">
        <v>185600</v>
      </c>
      <c r="S374" s="99">
        <v>65689</v>
      </c>
      <c r="T374" s="99">
        <v>-170229</v>
      </c>
      <c r="U374" s="99">
        <v>200417</v>
      </c>
      <c r="V374" s="99">
        <v>155412</v>
      </c>
      <c r="W374" s="99">
        <f>U374+V374</f>
        <v>355829</v>
      </c>
    </row>
    <row r="375" spans="1:23" ht="18">
      <c r="A375" s="10" t="s">
        <v>60</v>
      </c>
      <c r="B375" s="10" t="s">
        <v>26</v>
      </c>
      <c r="C375" s="10" t="s">
        <v>22</v>
      </c>
      <c r="D375" s="10">
        <v>0</v>
      </c>
      <c r="E375" s="10">
        <v>14</v>
      </c>
      <c r="F375" s="10">
        <f t="shared" si="35"/>
        <v>-1.6649873501264987</v>
      </c>
      <c r="G375" s="10">
        <f t="shared" si="36"/>
        <v>11.332038878114268</v>
      </c>
      <c r="H375" s="10">
        <f t="shared" si="37"/>
        <v>0.8788779312906666</v>
      </c>
      <c r="I375" s="10">
        <v>0.48871712573281367</v>
      </c>
      <c r="J375" s="10">
        <f t="shared" si="38"/>
        <v>-7.487336762960032</v>
      </c>
      <c r="K375" s="10">
        <f t="shared" si="40"/>
        <v>0.64583333333333337</v>
      </c>
      <c r="L375" s="10"/>
      <c r="M375" s="95">
        <v>31</v>
      </c>
      <c r="N375" s="95">
        <v>48</v>
      </c>
      <c r="O375" s="45">
        <v>-75682</v>
      </c>
      <c r="P375" s="46"/>
      <c r="Q375" s="96">
        <v>34523</v>
      </c>
      <c r="R375" s="39">
        <v>83453</v>
      </c>
      <c r="S375" s="48">
        <v>45455</v>
      </c>
      <c r="T375" s="39">
        <f>R375-W375</f>
        <v>10108</v>
      </c>
      <c r="U375" s="39"/>
      <c r="V375" s="39"/>
      <c r="W375" s="39">
        <v>73345</v>
      </c>
    </row>
    <row r="376" spans="1:23" ht="18">
      <c r="A376" s="10" t="s">
        <v>70</v>
      </c>
      <c r="B376" s="10" t="s">
        <v>26</v>
      </c>
      <c r="C376" s="10" t="s">
        <v>22</v>
      </c>
      <c r="D376" s="10">
        <v>0</v>
      </c>
      <c r="E376" s="10">
        <v>7</v>
      </c>
      <c r="F376" s="10">
        <f t="shared" si="35"/>
        <v>-0.28269281444600086</v>
      </c>
      <c r="G376" s="10">
        <f t="shared" si="36"/>
        <v>12.525729289222825</v>
      </c>
      <c r="H376" s="10">
        <f t="shared" si="37"/>
        <v>1.3834330315147949</v>
      </c>
      <c r="I376" s="10">
        <v>8.7903797697542127E-2</v>
      </c>
      <c r="J376" s="10">
        <f t="shared" si="38"/>
        <v>0.1930738555095623</v>
      </c>
      <c r="K376" s="10">
        <f t="shared" si="40"/>
        <v>1.2608695652173914</v>
      </c>
      <c r="L376" s="10"/>
      <c r="M376" s="95">
        <v>58</v>
      </c>
      <c r="N376" s="95">
        <v>46</v>
      </c>
      <c r="O376" s="97">
        <v>-20383</v>
      </c>
      <c r="P376" s="98">
        <v>515</v>
      </c>
      <c r="Q376" s="99">
        <v>178779</v>
      </c>
      <c r="R376" s="99">
        <v>275331</v>
      </c>
      <c r="S376" s="99">
        <v>72103</v>
      </c>
      <c r="T376" s="99">
        <v>-105571</v>
      </c>
      <c r="U376" s="99">
        <v>129305</v>
      </c>
      <c r="V376" s="99">
        <v>251597</v>
      </c>
      <c r="W376" s="39">
        <f>U376+V376</f>
        <v>380902</v>
      </c>
    </row>
    <row r="377" spans="1:23" ht="17">
      <c r="A377" s="10" t="s">
        <v>73</v>
      </c>
      <c r="B377" s="10" t="s">
        <v>26</v>
      </c>
      <c r="C377" s="10" t="s">
        <v>22</v>
      </c>
      <c r="D377" s="10">
        <v>1</v>
      </c>
      <c r="E377" s="10">
        <v>6</v>
      </c>
      <c r="F377" s="10">
        <f t="shared" si="35"/>
        <v>-5.0955097167871589E-2</v>
      </c>
      <c r="G377" s="10">
        <f t="shared" si="36"/>
        <v>12.372387610958157</v>
      </c>
      <c r="H377" s="10">
        <f t="shared" si="37"/>
        <v>1.1782640173759151</v>
      </c>
      <c r="I377" s="10">
        <v>0.95313739778155615</v>
      </c>
      <c r="J377" s="10">
        <f t="shared" si="38"/>
        <v>0.14597187915637469</v>
      </c>
      <c r="K377" s="10">
        <f t="shared" si="40"/>
        <v>1.4864864864864864</v>
      </c>
      <c r="L377" s="10"/>
      <c r="M377" s="95">
        <v>55</v>
      </c>
      <c r="N377" s="95">
        <v>37</v>
      </c>
      <c r="O377" s="97">
        <v>-6146</v>
      </c>
      <c r="P377" s="98">
        <v>679</v>
      </c>
      <c r="Q377" s="99">
        <v>44200</v>
      </c>
      <c r="R377" s="99">
        <v>236189</v>
      </c>
      <c r="S377" s="99">
        <v>120616</v>
      </c>
      <c r="T377" s="99">
        <v>-42104</v>
      </c>
      <c r="U377" s="99">
        <v>158415</v>
      </c>
      <c r="V377" s="99">
        <v>119878</v>
      </c>
      <c r="W377" s="99">
        <f>U377+V377</f>
        <v>278293</v>
      </c>
    </row>
    <row r="378" spans="1:23" ht="18">
      <c r="A378" s="10" t="s">
        <v>82</v>
      </c>
      <c r="B378" s="10" t="s">
        <v>26</v>
      </c>
      <c r="C378" s="10" t="s">
        <v>22</v>
      </c>
      <c r="D378" s="10">
        <v>1</v>
      </c>
      <c r="E378" s="10">
        <v>1</v>
      </c>
      <c r="F378" s="10">
        <f t="shared" si="35"/>
        <v>-0.37870588972692892</v>
      </c>
      <c r="G378" s="10">
        <f t="shared" si="36"/>
        <v>12.565647381006521</v>
      </c>
      <c r="H378" s="10">
        <f t="shared" si="37"/>
        <v>0.58781897370037406</v>
      </c>
      <c r="I378" s="10">
        <v>-0.23490201093385338</v>
      </c>
      <c r="J378" s="10">
        <f t="shared" si="38"/>
        <v>-0.46040911707928339</v>
      </c>
      <c r="K378" s="10">
        <f t="shared" si="40"/>
        <v>1.911764705882353</v>
      </c>
      <c r="L378" s="10"/>
      <c r="M378" s="95">
        <v>65</v>
      </c>
      <c r="N378" s="95">
        <v>34</v>
      </c>
      <c r="O378" s="45">
        <v>-54378</v>
      </c>
      <c r="P378" s="47"/>
      <c r="Q378" s="96">
        <v>53791</v>
      </c>
      <c r="R378" s="39">
        <v>286544</v>
      </c>
      <c r="S378" s="48">
        <v>143589</v>
      </c>
      <c r="T378" s="39">
        <f>R378-W378</f>
        <v>118108</v>
      </c>
      <c r="U378" s="39"/>
      <c r="V378" s="39"/>
      <c r="W378" s="39">
        <v>168436</v>
      </c>
    </row>
    <row r="379" spans="1:23" ht="17">
      <c r="A379" s="10" t="s">
        <v>129</v>
      </c>
      <c r="B379" s="10" t="s">
        <v>26</v>
      </c>
      <c r="C379" s="10" t="s">
        <v>22</v>
      </c>
      <c r="D379" s="10">
        <v>1</v>
      </c>
      <c r="E379" s="10">
        <v>2</v>
      </c>
      <c r="F379" s="10">
        <f t="shared" si="35"/>
        <v>-2.8309695932895534E-2</v>
      </c>
      <c r="G379" s="10">
        <f t="shared" si="36"/>
        <v>11.381403480703243</v>
      </c>
      <c r="H379" s="10">
        <f t="shared" si="37"/>
        <v>1.8090355399425155</v>
      </c>
      <c r="I379" s="10">
        <v>0.40891538162498381</v>
      </c>
      <c r="J379" s="10">
        <f t="shared" si="38"/>
        <v>2.1696530528808877E-2</v>
      </c>
      <c r="K379" s="10">
        <f t="shared" si="40"/>
        <v>1.8095238095238095</v>
      </c>
      <c r="L379" s="10"/>
      <c r="M379" s="95">
        <v>76</v>
      </c>
      <c r="N379" s="95">
        <v>42</v>
      </c>
      <c r="O379" s="97">
        <v>-1539</v>
      </c>
      <c r="P379" s="98">
        <v>108</v>
      </c>
      <c r="Q379" s="99">
        <v>11185</v>
      </c>
      <c r="R379" s="99">
        <v>87676</v>
      </c>
      <c r="S379" s="99">
        <v>54363</v>
      </c>
      <c r="T379" s="99">
        <v>-70933</v>
      </c>
      <c r="U379" s="99">
        <v>116331</v>
      </c>
      <c r="V379" s="99">
        <v>42278</v>
      </c>
      <c r="W379" s="99">
        <f>U379+V379</f>
        <v>158609</v>
      </c>
    </row>
    <row r="380" spans="1:23" ht="17">
      <c r="A380" s="10" t="s">
        <v>28</v>
      </c>
      <c r="B380" s="10" t="s">
        <v>26</v>
      </c>
      <c r="C380" s="10" t="s">
        <v>21</v>
      </c>
      <c r="D380" s="10">
        <v>0</v>
      </c>
      <c r="E380" s="10">
        <v>18</v>
      </c>
      <c r="F380" s="10">
        <f t="shared" si="35"/>
        <v>-0.5023946700808497</v>
      </c>
      <c r="G380" s="10">
        <f t="shared" si="36"/>
        <v>11.468325509601202</v>
      </c>
      <c r="H380" s="10">
        <f t="shared" si="37"/>
        <v>1.1397457077730608</v>
      </c>
      <c r="I380" s="10">
        <v>5.3162340000000002E-2</v>
      </c>
      <c r="J380" s="10">
        <f t="shared" si="38"/>
        <v>3.1708941264496819</v>
      </c>
      <c r="K380" s="10">
        <f t="shared" si="40"/>
        <v>0.61111111111111116</v>
      </c>
      <c r="L380" s="10"/>
      <c r="M380" s="95">
        <v>33</v>
      </c>
      <c r="N380" s="95">
        <v>54</v>
      </c>
      <c r="O380" s="37">
        <v>-42379</v>
      </c>
      <c r="P380" s="101">
        <v>201</v>
      </c>
      <c r="Q380" s="96">
        <v>52374</v>
      </c>
      <c r="R380" s="96">
        <v>95638</v>
      </c>
      <c r="S380" s="96">
        <v>84354</v>
      </c>
      <c r="T380" s="96">
        <f>R380-W380</f>
        <v>-13365</v>
      </c>
      <c r="U380" s="96">
        <v>45547</v>
      </c>
      <c r="V380" s="96">
        <v>63456</v>
      </c>
      <c r="W380" s="96">
        <f>U380+V380</f>
        <v>109003</v>
      </c>
    </row>
    <row r="381" spans="1:23">
      <c r="A381" s="10" t="s">
        <v>29</v>
      </c>
      <c r="B381" s="10" t="s">
        <v>26</v>
      </c>
      <c r="C381" s="10" t="s">
        <v>21</v>
      </c>
      <c r="D381" s="10">
        <v>0</v>
      </c>
      <c r="E381" s="10">
        <v>9</v>
      </c>
      <c r="F381" s="10">
        <f t="shared" si="35"/>
        <v>-0.17663862636467328</v>
      </c>
      <c r="G381" s="10">
        <f t="shared" si="36"/>
        <v>11.403713095996656</v>
      </c>
      <c r="H381" s="10">
        <f t="shared" si="37"/>
        <v>0.96210988912931938</v>
      </c>
      <c r="I381" s="10">
        <v>0.68793082701596964</v>
      </c>
      <c r="J381" s="10">
        <f t="shared" si="38"/>
        <v>-10.211657344715926</v>
      </c>
      <c r="K381" s="10">
        <f t="shared" si="40"/>
        <v>0.86046511627906974</v>
      </c>
      <c r="L381" s="10"/>
      <c r="M381" s="95">
        <v>37</v>
      </c>
      <c r="N381" s="95">
        <v>43</v>
      </c>
      <c r="O381" s="37">
        <v>-34689</v>
      </c>
      <c r="P381" s="47"/>
      <c r="Q381" s="96">
        <v>38645</v>
      </c>
      <c r="R381" s="96">
        <v>89654</v>
      </c>
      <c r="S381" s="96">
        <v>196384</v>
      </c>
      <c r="T381" s="96">
        <f>R381-W381</f>
        <v>3397</v>
      </c>
      <c r="U381" s="96"/>
      <c r="V381" s="96"/>
      <c r="W381" s="96">
        <v>86257</v>
      </c>
    </row>
    <row r="382" spans="1:23">
      <c r="A382" s="10" t="s">
        <v>34</v>
      </c>
      <c r="B382" s="10" t="s">
        <v>26</v>
      </c>
      <c r="C382" s="10" t="s">
        <v>21</v>
      </c>
      <c r="D382" s="10">
        <v>0</v>
      </c>
      <c r="E382" s="10">
        <v>13</v>
      </c>
      <c r="F382" s="10">
        <f t="shared" si="35"/>
        <v>-1.9844705750914727E-2</v>
      </c>
      <c r="G382" s="10">
        <f t="shared" si="36"/>
        <v>11.444871438344773</v>
      </c>
      <c r="H382" s="10">
        <f t="shared" si="37"/>
        <v>0.97220111109921747</v>
      </c>
      <c r="I382" s="10">
        <v>0.60274861785706291</v>
      </c>
      <c r="J382" s="10">
        <f t="shared" si="38"/>
        <v>-1.0943396226415094</v>
      </c>
      <c r="K382" s="10">
        <f t="shared" si="40"/>
        <v>0.71698113207547165</v>
      </c>
      <c r="L382" s="10"/>
      <c r="M382" s="95">
        <v>38</v>
      </c>
      <c r="N382" s="95">
        <v>53</v>
      </c>
      <c r="O382" s="37">
        <v>-2842</v>
      </c>
      <c r="P382" s="47"/>
      <c r="Q382" s="96">
        <v>77231</v>
      </c>
      <c r="R382" s="96">
        <v>93421</v>
      </c>
      <c r="S382" s="96">
        <v>143212</v>
      </c>
      <c r="T382" s="96">
        <f>R382-W382</f>
        <v>2597</v>
      </c>
      <c r="U382" s="96"/>
      <c r="V382" s="96"/>
      <c r="W382" s="96">
        <v>90824</v>
      </c>
    </row>
    <row r="383" spans="1:23">
      <c r="A383" s="10" t="s">
        <v>35</v>
      </c>
      <c r="B383" s="10" t="s">
        <v>26</v>
      </c>
      <c r="C383" s="10" t="s">
        <v>21</v>
      </c>
      <c r="D383" s="10">
        <v>0</v>
      </c>
      <c r="E383" s="10">
        <v>7</v>
      </c>
      <c r="F383" s="10">
        <f t="shared" si="35"/>
        <v>-0.39530644195307491</v>
      </c>
      <c r="G383" s="10">
        <f t="shared" si="36"/>
        <v>12.13861787627158</v>
      </c>
      <c r="H383" s="10">
        <f t="shared" si="37"/>
        <v>0.74593215443371097</v>
      </c>
      <c r="I383" s="10">
        <v>2.0011194324004729</v>
      </c>
      <c r="J383" s="10">
        <f t="shared" si="38"/>
        <v>-1.5841386134444935</v>
      </c>
      <c r="K383" s="10">
        <f t="shared" si="40"/>
        <v>0.70909090909090911</v>
      </c>
      <c r="L383" s="10"/>
      <c r="M383" s="95">
        <v>39</v>
      </c>
      <c r="N383" s="95">
        <v>55</v>
      </c>
      <c r="O383" s="37">
        <v>-75245</v>
      </c>
      <c r="P383" s="47"/>
      <c r="Q383" s="96">
        <v>45679</v>
      </c>
      <c r="R383" s="96">
        <v>186954</v>
      </c>
      <c r="S383" s="96">
        <v>190346</v>
      </c>
      <c r="T383" s="96">
        <f>R383-W383</f>
        <v>47499</v>
      </c>
      <c r="U383" s="96"/>
      <c r="V383" s="96"/>
      <c r="W383" s="96">
        <v>139455</v>
      </c>
    </row>
    <row r="384" spans="1:23" ht="18">
      <c r="A384" s="10" t="s">
        <v>46</v>
      </c>
      <c r="B384" s="10" t="s">
        <v>26</v>
      </c>
      <c r="C384" s="10" t="s">
        <v>21</v>
      </c>
      <c r="D384" s="10">
        <v>0</v>
      </c>
      <c r="E384" s="10">
        <v>17</v>
      </c>
      <c r="F384" s="10">
        <f t="shared" si="35"/>
        <v>-0.11272769373263353</v>
      </c>
      <c r="G384" s="10">
        <f t="shared" si="36"/>
        <v>11.936505502503564</v>
      </c>
      <c r="H384" s="10">
        <f t="shared" si="37"/>
        <v>0.98397297403464667</v>
      </c>
      <c r="I384" s="10">
        <v>-2.9930928626247123E-2</v>
      </c>
      <c r="J384" s="10">
        <f t="shared" si="38"/>
        <v>-2.386437908496732</v>
      </c>
      <c r="K384" s="10">
        <f t="shared" si="40"/>
        <v>0.83720930232558144</v>
      </c>
      <c r="L384" s="10"/>
      <c r="M384" s="95">
        <v>36</v>
      </c>
      <c r="N384" s="95">
        <v>43</v>
      </c>
      <c r="O384" s="102">
        <v>-5842</v>
      </c>
      <c r="P384" s="101"/>
      <c r="Q384" s="103">
        <v>51276</v>
      </c>
      <c r="R384" s="103">
        <v>152742</v>
      </c>
      <c r="S384" s="103">
        <v>51824</v>
      </c>
      <c r="T384" s="103">
        <f>R384-W384</f>
        <v>2448</v>
      </c>
      <c r="U384" s="103"/>
      <c r="V384" s="103"/>
      <c r="W384" s="103">
        <v>150294</v>
      </c>
    </row>
    <row r="385" spans="1:23" ht="17">
      <c r="A385" s="10" t="s">
        <v>47</v>
      </c>
      <c r="B385" s="10" t="s">
        <v>26</v>
      </c>
      <c r="C385" s="10" t="s">
        <v>21</v>
      </c>
      <c r="D385" s="10">
        <v>1</v>
      </c>
      <c r="E385" s="10">
        <v>3</v>
      </c>
      <c r="F385" s="10">
        <f t="shared" si="35"/>
        <v>-0.43393517388937897</v>
      </c>
      <c r="G385" s="10">
        <f t="shared" si="36"/>
        <v>12.067643564500559</v>
      </c>
      <c r="H385" s="10">
        <f t="shared" si="37"/>
        <v>1.7080306641017542</v>
      </c>
      <c r="I385" s="10">
        <v>0.62221985416127512</v>
      </c>
      <c r="J385" s="10">
        <f t="shared" si="38"/>
        <v>0.37502838605028388</v>
      </c>
      <c r="K385" s="10">
        <f t="shared" si="40"/>
        <v>1.5652173913043479</v>
      </c>
      <c r="L385" s="10"/>
      <c r="M385" s="95">
        <v>72</v>
      </c>
      <c r="N385" s="95">
        <v>46</v>
      </c>
      <c r="O385" s="97">
        <v>-46241</v>
      </c>
      <c r="P385" s="98">
        <v>344</v>
      </c>
      <c r="Q385" s="99">
        <v>151295</v>
      </c>
      <c r="R385" s="99">
        <v>174145</v>
      </c>
      <c r="S385" s="99">
        <v>106562</v>
      </c>
      <c r="T385" s="99">
        <v>-123300</v>
      </c>
      <c r="U385" s="99">
        <v>54089</v>
      </c>
      <c r="V385" s="99">
        <v>243356</v>
      </c>
      <c r="W385" s="96">
        <f>U385+V385</f>
        <v>297445</v>
      </c>
    </row>
    <row r="386" spans="1:23" ht="17">
      <c r="A386" s="10" t="s">
        <v>53</v>
      </c>
      <c r="B386" s="10" t="s">
        <v>26</v>
      </c>
      <c r="C386" s="10" t="s">
        <v>21</v>
      </c>
      <c r="D386" s="10">
        <v>0</v>
      </c>
      <c r="E386" s="10">
        <v>16</v>
      </c>
      <c r="F386" s="10">
        <f t="shared" ref="F386:F407" si="41">O386/S386</f>
        <v>-0.18454544474044673</v>
      </c>
      <c r="G386" s="10">
        <f t="shared" ref="G386:G407" si="42">LN(R386)</f>
        <v>11.402474235812649</v>
      </c>
      <c r="H386" s="10">
        <f t="shared" ref="H386:H407" si="43">W386/R386</f>
        <v>0.97100834236065359</v>
      </c>
      <c r="I386" s="10">
        <v>1.5432026E-2</v>
      </c>
      <c r="J386" s="10">
        <f t="shared" si="38"/>
        <v>-13.182203389830509</v>
      </c>
      <c r="K386" s="10">
        <f t="shared" si="40"/>
        <v>0.7567567567567568</v>
      </c>
      <c r="L386" s="10"/>
      <c r="M386" s="95">
        <v>28</v>
      </c>
      <c r="N386" s="95">
        <v>37</v>
      </c>
      <c r="O386" s="104">
        <v>-34221</v>
      </c>
      <c r="P386" s="101"/>
      <c r="Q386" s="103">
        <v>79324</v>
      </c>
      <c r="R386" s="103">
        <v>89543</v>
      </c>
      <c r="S386" s="103">
        <v>185434</v>
      </c>
      <c r="T386" s="103">
        <f>R386-W386</f>
        <v>2596</v>
      </c>
      <c r="U386" s="103"/>
      <c r="V386" s="103"/>
      <c r="W386" s="96">
        <v>86947</v>
      </c>
    </row>
    <row r="387" spans="1:23" ht="17">
      <c r="A387" s="10" t="s">
        <v>70</v>
      </c>
      <c r="B387" s="10" t="s">
        <v>26</v>
      </c>
      <c r="C387" s="10" t="s">
        <v>21</v>
      </c>
      <c r="D387" s="10">
        <v>1</v>
      </c>
      <c r="E387" s="10">
        <v>6</v>
      </c>
      <c r="F387" s="10">
        <f t="shared" si="41"/>
        <v>-0.23019127196968017</v>
      </c>
      <c r="G387" s="10">
        <f t="shared" si="42"/>
        <v>12.610026612439386</v>
      </c>
      <c r="H387" s="10">
        <f t="shared" si="43"/>
        <v>1.327557945831539</v>
      </c>
      <c r="I387" s="10">
        <v>0.87727279031385652</v>
      </c>
      <c r="J387" s="10">
        <f t="shared" ref="J387:J407" si="44">O387/T387</f>
        <v>0.31755317522600107</v>
      </c>
      <c r="K387" s="10">
        <f t="shared" si="40"/>
        <v>1</v>
      </c>
      <c r="L387" s="10"/>
      <c r="M387" s="95">
        <v>44</v>
      </c>
      <c r="N387" s="95">
        <v>44</v>
      </c>
      <c r="O387" s="97">
        <v>-31158</v>
      </c>
      <c r="P387" s="98">
        <v>564</v>
      </c>
      <c r="Q387" s="99">
        <v>145967</v>
      </c>
      <c r="R387" s="99">
        <v>299547</v>
      </c>
      <c r="S387" s="99">
        <v>135357</v>
      </c>
      <c r="T387" s="99">
        <v>-98119</v>
      </c>
      <c r="U387" s="99">
        <v>180174</v>
      </c>
      <c r="V387" s="99">
        <v>217492</v>
      </c>
      <c r="W387" s="96">
        <f>U387+V387</f>
        <v>397666</v>
      </c>
    </row>
    <row r="388" spans="1:23" ht="17">
      <c r="A388" s="10" t="s">
        <v>73</v>
      </c>
      <c r="B388" s="10" t="s">
        <v>26</v>
      </c>
      <c r="C388" s="10" t="s">
        <v>21</v>
      </c>
      <c r="D388" s="10">
        <v>1</v>
      </c>
      <c r="E388" s="10">
        <v>1</v>
      </c>
      <c r="F388" s="10">
        <f t="shared" si="41"/>
        <v>2.7842758953334136E-2</v>
      </c>
      <c r="G388" s="10">
        <f t="shared" si="42"/>
        <v>12.287417581858879</v>
      </c>
      <c r="H388" s="10">
        <f t="shared" si="43"/>
        <v>1.1905102120774929</v>
      </c>
      <c r="I388" s="10">
        <v>0.37510778006234663</v>
      </c>
      <c r="J388" s="10">
        <f t="shared" si="44"/>
        <v>-0.11173211390965619</v>
      </c>
      <c r="K388" s="10">
        <f t="shared" si="40"/>
        <v>2</v>
      </c>
      <c r="L388" s="10"/>
      <c r="M388" s="95">
        <v>72</v>
      </c>
      <c r="N388" s="95">
        <v>36</v>
      </c>
      <c r="O388" s="97">
        <v>4618</v>
      </c>
      <c r="P388" s="98">
        <v>534</v>
      </c>
      <c r="Q388" s="99">
        <v>93734</v>
      </c>
      <c r="R388" s="99">
        <v>216949</v>
      </c>
      <c r="S388" s="99">
        <v>165860</v>
      </c>
      <c r="T388" s="99">
        <v>-41331</v>
      </c>
      <c r="U388" s="99">
        <v>63205</v>
      </c>
      <c r="V388" s="99">
        <v>195075</v>
      </c>
      <c r="W388" s="96">
        <f>U388+V388</f>
        <v>258280</v>
      </c>
    </row>
    <row r="389" spans="1:23" ht="17">
      <c r="A389" s="10" t="s">
        <v>82</v>
      </c>
      <c r="B389" s="10" t="s">
        <v>26</v>
      </c>
      <c r="C389" s="10" t="s">
        <v>21</v>
      </c>
      <c r="D389" s="10">
        <v>0</v>
      </c>
      <c r="E389" s="10">
        <v>2</v>
      </c>
      <c r="F389" s="10">
        <f t="shared" si="41"/>
        <v>0.18581696379838325</v>
      </c>
      <c r="G389" s="10">
        <f t="shared" si="42"/>
        <v>12.156593494063495</v>
      </c>
      <c r="H389" s="10">
        <f t="shared" si="43"/>
        <v>0.75436707031968264</v>
      </c>
      <c r="I389" s="10">
        <v>0.21216109869140393</v>
      </c>
      <c r="J389" s="10">
        <f t="shared" si="44"/>
        <v>0.69173350443802806</v>
      </c>
      <c r="K389" s="10">
        <f t="shared" si="40"/>
        <v>2.2272727272727271</v>
      </c>
      <c r="L389" s="10"/>
      <c r="M389" s="95">
        <v>49</v>
      </c>
      <c r="N389" s="95">
        <v>22</v>
      </c>
      <c r="O389" s="104">
        <v>32342</v>
      </c>
      <c r="P389" s="101"/>
      <c r="Q389" s="103">
        <v>62839</v>
      </c>
      <c r="R389" s="103">
        <v>190345</v>
      </c>
      <c r="S389" s="103">
        <v>174053</v>
      </c>
      <c r="T389" s="103">
        <f>R389-W389</f>
        <v>46755</v>
      </c>
      <c r="U389" s="103"/>
      <c r="V389" s="103"/>
      <c r="W389" s="96">
        <v>143590</v>
      </c>
    </row>
    <row r="390" spans="1:23" ht="18">
      <c r="A390" s="10" t="s">
        <v>85</v>
      </c>
      <c r="B390" s="10" t="s">
        <v>26</v>
      </c>
      <c r="C390" s="10" t="s">
        <v>21</v>
      </c>
      <c r="D390" s="10">
        <v>0</v>
      </c>
      <c r="E390" s="10">
        <v>14</v>
      </c>
      <c r="F390" s="10">
        <f t="shared" si="41"/>
        <v>-0.17429126801807487</v>
      </c>
      <c r="G390" s="10">
        <f t="shared" si="42"/>
        <v>11.971830229049701</v>
      </c>
      <c r="H390" s="10">
        <f t="shared" si="43"/>
        <v>1.2559563684163959</v>
      </c>
      <c r="I390" s="10">
        <v>1.1816689797986473</v>
      </c>
      <c r="J390" s="10">
        <f t="shared" si="44"/>
        <v>0.85234932470803193</v>
      </c>
      <c r="K390" s="10">
        <f t="shared" si="40"/>
        <v>0.85483870967741937</v>
      </c>
      <c r="L390" s="10"/>
      <c r="M390" s="95">
        <v>53</v>
      </c>
      <c r="N390" s="95">
        <v>62</v>
      </c>
      <c r="O390" s="104">
        <v>-34521</v>
      </c>
      <c r="P390" s="101"/>
      <c r="Q390" s="39">
        <v>54376</v>
      </c>
      <c r="R390" s="96">
        <v>158234</v>
      </c>
      <c r="S390" s="48">
        <v>198065</v>
      </c>
      <c r="T390" s="103">
        <f>R390-W390</f>
        <v>-40501</v>
      </c>
      <c r="U390" s="103"/>
      <c r="V390" s="103"/>
      <c r="W390" s="96">
        <v>198735</v>
      </c>
    </row>
    <row r="391" spans="1:23" ht="18">
      <c r="A391" s="10" t="s">
        <v>86</v>
      </c>
      <c r="B391" s="10" t="s">
        <v>26</v>
      </c>
      <c r="C391" s="10" t="s">
        <v>21</v>
      </c>
      <c r="D391" s="10">
        <v>0</v>
      </c>
      <c r="E391" s="10">
        <v>12</v>
      </c>
      <c r="F391" s="10">
        <f t="shared" si="41"/>
        <v>0.11011253722689297</v>
      </c>
      <c r="G391" s="10">
        <f t="shared" si="42"/>
        <v>11.809572234182591</v>
      </c>
      <c r="H391" s="10">
        <f t="shared" si="43"/>
        <v>1.3776591790922741</v>
      </c>
      <c r="I391" s="10">
        <v>0.68413499238041697</v>
      </c>
      <c r="J391" s="10">
        <f t="shared" si="44"/>
        <v>-0.24669343410486538</v>
      </c>
      <c r="K391" s="10">
        <f t="shared" si="40"/>
        <v>0.7</v>
      </c>
      <c r="L391" s="10"/>
      <c r="M391" s="95">
        <v>35</v>
      </c>
      <c r="N391" s="95">
        <v>50</v>
      </c>
      <c r="O391" s="37">
        <v>12534</v>
      </c>
      <c r="P391" s="38"/>
      <c r="Q391" s="39">
        <v>98072</v>
      </c>
      <c r="R391" s="96">
        <v>134534</v>
      </c>
      <c r="S391" s="48">
        <v>113829</v>
      </c>
      <c r="T391" s="103">
        <f>R391-W391</f>
        <v>-50808</v>
      </c>
      <c r="U391" s="39"/>
      <c r="V391" s="39"/>
      <c r="W391" s="96">
        <v>185342</v>
      </c>
    </row>
    <row r="392" spans="1:23" ht="18">
      <c r="A392" s="10" t="s">
        <v>87</v>
      </c>
      <c r="B392" s="10" t="s">
        <v>26</v>
      </c>
      <c r="C392" s="10" t="s">
        <v>21</v>
      </c>
      <c r="D392" s="10">
        <v>0</v>
      </c>
      <c r="E392" s="10">
        <v>8</v>
      </c>
      <c r="F392" s="10">
        <f t="shared" si="41"/>
        <v>-0.39419867646827661</v>
      </c>
      <c r="G392" s="10">
        <f t="shared" si="42"/>
        <v>11.938774730599494</v>
      </c>
      <c r="H392" s="10">
        <f t="shared" si="43"/>
        <v>1.166987830608339</v>
      </c>
      <c r="I392" s="10">
        <v>1.24189876299613</v>
      </c>
      <c r="J392" s="10">
        <f t="shared" si="44"/>
        <v>2.9429666718823344</v>
      </c>
      <c r="K392" s="10">
        <f t="shared" si="40"/>
        <v>1.0526315789473684</v>
      </c>
      <c r="L392" s="10"/>
      <c r="M392" s="95">
        <v>40</v>
      </c>
      <c r="N392" s="95">
        <v>38</v>
      </c>
      <c r="O392" s="37">
        <v>-75234</v>
      </c>
      <c r="P392" s="38"/>
      <c r="Q392" s="39">
        <v>98523</v>
      </c>
      <c r="R392" s="96">
        <v>153089</v>
      </c>
      <c r="S392" s="48">
        <v>190853</v>
      </c>
      <c r="T392" s="103">
        <f>R392-W392</f>
        <v>-25564</v>
      </c>
      <c r="U392" s="39"/>
      <c r="V392" s="39"/>
      <c r="W392" s="96">
        <v>178653</v>
      </c>
    </row>
    <row r="393" spans="1:23" ht="17">
      <c r="A393" s="10" t="s">
        <v>129</v>
      </c>
      <c r="B393" s="10" t="s">
        <v>26</v>
      </c>
      <c r="C393" s="10" t="s">
        <v>21</v>
      </c>
      <c r="D393" s="10">
        <v>1</v>
      </c>
      <c r="E393" s="10">
        <v>4</v>
      </c>
      <c r="F393" s="10">
        <f t="shared" si="41"/>
        <v>-0.15988022993290954</v>
      </c>
      <c r="G393" s="10">
        <f t="shared" si="42"/>
        <v>11.382372489597046</v>
      </c>
      <c r="H393" s="10">
        <f t="shared" si="43"/>
        <v>1.89677647246499</v>
      </c>
      <c r="I393" s="10">
        <v>0.14881445100527932</v>
      </c>
      <c r="J393" s="10">
        <f t="shared" si="44"/>
        <v>0.12687098167772101</v>
      </c>
      <c r="K393" s="10">
        <f t="shared" si="40"/>
        <v>1.3913043478260869</v>
      </c>
      <c r="L393" s="10"/>
      <c r="M393" s="95">
        <v>64</v>
      </c>
      <c r="N393" s="95">
        <v>46</v>
      </c>
      <c r="O393" s="97">
        <v>-9985</v>
      </c>
      <c r="P393" s="98">
        <v>86</v>
      </c>
      <c r="Q393" s="99">
        <v>43034</v>
      </c>
      <c r="R393" s="99">
        <v>87761</v>
      </c>
      <c r="S393" s="99">
        <v>62453</v>
      </c>
      <c r="T393" s="99">
        <v>-78702</v>
      </c>
      <c r="U393" s="99">
        <v>71931</v>
      </c>
      <c r="V393" s="99">
        <v>94532</v>
      </c>
      <c r="W393" s="96">
        <f>U393+V393</f>
        <v>166463</v>
      </c>
    </row>
    <row r="394" spans="1:23">
      <c r="A394" s="10" t="s">
        <v>27</v>
      </c>
      <c r="B394" s="10" t="s">
        <v>26</v>
      </c>
      <c r="C394" s="10" t="s">
        <v>20</v>
      </c>
      <c r="D394" s="10">
        <v>0</v>
      </c>
      <c r="E394" s="10">
        <v>11</v>
      </c>
      <c r="F394" s="10">
        <f t="shared" si="41"/>
        <v>-6.097560975609756E-2</v>
      </c>
      <c r="G394" s="10">
        <f t="shared" si="42"/>
        <v>11.941019268638666</v>
      </c>
      <c r="H394" s="10">
        <f t="shared" si="43"/>
        <v>0.88785333011803202</v>
      </c>
      <c r="I394" s="10">
        <v>-3.6249629999999998E-2</v>
      </c>
      <c r="J394" s="10">
        <f t="shared" si="44"/>
        <v>-0.31062939501365722</v>
      </c>
      <c r="K394" s="10">
        <f t="shared" si="40"/>
        <v>0.83018867924528306</v>
      </c>
      <c r="L394" s="10"/>
      <c r="M394" s="95">
        <v>44</v>
      </c>
      <c r="N394" s="95">
        <v>53</v>
      </c>
      <c r="O394" s="37">
        <v>-5345</v>
      </c>
      <c r="P394" s="47"/>
      <c r="Q394" s="96">
        <v>65437</v>
      </c>
      <c r="R394" s="96">
        <v>153433</v>
      </c>
      <c r="S394" s="96">
        <v>87658</v>
      </c>
      <c r="T394" s="96">
        <f>R394-W394</f>
        <v>17207</v>
      </c>
      <c r="U394" s="96"/>
      <c r="V394" s="96"/>
      <c r="W394" s="96">
        <v>136226</v>
      </c>
    </row>
    <row r="395" spans="1:23">
      <c r="A395" s="10" t="s">
        <v>29</v>
      </c>
      <c r="B395" s="10" t="s">
        <v>26</v>
      </c>
      <c r="C395" s="10" t="s">
        <v>20</v>
      </c>
      <c r="D395" s="10">
        <v>0</v>
      </c>
      <c r="E395" s="10">
        <v>12</v>
      </c>
      <c r="F395" s="10">
        <f t="shared" si="41"/>
        <v>6.9697066734981425E-2</v>
      </c>
      <c r="G395" s="10">
        <f t="shared" si="42"/>
        <v>12.489132803371254</v>
      </c>
      <c r="H395" s="10">
        <f t="shared" si="43"/>
        <v>0.95946307410044573</v>
      </c>
      <c r="I395" s="10">
        <v>-0.68197001792406708</v>
      </c>
      <c r="J395" s="10">
        <f t="shared" si="44"/>
        <v>0.40455390334572489</v>
      </c>
      <c r="K395" s="10">
        <f t="shared" si="40"/>
        <v>0.93220338983050843</v>
      </c>
      <c r="L395" s="10"/>
      <c r="M395" s="95">
        <v>55</v>
      </c>
      <c r="N395" s="95">
        <v>59</v>
      </c>
      <c r="O395" s="37">
        <v>4353</v>
      </c>
      <c r="P395" s="47"/>
      <c r="Q395" s="96">
        <v>26361</v>
      </c>
      <c r="R395" s="96">
        <v>265437</v>
      </c>
      <c r="S395" s="96">
        <v>62456</v>
      </c>
      <c r="T395" s="96">
        <f>R395-W395</f>
        <v>10760</v>
      </c>
      <c r="U395" s="96"/>
      <c r="V395" s="96"/>
      <c r="W395" s="96">
        <v>254677</v>
      </c>
    </row>
    <row r="396" spans="1:23">
      <c r="A396" s="10" t="s">
        <v>35</v>
      </c>
      <c r="B396" s="10" t="s">
        <v>26</v>
      </c>
      <c r="C396" s="10" t="s">
        <v>20</v>
      </c>
      <c r="D396" s="10">
        <v>0</v>
      </c>
      <c r="E396" s="10">
        <v>14</v>
      </c>
      <c r="F396" s="10">
        <f t="shared" si="41"/>
        <v>3.3946297980320513E-2</v>
      </c>
      <c r="G396" s="10">
        <f t="shared" si="42"/>
        <v>12.016315513233597</v>
      </c>
      <c r="H396" s="10">
        <f t="shared" si="43"/>
        <v>1.0436553991972533</v>
      </c>
      <c r="I396" s="10">
        <v>-3.5214819329011382E-2</v>
      </c>
      <c r="J396" s="10">
        <f t="shared" si="44"/>
        <v>-0.86319579063971197</v>
      </c>
      <c r="K396" s="10">
        <f t="shared" si="40"/>
        <v>0.67796610169491522</v>
      </c>
      <c r="L396" s="10"/>
      <c r="M396" s="95">
        <v>40</v>
      </c>
      <c r="N396" s="95">
        <v>59</v>
      </c>
      <c r="O396" s="37">
        <v>6234</v>
      </c>
      <c r="P396" s="47"/>
      <c r="Q396" s="96">
        <v>69572</v>
      </c>
      <c r="R396" s="96">
        <v>165432</v>
      </c>
      <c r="S396" s="96">
        <v>183643</v>
      </c>
      <c r="T396" s="96">
        <f>R396-W396</f>
        <v>-7222</v>
      </c>
      <c r="U396" s="96"/>
      <c r="V396" s="96"/>
      <c r="W396" s="96">
        <v>172654</v>
      </c>
    </row>
    <row r="397" spans="1:23" ht="17">
      <c r="A397" s="10" t="s">
        <v>47</v>
      </c>
      <c r="B397" s="10" t="s">
        <v>26</v>
      </c>
      <c r="C397" s="10" t="s">
        <v>20</v>
      </c>
      <c r="D397" s="10">
        <v>1</v>
      </c>
      <c r="E397" s="10">
        <v>4</v>
      </c>
      <c r="F397" s="10">
        <f t="shared" si="41"/>
        <v>1.1037680357081071E-2</v>
      </c>
      <c r="G397" s="10">
        <f t="shared" si="42"/>
        <v>12.10903297101169</v>
      </c>
      <c r="H397" s="10">
        <f t="shared" si="43"/>
        <v>1.5342086124823695</v>
      </c>
      <c r="I397" s="10">
        <v>0.62727801655374338</v>
      </c>
      <c r="J397" s="10">
        <f t="shared" si="44"/>
        <v>-1.973989542187065E-2</v>
      </c>
      <c r="K397" s="10">
        <f t="shared" si="40"/>
        <v>2.2999999999999998</v>
      </c>
      <c r="L397" s="10"/>
      <c r="M397" s="95">
        <v>69</v>
      </c>
      <c r="N397" s="95">
        <v>30</v>
      </c>
      <c r="O397" s="97">
        <v>1914</v>
      </c>
      <c r="P397" s="98">
        <v>345</v>
      </c>
      <c r="Q397" s="99">
        <v>88552</v>
      </c>
      <c r="R397" s="99">
        <v>181504</v>
      </c>
      <c r="S397" s="99">
        <v>173406</v>
      </c>
      <c r="T397" s="99">
        <v>-96961</v>
      </c>
      <c r="U397" s="99">
        <v>81897</v>
      </c>
      <c r="V397" s="99">
        <v>196568</v>
      </c>
      <c r="W397" s="96">
        <f>U397+V397</f>
        <v>278465</v>
      </c>
    </row>
    <row r="398" spans="1:23" ht="18">
      <c r="A398" s="10" t="s">
        <v>53</v>
      </c>
      <c r="B398" s="10" t="s">
        <v>26</v>
      </c>
      <c r="C398" s="10" t="s">
        <v>20</v>
      </c>
      <c r="D398" s="10">
        <v>0</v>
      </c>
      <c r="E398" s="10">
        <v>13</v>
      </c>
      <c r="F398" s="10">
        <f t="shared" si="41"/>
        <v>5.8410117198715771E-2</v>
      </c>
      <c r="G398" s="10">
        <f t="shared" si="42"/>
        <v>11.271376060416618</v>
      </c>
      <c r="H398" s="10">
        <f t="shared" si="43"/>
        <v>1.8264727976470887</v>
      </c>
      <c r="I398" s="10">
        <v>-0.17359276076663396</v>
      </c>
      <c r="J398" s="10">
        <f t="shared" si="44"/>
        <v>-0.13789438008380578</v>
      </c>
      <c r="K398" s="10">
        <f t="shared" si="40"/>
        <v>0.89583333333333337</v>
      </c>
      <c r="L398" s="10"/>
      <c r="M398" s="95">
        <v>43</v>
      </c>
      <c r="N398" s="95">
        <v>48</v>
      </c>
      <c r="O398" s="37">
        <v>8951</v>
      </c>
      <c r="P398" s="38"/>
      <c r="Q398" s="39">
        <v>5746</v>
      </c>
      <c r="R398" s="96">
        <v>78541</v>
      </c>
      <c r="S398" s="48">
        <v>153244</v>
      </c>
      <c r="T398" s="39">
        <f>R398-W398</f>
        <v>-64912</v>
      </c>
      <c r="U398" s="39"/>
      <c r="V398" s="39"/>
      <c r="W398" s="96">
        <v>143453</v>
      </c>
    </row>
    <row r="399" spans="1:23" ht="17">
      <c r="A399" s="10" t="s">
        <v>70</v>
      </c>
      <c r="B399" s="10" t="s">
        <v>26</v>
      </c>
      <c r="C399" s="10" t="s">
        <v>20</v>
      </c>
      <c r="D399" s="10">
        <v>1</v>
      </c>
      <c r="E399" s="10">
        <v>2</v>
      </c>
      <c r="F399" s="10">
        <f t="shared" si="41"/>
        <v>-0.46389722676794637</v>
      </c>
      <c r="G399" s="10">
        <f t="shared" si="42"/>
        <v>12.339160189668528</v>
      </c>
      <c r="H399" s="10">
        <f t="shared" si="43"/>
        <v>1.7000919157876309</v>
      </c>
      <c r="I399" s="10">
        <v>-0.15578063934632122</v>
      </c>
      <c r="J399" s="10">
        <f t="shared" si="44"/>
        <v>0.33141399553613293</v>
      </c>
      <c r="K399" s="10">
        <f t="shared" si="40"/>
        <v>2.1666666666666665</v>
      </c>
      <c r="L399" s="10"/>
      <c r="M399" s="95">
        <v>78</v>
      </c>
      <c r="N399" s="95">
        <v>36</v>
      </c>
      <c r="O399" s="97">
        <v>-53010</v>
      </c>
      <c r="P399" s="98">
        <v>523</v>
      </c>
      <c r="Q399" s="99">
        <v>84905</v>
      </c>
      <c r="R399" s="99">
        <v>228470</v>
      </c>
      <c r="S399" s="99">
        <v>114271</v>
      </c>
      <c r="T399" s="99">
        <v>-159951</v>
      </c>
      <c r="U399" s="99">
        <v>241364</v>
      </c>
      <c r="V399" s="99">
        <v>147056</v>
      </c>
      <c r="W399" s="96">
        <f>U399+V399</f>
        <v>388420</v>
      </c>
    </row>
    <row r="400" spans="1:23" ht="17">
      <c r="A400" s="10" t="s">
        <v>73</v>
      </c>
      <c r="B400" s="10" t="s">
        <v>26</v>
      </c>
      <c r="C400" s="10" t="s">
        <v>20</v>
      </c>
      <c r="D400" s="10">
        <v>1</v>
      </c>
      <c r="E400" s="10">
        <v>1</v>
      </c>
      <c r="F400" s="10">
        <f t="shared" si="41"/>
        <v>-0.36105107119491853</v>
      </c>
      <c r="G400" s="10">
        <f t="shared" si="42"/>
        <v>12.147404857864331</v>
      </c>
      <c r="H400" s="10">
        <f t="shared" si="43"/>
        <v>1.3188055396492122</v>
      </c>
      <c r="I400" s="10">
        <v>-0.27195827806583867</v>
      </c>
      <c r="J400" s="10">
        <f t="shared" si="44"/>
        <v>0.72508648217136773</v>
      </c>
      <c r="K400" s="10">
        <f t="shared" si="40"/>
        <v>2.2727272727272729</v>
      </c>
      <c r="L400" s="10"/>
      <c r="M400" s="95">
        <v>75</v>
      </c>
      <c r="N400" s="95">
        <v>33</v>
      </c>
      <c r="O400" s="97">
        <v>-43598</v>
      </c>
      <c r="P400" s="98">
        <v>568</v>
      </c>
      <c r="Q400" s="99">
        <v>99728</v>
      </c>
      <c r="R400" s="99">
        <v>188604</v>
      </c>
      <c r="S400" s="99">
        <v>120753</v>
      </c>
      <c r="T400" s="99">
        <v>-60128</v>
      </c>
      <c r="U400" s="99">
        <v>43043</v>
      </c>
      <c r="V400" s="99">
        <v>205689</v>
      </c>
      <c r="W400" s="96">
        <f>U400+V400</f>
        <v>248732</v>
      </c>
    </row>
    <row r="401" spans="1:23" ht="18">
      <c r="A401" s="10" t="s">
        <v>82</v>
      </c>
      <c r="B401" s="10" t="s">
        <v>26</v>
      </c>
      <c r="C401" s="10" t="s">
        <v>20</v>
      </c>
      <c r="D401" s="10">
        <v>0</v>
      </c>
      <c r="E401" s="10">
        <v>3</v>
      </c>
      <c r="F401" s="10">
        <f t="shared" si="41"/>
        <v>-1.8106304887290668E-2</v>
      </c>
      <c r="G401" s="10">
        <f t="shared" si="42"/>
        <v>12.368552824277147</v>
      </c>
      <c r="H401" s="10">
        <f t="shared" si="43"/>
        <v>1.0070552733918439</v>
      </c>
      <c r="I401" s="10">
        <v>-0.22670680769650622</v>
      </c>
      <c r="J401" s="10">
        <f t="shared" si="44"/>
        <v>1.4680722891566265</v>
      </c>
      <c r="K401" s="10">
        <f t="shared" si="40"/>
        <v>1.8235294117647058</v>
      </c>
      <c r="L401" s="10"/>
      <c r="M401" s="95">
        <v>62</v>
      </c>
      <c r="N401" s="95">
        <v>34</v>
      </c>
      <c r="O401" s="37">
        <v>-2437</v>
      </c>
      <c r="P401" s="38"/>
      <c r="Q401" s="39">
        <v>54389</v>
      </c>
      <c r="R401" s="96">
        <v>235285</v>
      </c>
      <c r="S401" s="48">
        <v>134594</v>
      </c>
      <c r="T401" s="39">
        <f t="shared" ref="T401:T406" si="45">R401-W401</f>
        <v>-1660</v>
      </c>
      <c r="U401" s="39"/>
      <c r="V401" s="39"/>
      <c r="W401" s="96">
        <v>236945</v>
      </c>
    </row>
    <row r="402" spans="1:23" ht="18">
      <c r="A402" s="10" t="s">
        <v>84</v>
      </c>
      <c r="B402" s="10" t="s">
        <v>26</v>
      </c>
      <c r="C402" s="10" t="s">
        <v>20</v>
      </c>
      <c r="D402" s="10">
        <v>0</v>
      </c>
      <c r="E402" s="10">
        <v>18</v>
      </c>
      <c r="F402" s="10">
        <f t="shared" si="41"/>
        <v>-3.4882784177878032E-2</v>
      </c>
      <c r="G402" s="10">
        <f t="shared" si="42"/>
        <v>11.475763431281461</v>
      </c>
      <c r="H402" s="10">
        <f t="shared" si="43"/>
        <v>1.3962657754898704</v>
      </c>
      <c r="I402" s="10">
        <v>0.62340932000000004</v>
      </c>
      <c r="J402" s="10">
        <f t="shared" si="44"/>
        <v>0.1247479112647652</v>
      </c>
      <c r="K402" s="10">
        <f t="shared" si="40"/>
        <v>0.23255813953488372</v>
      </c>
      <c r="L402" s="10"/>
      <c r="M402" s="95">
        <v>20</v>
      </c>
      <c r="N402" s="95">
        <v>86</v>
      </c>
      <c r="O402" s="37">
        <v>-4763</v>
      </c>
      <c r="P402" s="38"/>
      <c r="Q402" s="39">
        <v>24365</v>
      </c>
      <c r="R402" s="96">
        <v>96352</v>
      </c>
      <c r="S402" s="48">
        <v>136543</v>
      </c>
      <c r="T402" s="39">
        <f t="shared" si="45"/>
        <v>-38181</v>
      </c>
      <c r="U402" s="39"/>
      <c r="V402" s="39"/>
      <c r="W402" s="96">
        <v>134533</v>
      </c>
    </row>
    <row r="403" spans="1:23" ht="18">
      <c r="A403" s="10" t="s">
        <v>85</v>
      </c>
      <c r="B403" s="10" t="s">
        <v>26</v>
      </c>
      <c r="C403" s="10" t="s">
        <v>20</v>
      </c>
      <c r="D403" s="10">
        <v>0</v>
      </c>
      <c r="E403" s="10">
        <v>8</v>
      </c>
      <c r="F403" s="10">
        <f t="shared" si="41"/>
        <v>-0.38521085822350754</v>
      </c>
      <c r="G403" s="10">
        <f t="shared" si="42"/>
        <v>11.976238008747531</v>
      </c>
      <c r="H403" s="10">
        <f t="shared" si="43"/>
        <v>0.81385237804609489</v>
      </c>
      <c r="I403" s="10">
        <v>-0.31387675763007095</v>
      </c>
      <c r="J403" s="10">
        <f t="shared" si="44"/>
        <v>-1.7694439749873248</v>
      </c>
      <c r="K403" s="10">
        <f t="shared" si="40"/>
        <v>0.98275862068965514</v>
      </c>
      <c r="L403" s="10"/>
      <c r="M403" s="95">
        <v>57</v>
      </c>
      <c r="N403" s="95">
        <v>58</v>
      </c>
      <c r="O403" s="37">
        <v>-52349</v>
      </c>
      <c r="P403" s="38"/>
      <c r="Q403" s="39">
        <v>43893</v>
      </c>
      <c r="R403" s="96">
        <v>158933</v>
      </c>
      <c r="S403" s="48">
        <v>135897</v>
      </c>
      <c r="T403" s="39">
        <f t="shared" si="45"/>
        <v>29585</v>
      </c>
      <c r="U403" s="39"/>
      <c r="V403" s="39"/>
      <c r="W403" s="96">
        <v>129348</v>
      </c>
    </row>
    <row r="404" spans="1:23" ht="18">
      <c r="A404" s="10" t="s">
        <v>86</v>
      </c>
      <c r="B404" s="10" t="s">
        <v>26</v>
      </c>
      <c r="C404" s="10" t="s">
        <v>20</v>
      </c>
      <c r="D404" s="10">
        <v>0</v>
      </c>
      <c r="E404" s="10">
        <v>9</v>
      </c>
      <c r="F404" s="10">
        <f t="shared" si="41"/>
        <v>0.10859670077799657</v>
      </c>
      <c r="G404" s="10">
        <f t="shared" si="42"/>
        <v>12.232933637193799</v>
      </c>
      <c r="H404" s="10">
        <f t="shared" si="43"/>
        <v>0.56177565771861082</v>
      </c>
      <c r="I404" s="10">
        <v>8.8545098349278303E-2</v>
      </c>
      <c r="J404" s="10">
        <f t="shared" si="44"/>
        <v>0.14945963057169198</v>
      </c>
      <c r="K404" s="10">
        <f t="shared" si="40"/>
        <v>0.8</v>
      </c>
      <c r="L404" s="10"/>
      <c r="M404" s="95">
        <v>44</v>
      </c>
      <c r="N404" s="95">
        <v>55</v>
      </c>
      <c r="O404" s="37">
        <v>13456</v>
      </c>
      <c r="P404" s="38"/>
      <c r="Q404" s="39">
        <v>98035</v>
      </c>
      <c r="R404" s="96">
        <v>205445</v>
      </c>
      <c r="S404" s="96">
        <v>123908</v>
      </c>
      <c r="T404" s="39">
        <f t="shared" si="45"/>
        <v>90031</v>
      </c>
      <c r="U404" s="96"/>
      <c r="V404" s="96"/>
      <c r="W404" s="96">
        <v>115414</v>
      </c>
    </row>
    <row r="405" spans="1:23" ht="18">
      <c r="A405" s="10" t="s">
        <v>87</v>
      </c>
      <c r="B405" s="10" t="s">
        <v>26</v>
      </c>
      <c r="C405" s="10" t="s">
        <v>20</v>
      </c>
      <c r="D405" s="10">
        <v>0</v>
      </c>
      <c r="E405" s="10">
        <v>15</v>
      </c>
      <c r="F405" s="10">
        <f t="shared" si="41"/>
        <v>-0.35094333767765157</v>
      </c>
      <c r="G405" s="10">
        <f t="shared" si="42"/>
        <v>12.156015428988804</v>
      </c>
      <c r="H405" s="10">
        <f t="shared" si="43"/>
        <v>0.81707887612689567</v>
      </c>
      <c r="I405" s="10">
        <v>-0.32459012957616595</v>
      </c>
      <c r="J405" s="10">
        <f t="shared" si="44"/>
        <v>-1.3000172423702512</v>
      </c>
      <c r="K405" s="10">
        <f t="shared" si="40"/>
        <v>0.90476190476190477</v>
      </c>
      <c r="L405" s="10"/>
      <c r="M405" s="95">
        <v>38</v>
      </c>
      <c r="N405" s="95">
        <v>42</v>
      </c>
      <c r="O405" s="37">
        <v>-45238</v>
      </c>
      <c r="P405" s="38"/>
      <c r="Q405" s="39">
        <v>43290</v>
      </c>
      <c r="R405" s="96">
        <v>190235</v>
      </c>
      <c r="S405" s="99">
        <v>128904</v>
      </c>
      <c r="T405" s="39">
        <f t="shared" si="45"/>
        <v>34798</v>
      </c>
      <c r="U405" s="99"/>
      <c r="V405" s="96"/>
      <c r="W405" s="96">
        <v>155437</v>
      </c>
    </row>
    <row r="406" spans="1:23" ht="18">
      <c r="A406" s="10" t="s">
        <v>109</v>
      </c>
      <c r="B406" s="10" t="s">
        <v>26</v>
      </c>
      <c r="C406" s="10" t="s">
        <v>20</v>
      </c>
      <c r="D406" s="10">
        <v>0</v>
      </c>
      <c r="E406" s="10">
        <v>16</v>
      </c>
      <c r="F406" s="10">
        <f t="shared" si="41"/>
        <v>-0.54648514549484517</v>
      </c>
      <c r="G406" s="10">
        <f t="shared" si="42"/>
        <v>11.36828112305642</v>
      </c>
      <c r="H406" s="10">
        <f t="shared" si="43"/>
        <v>1.0901505783920584</v>
      </c>
      <c r="I406" s="10">
        <v>-0.48913641000000002</v>
      </c>
      <c r="J406" s="10">
        <f t="shared" si="44"/>
        <v>6.8900141007563134</v>
      </c>
      <c r="K406" s="10">
        <f t="shared" si="40"/>
        <v>0.81666666666666665</v>
      </c>
      <c r="L406" s="10"/>
      <c r="M406" s="95">
        <v>49</v>
      </c>
      <c r="N406" s="95">
        <v>60</v>
      </c>
      <c r="O406" s="37">
        <v>-53749</v>
      </c>
      <c r="P406" s="38"/>
      <c r="Q406" s="39">
        <v>22345</v>
      </c>
      <c r="R406" s="96">
        <v>86533</v>
      </c>
      <c r="S406" s="99">
        <v>98354</v>
      </c>
      <c r="T406" s="99">
        <f t="shared" si="45"/>
        <v>-7801</v>
      </c>
      <c r="U406" s="99"/>
      <c r="V406" s="96"/>
      <c r="W406" s="96">
        <v>94334</v>
      </c>
    </row>
    <row r="407" spans="1:23" ht="17">
      <c r="A407" s="10" t="s">
        <v>129</v>
      </c>
      <c r="B407" s="10" t="s">
        <v>26</v>
      </c>
      <c r="C407" s="10" t="s">
        <v>20</v>
      </c>
      <c r="D407" s="10">
        <v>1</v>
      </c>
      <c r="E407" s="10">
        <v>5</v>
      </c>
      <c r="F407" s="10">
        <f t="shared" si="41"/>
        <v>-1.2176298303899282</v>
      </c>
      <c r="G407" s="10">
        <f t="shared" si="42"/>
        <v>11.243201181892225</v>
      </c>
      <c r="H407" s="10">
        <f t="shared" si="43"/>
        <v>1.7942482222134915</v>
      </c>
      <c r="I407" s="10">
        <v>-0.26741709765743837</v>
      </c>
      <c r="J407" s="10">
        <f t="shared" si="44"/>
        <v>0.5034749523267269</v>
      </c>
      <c r="K407" s="10">
        <f t="shared" si="40"/>
        <v>1.2352941176470589</v>
      </c>
      <c r="L407" s="10"/>
      <c r="M407" s="95">
        <v>63</v>
      </c>
      <c r="N407" s="95">
        <v>51</v>
      </c>
      <c r="O407" s="97">
        <v>-55709</v>
      </c>
      <c r="P407" s="98">
        <v>96</v>
      </c>
      <c r="Q407" s="99">
        <v>30457</v>
      </c>
      <c r="R407" s="99">
        <v>76359</v>
      </c>
      <c r="S407" s="99">
        <v>45752</v>
      </c>
      <c r="T407" s="99">
        <v>-110649</v>
      </c>
      <c r="U407" s="99">
        <v>41068</v>
      </c>
      <c r="V407" s="99">
        <v>95939</v>
      </c>
      <c r="W407" s="96">
        <f>U407+V407</f>
        <v>137007</v>
      </c>
    </row>
    <row r="411" spans="1:23">
      <c r="K411" s="11"/>
      <c r="L411" s="11"/>
      <c r="M411" s="82"/>
      <c r="N411" s="82"/>
    </row>
  </sheetData>
  <autoFilter ref="A1:W1" xr:uid="{C71B6D1B-B7A7-7047-9947-DF507B2BB89B}"/>
  <mergeCells count="1">
    <mergeCell ref="AF193:AO193"/>
  </mergeCells>
  <dataValidations count="2">
    <dataValidation allowBlank="1" showInputMessage="1" showErrorMessage="1" promptTitle="NOO" sqref="O1:W6 A1:E6 F1:J407 K1:N1 K112:N112 M75:N77 M79:N81 M83:N88 M92:N109 K114:N114 K157:N157 M116:N129 M132:N149 K73:N73 M152:N155 M2:N71 K2:L72 K74:L111 K113:L113 K115:L156 K158:L407 M170:N358 M360:N361" xr:uid="{A7F23D7E-B4E8-4849-A6FA-F18FFC4CAB38}"/>
    <dataValidation allowBlank="1" showInputMessage="1" showErrorMessage="1" errorTitle="jjmb" error="mn" promptTitle="bbj" sqref="Q117:R117 P115:R115 T115:U115 O29:U40 O27:U27 A27:E40" xr:uid="{16C30E5A-9979-DB47-81EF-7A3E506B6DE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DC2C-6AFC-5A47-8762-9ECEBA2437E0}">
  <dimension ref="A1:P13"/>
  <sheetViews>
    <sheetView tabSelected="1" topLeftCell="D38" zoomScale="200" workbookViewId="0">
      <selection activeCell="E47" sqref="E47"/>
    </sheetView>
  </sheetViews>
  <sheetFormatPr baseColWidth="10" defaultRowHeight="16"/>
  <cols>
    <col min="1" max="1" width="30.83203125" bestFit="1" customWidth="1"/>
    <col min="2" max="2" width="14.6640625" bestFit="1" customWidth="1"/>
    <col min="3" max="3" width="21.6640625" bestFit="1" customWidth="1"/>
    <col min="4" max="4" width="12.83203125" bestFit="1" customWidth="1"/>
    <col min="5" max="5" width="39.5" bestFit="1" customWidth="1"/>
    <col min="6" max="6" width="12.83203125" bestFit="1" customWidth="1"/>
    <col min="7" max="7" width="30.6640625" bestFit="1" customWidth="1"/>
    <col min="8" max="8" width="12.83203125" bestFit="1" customWidth="1"/>
    <col min="9" max="9" width="32.6640625" bestFit="1" customWidth="1"/>
    <col min="10" max="10" width="12.6640625" bestFit="1" customWidth="1"/>
    <col min="11" max="11" width="21.6640625" bestFit="1" customWidth="1"/>
    <col min="12" max="12" width="12.83203125" bestFit="1" customWidth="1"/>
    <col min="13" max="13" width="33.6640625" bestFit="1" customWidth="1"/>
    <col min="14" max="14" width="12.83203125" bestFit="1" customWidth="1"/>
    <col min="16" max="16" width="11.6640625" bestFit="1" customWidth="1"/>
  </cols>
  <sheetData>
    <row r="1" spans="1:16">
      <c r="A1" s="67" t="s">
        <v>3</v>
      </c>
      <c r="B1" s="67"/>
      <c r="C1" s="67" t="s">
        <v>4</v>
      </c>
      <c r="D1" s="67"/>
      <c r="E1" s="67" t="s">
        <v>5</v>
      </c>
      <c r="F1" s="67"/>
      <c r="G1" s="67" t="s">
        <v>6</v>
      </c>
      <c r="H1" s="67"/>
      <c r="I1" s="67" t="s">
        <v>7</v>
      </c>
      <c r="J1" s="67"/>
      <c r="K1" s="67" t="s">
        <v>8</v>
      </c>
      <c r="L1" s="67"/>
      <c r="M1" s="67" t="s">
        <v>195</v>
      </c>
      <c r="N1" s="67"/>
      <c r="O1" s="67" t="s">
        <v>198</v>
      </c>
      <c r="P1" s="67"/>
    </row>
    <row r="2" spans="1:16">
      <c r="A2" t="s">
        <v>138</v>
      </c>
      <c r="B2">
        <v>0.12807881773399016</v>
      </c>
      <c r="C2" t="s">
        <v>138</v>
      </c>
      <c r="D2">
        <v>9.5221674876847295</v>
      </c>
      <c r="E2" t="s">
        <v>138</v>
      </c>
      <c r="F2">
        <v>-0.16110608758273903</v>
      </c>
      <c r="G2" t="s">
        <v>138</v>
      </c>
      <c r="H2">
        <v>12.28617688571579</v>
      </c>
      <c r="I2" t="s">
        <v>138</v>
      </c>
      <c r="J2">
        <v>0.90753207948228387</v>
      </c>
      <c r="K2" t="s">
        <v>138</v>
      </c>
      <c r="L2">
        <v>4.5396307145224947E-2</v>
      </c>
      <c r="M2" t="s">
        <v>138</v>
      </c>
      <c r="N2">
        <v>-0.2817032023781782</v>
      </c>
      <c r="O2" t="s">
        <v>138</v>
      </c>
      <c r="P2">
        <v>1.2104314067676727</v>
      </c>
    </row>
    <row r="3" spans="1:16">
      <c r="A3" t="s">
        <v>139</v>
      </c>
      <c r="B3">
        <v>1.6605415908252884E-2</v>
      </c>
      <c r="C3" t="s">
        <v>139</v>
      </c>
      <c r="D3">
        <v>0.27722770376736128</v>
      </c>
      <c r="E3" t="s">
        <v>139</v>
      </c>
      <c r="F3">
        <v>1.8000070867092221E-2</v>
      </c>
      <c r="G3" t="s">
        <v>139</v>
      </c>
      <c r="H3">
        <v>5.0502518664507355E-2</v>
      </c>
      <c r="I3" t="s">
        <v>139</v>
      </c>
      <c r="J3">
        <v>1.793193188134036E-2</v>
      </c>
      <c r="K3" t="s">
        <v>139</v>
      </c>
      <c r="L3">
        <v>1.776195255209672E-2</v>
      </c>
      <c r="M3" t="s">
        <v>139</v>
      </c>
      <c r="N3">
        <v>0.11305119564866971</v>
      </c>
      <c r="O3" t="s">
        <v>139</v>
      </c>
      <c r="P3">
        <v>3.3287632210220443E-2</v>
      </c>
    </row>
    <row r="4" spans="1:16">
      <c r="A4" t="s">
        <v>140</v>
      </c>
      <c r="B4">
        <v>0</v>
      </c>
      <c r="C4" t="s">
        <v>140</v>
      </c>
      <c r="D4">
        <v>9</v>
      </c>
      <c r="E4" t="s">
        <v>140</v>
      </c>
      <c r="F4">
        <v>-6.4926086400266314E-2</v>
      </c>
      <c r="G4" t="s">
        <v>140</v>
      </c>
      <c r="H4">
        <v>12.282861397952102</v>
      </c>
      <c r="I4" t="s">
        <v>140</v>
      </c>
      <c r="J4">
        <v>0.84596761769800932</v>
      </c>
      <c r="K4" t="s">
        <v>140</v>
      </c>
      <c r="L4">
        <v>1.1025626133040652E-2</v>
      </c>
      <c r="M4" t="s">
        <v>140</v>
      </c>
      <c r="N4">
        <v>1.1882776152182084E-3</v>
      </c>
      <c r="O4" t="s">
        <v>140</v>
      </c>
      <c r="P4">
        <v>0.98346994535519117</v>
      </c>
    </row>
    <row r="5" spans="1:16">
      <c r="A5" t="s">
        <v>141</v>
      </c>
      <c r="B5">
        <v>0.33458985940900771</v>
      </c>
      <c r="C5" t="s">
        <v>141</v>
      </c>
      <c r="D5">
        <v>5.5859834490326117</v>
      </c>
      <c r="E5" t="s">
        <v>141</v>
      </c>
      <c r="F5">
        <v>0.36269137816531966</v>
      </c>
      <c r="G5" t="s">
        <v>141</v>
      </c>
      <c r="H5">
        <v>1.0175975545039007</v>
      </c>
      <c r="I5" t="s">
        <v>141</v>
      </c>
      <c r="J5">
        <v>0.36131841564580475</v>
      </c>
      <c r="K5" t="s">
        <v>141</v>
      </c>
      <c r="L5">
        <v>0.35789342706447086</v>
      </c>
      <c r="M5" t="s">
        <v>141</v>
      </c>
      <c r="N5">
        <v>2.2779184735330373</v>
      </c>
      <c r="O5" t="s">
        <v>141</v>
      </c>
      <c r="P5">
        <v>0.67072720387214035</v>
      </c>
    </row>
    <row r="6" spans="1:16">
      <c r="A6" t="s">
        <v>142</v>
      </c>
      <c r="B6">
        <v>0.11195037401933954</v>
      </c>
      <c r="C6" t="s">
        <v>142</v>
      </c>
      <c r="D6">
        <v>31.203211092866272</v>
      </c>
      <c r="E6" t="s">
        <v>142</v>
      </c>
      <c r="F6">
        <v>0.1315450357954589</v>
      </c>
      <c r="G6" t="s">
        <v>142</v>
      </c>
      <c r="H6">
        <v>1.035504782932319</v>
      </c>
      <c r="I6" t="s">
        <v>142</v>
      </c>
      <c r="J6">
        <v>0.13055099748479451</v>
      </c>
      <c r="K6" t="s">
        <v>142</v>
      </c>
      <c r="L6">
        <v>0.12808770513595172</v>
      </c>
      <c r="M6" t="s">
        <v>142</v>
      </c>
      <c r="N6">
        <v>5.1889125720630833</v>
      </c>
      <c r="O6" t="s">
        <v>142</v>
      </c>
      <c r="P6">
        <v>0.44987498201413967</v>
      </c>
    </row>
    <row r="7" spans="1:16">
      <c r="A7" t="s">
        <v>143</v>
      </c>
      <c r="B7">
        <v>3.0062219761806657</v>
      </c>
      <c r="C7" t="s">
        <v>143</v>
      </c>
      <c r="D7">
        <v>-1.1366772875674624</v>
      </c>
      <c r="E7" t="s">
        <v>143</v>
      </c>
      <c r="F7">
        <v>11.459154519563278</v>
      </c>
      <c r="G7" t="s">
        <v>143</v>
      </c>
      <c r="H7">
        <v>7.1222920038581439E-2</v>
      </c>
      <c r="I7" t="s">
        <v>143</v>
      </c>
      <c r="J7">
        <v>1.673757677313263</v>
      </c>
      <c r="K7" t="s">
        <v>143</v>
      </c>
      <c r="L7">
        <v>8.396007340119505</v>
      </c>
      <c r="M7" t="s">
        <v>143</v>
      </c>
      <c r="N7">
        <v>15.630163833816802</v>
      </c>
      <c r="O7" t="s">
        <v>143</v>
      </c>
      <c r="P7">
        <v>3.2769577174757907</v>
      </c>
    </row>
    <row r="8" spans="1:16">
      <c r="A8" t="s">
        <v>144</v>
      </c>
      <c r="B8">
        <v>2.234152445013188</v>
      </c>
      <c r="C8" t="s">
        <v>144</v>
      </c>
      <c r="D8">
        <v>0.16564877448359913</v>
      </c>
      <c r="E8" t="s">
        <v>144</v>
      </c>
      <c r="F8">
        <v>-2.1777868825910414</v>
      </c>
      <c r="G8" t="s">
        <v>144</v>
      </c>
      <c r="H8">
        <v>-7.5518052597909266E-2</v>
      </c>
      <c r="I8" t="s">
        <v>144</v>
      </c>
      <c r="J8">
        <v>1.0246447622896164</v>
      </c>
      <c r="K8" t="s">
        <v>144</v>
      </c>
      <c r="L8">
        <v>2.0341274300293475</v>
      </c>
      <c r="M8" t="s">
        <v>144</v>
      </c>
      <c r="N8">
        <v>-1.9643704395743038</v>
      </c>
      <c r="O8" t="s">
        <v>144</v>
      </c>
      <c r="P8">
        <v>1.669223391454111</v>
      </c>
    </row>
    <row r="9" spans="1:16">
      <c r="A9" t="s">
        <v>145</v>
      </c>
      <c r="B9">
        <v>1</v>
      </c>
      <c r="C9" t="s">
        <v>145</v>
      </c>
      <c r="D9">
        <v>20</v>
      </c>
      <c r="E9" t="s">
        <v>145</v>
      </c>
      <c r="F9">
        <v>3.9996880138523716</v>
      </c>
      <c r="G9" t="s">
        <v>145</v>
      </c>
      <c r="H9">
        <v>6.1074085566434562</v>
      </c>
      <c r="I9" t="s">
        <v>145</v>
      </c>
      <c r="J9">
        <v>2.6514493709046083</v>
      </c>
      <c r="K9" t="s">
        <v>145</v>
      </c>
      <c r="L9">
        <v>2.973191750482977</v>
      </c>
      <c r="M9" t="s">
        <v>145</v>
      </c>
      <c r="N9">
        <v>26.293227280131561</v>
      </c>
      <c r="O9" t="s">
        <v>145</v>
      </c>
      <c r="P9">
        <v>3.8978766430738117</v>
      </c>
    </row>
    <row r="10" spans="1:16">
      <c r="A10" t="s">
        <v>146</v>
      </c>
      <c r="B10">
        <v>0</v>
      </c>
      <c r="C10" t="s">
        <v>146</v>
      </c>
      <c r="D10">
        <v>1</v>
      </c>
      <c r="E10" t="s">
        <v>146</v>
      </c>
      <c r="F10">
        <v>-2.6318835203561162</v>
      </c>
      <c r="G10" t="s">
        <v>146</v>
      </c>
      <c r="H10">
        <v>8.527539483470381</v>
      </c>
      <c r="I10" t="s">
        <v>146</v>
      </c>
      <c r="J10">
        <v>1.5183372564178671E-2</v>
      </c>
      <c r="K10" t="s">
        <v>146</v>
      </c>
      <c r="L10">
        <v>-0.93427373469683894</v>
      </c>
      <c r="M10" t="s">
        <v>146</v>
      </c>
      <c r="N10">
        <v>-15.670395227442206</v>
      </c>
      <c r="O10" t="s">
        <v>146</v>
      </c>
      <c r="P10">
        <v>0.23255813953488372</v>
      </c>
    </row>
    <row r="11" spans="1:16">
      <c r="A11" t="s">
        <v>147</v>
      </c>
      <c r="B11">
        <v>1</v>
      </c>
      <c r="C11" t="s">
        <v>147</v>
      </c>
      <c r="D11">
        <v>21</v>
      </c>
      <c r="E11" t="s">
        <v>147</v>
      </c>
      <c r="F11">
        <v>1.3678044934962554</v>
      </c>
      <c r="G11" t="s">
        <v>147</v>
      </c>
      <c r="H11">
        <v>14.634948040113837</v>
      </c>
      <c r="I11" t="s">
        <v>147</v>
      </c>
      <c r="J11">
        <v>2.6666327434687869</v>
      </c>
      <c r="K11" t="s">
        <v>147</v>
      </c>
      <c r="L11">
        <v>2.038918015786138</v>
      </c>
      <c r="M11" t="s">
        <v>147</v>
      </c>
      <c r="N11">
        <v>10.622832052689352</v>
      </c>
      <c r="O11" t="s">
        <v>147</v>
      </c>
      <c r="P11">
        <v>4.1304347826086953</v>
      </c>
    </row>
    <row r="12" spans="1:16">
      <c r="A12" t="s">
        <v>148</v>
      </c>
      <c r="B12">
        <v>406</v>
      </c>
      <c r="C12" t="s">
        <v>148</v>
      </c>
      <c r="D12">
        <v>406</v>
      </c>
      <c r="E12" t="s">
        <v>148</v>
      </c>
      <c r="F12">
        <v>406</v>
      </c>
      <c r="G12" t="s">
        <v>148</v>
      </c>
      <c r="H12">
        <v>406</v>
      </c>
      <c r="I12" t="s">
        <v>148</v>
      </c>
      <c r="J12">
        <v>406</v>
      </c>
      <c r="K12" t="s">
        <v>148</v>
      </c>
      <c r="L12">
        <v>406</v>
      </c>
      <c r="M12" t="s">
        <v>148</v>
      </c>
      <c r="N12">
        <v>406</v>
      </c>
      <c r="O12" t="s">
        <v>148</v>
      </c>
      <c r="P12">
        <v>406</v>
      </c>
    </row>
    <row r="13" spans="1:16" ht="17" thickBot="1">
      <c r="A13" s="68" t="s">
        <v>149</v>
      </c>
      <c r="B13" s="68">
        <v>3.2643569066540083E-2</v>
      </c>
      <c r="C13" s="68" t="s">
        <v>149</v>
      </c>
      <c r="D13" s="68">
        <v>0.5449849461819547</v>
      </c>
      <c r="E13" s="68" t="s">
        <v>149</v>
      </c>
      <c r="F13" s="68">
        <v>3.5385235744713306E-2</v>
      </c>
      <c r="G13" s="68" t="s">
        <v>149</v>
      </c>
      <c r="H13" s="68">
        <v>9.9279805165237128E-2</v>
      </c>
      <c r="I13" s="68" t="s">
        <v>149</v>
      </c>
      <c r="J13" s="68">
        <v>3.5251285490181632E-2</v>
      </c>
      <c r="K13" s="68" t="s">
        <v>149</v>
      </c>
      <c r="L13" s="68">
        <v>3.4917133548146191E-2</v>
      </c>
      <c r="M13" s="68" t="s">
        <v>149</v>
      </c>
      <c r="N13" s="68">
        <v>0.22224041442877446</v>
      </c>
      <c r="O13" s="68" t="s">
        <v>149</v>
      </c>
      <c r="P13" s="68">
        <v>6.5438115318500523E-2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A0BA-4E7F-AB46-8857-CD7583AB67FE}">
  <dimension ref="A1:I9"/>
  <sheetViews>
    <sheetView workbookViewId="0">
      <selection sqref="A1:I9"/>
    </sheetView>
  </sheetViews>
  <sheetFormatPr baseColWidth="10" defaultRowHeight="16"/>
  <cols>
    <col min="1" max="1" width="39.6640625" bestFit="1" customWidth="1"/>
    <col min="2" max="4" width="11.33203125" bestFit="1" customWidth="1"/>
    <col min="5" max="5" width="30.83203125" bestFit="1" customWidth="1"/>
    <col min="6" max="7" width="11.33203125" bestFit="1" customWidth="1"/>
    <col min="8" max="8" width="33.83203125" bestFit="1" customWidth="1"/>
    <col min="9" max="9" width="11" bestFit="1" customWidth="1"/>
    <col min="12" max="12" width="21.83203125" customWidth="1"/>
    <col min="13" max="13" width="15" customWidth="1"/>
    <col min="14" max="14" width="13" customWidth="1"/>
    <col min="15" max="15" width="10.83203125" customWidth="1"/>
    <col min="16" max="18" width="12.83203125" bestFit="1" customWidth="1"/>
    <col min="19" max="19" width="14.6640625" bestFit="1" customWidth="1"/>
    <col min="20" max="20" width="9.6640625" bestFit="1" customWidth="1"/>
  </cols>
  <sheetData>
    <row r="1" spans="1:9">
      <c r="A1" s="67"/>
      <c r="B1" s="67" t="s">
        <v>199</v>
      </c>
      <c r="C1" s="67" t="s">
        <v>4</v>
      </c>
      <c r="D1" s="67" t="s">
        <v>200</v>
      </c>
      <c r="E1" s="67" t="s">
        <v>201</v>
      </c>
      <c r="F1" s="67" t="s">
        <v>202</v>
      </c>
      <c r="G1" s="67" t="s">
        <v>8</v>
      </c>
      <c r="H1" s="67" t="s">
        <v>203</v>
      </c>
      <c r="I1" s="67" t="s">
        <v>204</v>
      </c>
    </row>
    <row r="2" spans="1:9">
      <c r="A2" t="s">
        <v>199</v>
      </c>
      <c r="B2" s="105">
        <v>1</v>
      </c>
      <c r="C2" s="105"/>
      <c r="D2" s="105"/>
      <c r="E2" s="105"/>
      <c r="F2" s="105"/>
      <c r="G2" s="105"/>
      <c r="H2" s="105"/>
      <c r="I2" s="105"/>
    </row>
    <row r="3" spans="1:9">
      <c r="A3" t="s">
        <v>4</v>
      </c>
      <c r="B3" s="105">
        <v>-0.39917106306337652</v>
      </c>
      <c r="C3" s="105">
        <v>1</v>
      </c>
      <c r="D3" s="105"/>
      <c r="E3" s="105"/>
      <c r="F3" s="105"/>
      <c r="G3" s="105"/>
      <c r="H3" s="105"/>
      <c r="I3" s="105"/>
    </row>
    <row r="4" spans="1:9">
      <c r="A4" t="s">
        <v>200</v>
      </c>
      <c r="B4" s="105">
        <v>-0.15669182435496418</v>
      </c>
      <c r="C4" s="105">
        <v>-1.456051827122963E-2</v>
      </c>
      <c r="D4" s="105">
        <v>1</v>
      </c>
      <c r="E4" s="105"/>
      <c r="F4" s="105"/>
      <c r="G4" s="105"/>
      <c r="H4" s="105"/>
      <c r="I4" s="105"/>
    </row>
    <row r="5" spans="1:9">
      <c r="A5" t="s">
        <v>201</v>
      </c>
      <c r="B5" s="105">
        <v>0.16926005474903394</v>
      </c>
      <c r="C5" s="105">
        <v>-0.49359947134858739</v>
      </c>
      <c r="D5" s="105">
        <v>-2.9694822864162917E-2</v>
      </c>
      <c r="E5" s="105">
        <v>1</v>
      </c>
      <c r="F5" s="105"/>
      <c r="G5" s="105"/>
      <c r="H5" s="105"/>
      <c r="I5" s="105"/>
    </row>
    <row r="6" spans="1:9">
      <c r="A6" t="s">
        <v>202</v>
      </c>
      <c r="B6" s="105">
        <v>-8.8383010295652077E-3</v>
      </c>
      <c r="C6" s="105">
        <v>3.6141248574075718E-2</v>
      </c>
      <c r="D6" s="105">
        <v>-1.4956147131182505E-2</v>
      </c>
      <c r="E6" s="105">
        <v>-0.3957386090254521</v>
      </c>
      <c r="F6" s="105">
        <v>1</v>
      </c>
      <c r="G6" s="105"/>
      <c r="H6" s="105"/>
      <c r="I6" s="105"/>
    </row>
    <row r="7" spans="1:9">
      <c r="A7" t="s">
        <v>8</v>
      </c>
      <c r="B7" s="105">
        <v>3.1484318598634119E-2</v>
      </c>
      <c r="C7" s="105">
        <v>3.871559087933759E-2</v>
      </c>
      <c r="D7" s="105">
        <v>-6.5961490057044265E-3</v>
      </c>
      <c r="E7" s="105">
        <v>-5.5005758553401782E-4</v>
      </c>
      <c r="F7" s="105">
        <v>-3.7056394479218473E-3</v>
      </c>
      <c r="G7" s="105">
        <v>1</v>
      </c>
      <c r="H7" s="105"/>
      <c r="I7" s="105"/>
    </row>
    <row r="8" spans="1:9">
      <c r="A8" t="s">
        <v>203</v>
      </c>
      <c r="B8" s="105">
        <v>5.3860848257945348E-2</v>
      </c>
      <c r="C8" s="105">
        <v>-1.8076704675928337E-2</v>
      </c>
      <c r="D8" s="105">
        <v>2.8649426261966534E-2</v>
      </c>
      <c r="E8" s="105">
        <v>-3.4583920865040113E-2</v>
      </c>
      <c r="F8" s="105">
        <v>1.2902214767996516E-2</v>
      </c>
      <c r="G8" s="105">
        <v>2.1741094445178778E-3</v>
      </c>
      <c r="H8" s="105">
        <v>1</v>
      </c>
      <c r="I8" s="105"/>
    </row>
    <row r="9" spans="1:9" ht="17" thickBot="1">
      <c r="A9" s="68" t="s">
        <v>204</v>
      </c>
      <c r="B9" s="106">
        <v>0.36078753327530039</v>
      </c>
      <c r="C9" s="106">
        <v>-0.8174490675964331</v>
      </c>
      <c r="D9" s="106">
        <v>2.9517749293142676E-2</v>
      </c>
      <c r="E9" s="106">
        <v>0.51974506223386996</v>
      </c>
      <c r="F9" s="106">
        <v>-5.3629414014951582E-2</v>
      </c>
      <c r="G9" s="106">
        <v>-6.825678929021714E-2</v>
      </c>
      <c r="H9" s="106">
        <v>3.6493400421540631E-2</v>
      </c>
      <c r="I9" s="10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D311-F293-BD4D-B1C2-B8F2E79069D6}">
  <dimension ref="A1:I144"/>
  <sheetViews>
    <sheetView workbookViewId="0">
      <selection activeCell="L24" sqref="L24"/>
    </sheetView>
  </sheetViews>
  <sheetFormatPr baseColWidth="10" defaultRowHeight="16"/>
  <sheetData>
    <row r="1" spans="1:9">
      <c r="A1" s="71" t="s">
        <v>1</v>
      </c>
      <c r="B1" t="s">
        <v>150</v>
      </c>
    </row>
    <row r="3" spans="1:9">
      <c r="A3" s="71" t="s">
        <v>151</v>
      </c>
      <c r="B3" t="s">
        <v>152</v>
      </c>
      <c r="H3" t="s">
        <v>153</v>
      </c>
      <c r="I3">
        <v>55</v>
      </c>
    </row>
    <row r="4" spans="1:9">
      <c r="A4" s="69" t="s">
        <v>18</v>
      </c>
      <c r="B4">
        <v>5</v>
      </c>
      <c r="D4">
        <f>COUNTIF(B4:B143,"&gt;0")</f>
        <v>111</v>
      </c>
      <c r="H4" t="s">
        <v>154</v>
      </c>
      <c r="I4" s="70">
        <v>7840</v>
      </c>
    </row>
    <row r="5" spans="1:9">
      <c r="A5" s="69" t="s">
        <v>25</v>
      </c>
      <c r="B5">
        <v>1</v>
      </c>
      <c r="D5">
        <f>COUNTA(A4:A143)</f>
        <v>140</v>
      </c>
      <c r="H5" t="s">
        <v>155</v>
      </c>
      <c r="I5">
        <v>420</v>
      </c>
    </row>
    <row r="6" spans="1:9">
      <c r="A6" s="69" t="s">
        <v>27</v>
      </c>
      <c r="B6">
        <v>1</v>
      </c>
      <c r="H6" t="s">
        <v>156</v>
      </c>
      <c r="I6">
        <v>5</v>
      </c>
    </row>
    <row r="7" spans="1:9">
      <c r="A7" s="69" t="s">
        <v>28</v>
      </c>
      <c r="B7">
        <v>1</v>
      </c>
      <c r="H7" t="s">
        <v>157</v>
      </c>
      <c r="I7">
        <v>140</v>
      </c>
    </row>
    <row r="8" spans="1:9">
      <c r="A8" s="69" t="s">
        <v>29</v>
      </c>
      <c r="B8">
        <v>5</v>
      </c>
      <c r="H8" t="s">
        <v>158</v>
      </c>
      <c r="I8">
        <v>29</v>
      </c>
    </row>
    <row r="9" spans="1:9">
      <c r="A9" s="69" t="s">
        <v>159</v>
      </c>
      <c r="B9">
        <v>1</v>
      </c>
      <c r="H9" t="s">
        <v>160</v>
      </c>
      <c r="I9">
        <v>111</v>
      </c>
    </row>
    <row r="10" spans="1:9">
      <c r="A10" s="69" t="s">
        <v>30</v>
      </c>
      <c r="B10">
        <v>1</v>
      </c>
    </row>
    <row r="11" spans="1:9">
      <c r="A11" s="69" t="s">
        <v>31</v>
      </c>
      <c r="B11">
        <v>3</v>
      </c>
    </row>
    <row r="12" spans="1:9">
      <c r="A12" s="69" t="s">
        <v>33</v>
      </c>
      <c r="B12">
        <v>4</v>
      </c>
    </row>
    <row r="13" spans="1:9">
      <c r="A13" s="69" t="s">
        <v>34</v>
      </c>
      <c r="B13">
        <v>3</v>
      </c>
    </row>
    <row r="14" spans="1:9">
      <c r="A14" s="69" t="s">
        <v>35</v>
      </c>
      <c r="B14">
        <v>5</v>
      </c>
    </row>
    <row r="15" spans="1:9">
      <c r="A15" s="69" t="s">
        <v>36</v>
      </c>
      <c r="B15">
        <v>5</v>
      </c>
    </row>
    <row r="16" spans="1:9">
      <c r="A16" s="69" t="s">
        <v>38</v>
      </c>
      <c r="B16">
        <v>5</v>
      </c>
    </row>
    <row r="17" spans="1:2">
      <c r="A17" s="69" t="s">
        <v>39</v>
      </c>
      <c r="B17">
        <v>5</v>
      </c>
    </row>
    <row r="18" spans="1:2">
      <c r="A18" s="69" t="s">
        <v>40</v>
      </c>
      <c r="B18">
        <v>3</v>
      </c>
    </row>
    <row r="19" spans="1:2">
      <c r="A19" s="69" t="s">
        <v>41</v>
      </c>
      <c r="B19">
        <v>5</v>
      </c>
    </row>
    <row r="20" spans="1:2">
      <c r="A20" s="69" t="s">
        <v>42</v>
      </c>
      <c r="B20">
        <v>5</v>
      </c>
    </row>
    <row r="21" spans="1:2">
      <c r="A21" s="69" t="s">
        <v>44</v>
      </c>
      <c r="B21">
        <v>5</v>
      </c>
    </row>
    <row r="22" spans="1:2">
      <c r="A22" s="69" t="s">
        <v>45</v>
      </c>
      <c r="B22">
        <v>5</v>
      </c>
    </row>
    <row r="23" spans="1:2">
      <c r="A23" s="69" t="s">
        <v>46</v>
      </c>
      <c r="B23">
        <v>2</v>
      </c>
    </row>
    <row r="24" spans="1:2">
      <c r="A24" s="69" t="s">
        <v>161</v>
      </c>
    </row>
    <row r="25" spans="1:2">
      <c r="A25" s="69" t="s">
        <v>47</v>
      </c>
      <c r="B25">
        <v>5</v>
      </c>
    </row>
    <row r="26" spans="1:2">
      <c r="A26" s="69" t="s">
        <v>48</v>
      </c>
      <c r="B26">
        <v>5</v>
      </c>
    </row>
    <row r="27" spans="1:2">
      <c r="A27" s="69" t="s">
        <v>49</v>
      </c>
      <c r="B27">
        <v>3</v>
      </c>
    </row>
    <row r="28" spans="1:2">
      <c r="A28" s="69" t="s">
        <v>50</v>
      </c>
      <c r="B28">
        <v>1</v>
      </c>
    </row>
    <row r="29" spans="1:2">
      <c r="A29" s="69" t="s">
        <v>162</v>
      </c>
    </row>
    <row r="30" spans="1:2">
      <c r="A30" s="69" t="s">
        <v>51</v>
      </c>
      <c r="B30">
        <v>5</v>
      </c>
    </row>
    <row r="31" spans="1:2">
      <c r="A31" s="69" t="s">
        <v>52</v>
      </c>
      <c r="B31">
        <v>5</v>
      </c>
    </row>
    <row r="32" spans="1:2">
      <c r="A32" s="69" t="s">
        <v>53</v>
      </c>
      <c r="B32">
        <v>2</v>
      </c>
    </row>
    <row r="33" spans="1:2">
      <c r="A33" s="69" t="s">
        <v>54</v>
      </c>
      <c r="B33">
        <v>2</v>
      </c>
    </row>
    <row r="34" spans="1:2">
      <c r="A34" s="69" t="s">
        <v>55</v>
      </c>
      <c r="B34">
        <v>2</v>
      </c>
    </row>
    <row r="35" spans="1:2">
      <c r="A35" s="69" t="s">
        <v>163</v>
      </c>
    </row>
    <row r="36" spans="1:2">
      <c r="A36" s="69" t="s">
        <v>164</v>
      </c>
    </row>
    <row r="37" spans="1:2">
      <c r="A37" s="69" t="s">
        <v>56</v>
      </c>
      <c r="B37">
        <v>5</v>
      </c>
    </row>
    <row r="38" spans="1:2">
      <c r="A38" s="69" t="s">
        <v>57</v>
      </c>
      <c r="B38">
        <v>5</v>
      </c>
    </row>
    <row r="39" spans="1:2">
      <c r="A39" s="69" t="s">
        <v>165</v>
      </c>
    </row>
    <row r="40" spans="1:2">
      <c r="A40" s="69" t="s">
        <v>58</v>
      </c>
      <c r="B40">
        <v>1</v>
      </c>
    </row>
    <row r="41" spans="1:2">
      <c r="A41" s="69" t="s">
        <v>166</v>
      </c>
    </row>
    <row r="42" spans="1:2">
      <c r="A42" s="69" t="s">
        <v>59</v>
      </c>
      <c r="B42">
        <v>5</v>
      </c>
    </row>
    <row r="43" spans="1:2">
      <c r="A43" s="69" t="s">
        <v>60</v>
      </c>
      <c r="B43">
        <v>2</v>
      </c>
    </row>
    <row r="44" spans="1:2">
      <c r="A44" s="69" t="s">
        <v>167</v>
      </c>
    </row>
    <row r="45" spans="1:2">
      <c r="A45" s="69" t="s">
        <v>168</v>
      </c>
      <c r="B45">
        <v>1</v>
      </c>
    </row>
    <row r="46" spans="1:2">
      <c r="A46" s="69" t="s">
        <v>61</v>
      </c>
      <c r="B46">
        <v>4</v>
      </c>
    </row>
    <row r="47" spans="1:2">
      <c r="A47" s="69" t="s">
        <v>62</v>
      </c>
      <c r="B47">
        <v>2</v>
      </c>
    </row>
    <row r="48" spans="1:2">
      <c r="A48" s="69" t="s">
        <v>64</v>
      </c>
      <c r="B48">
        <v>1</v>
      </c>
    </row>
    <row r="49" spans="1:2">
      <c r="A49" s="69" t="s">
        <v>65</v>
      </c>
      <c r="B49">
        <v>2</v>
      </c>
    </row>
    <row r="50" spans="1:2">
      <c r="A50" s="69" t="s">
        <v>66</v>
      </c>
      <c r="B50">
        <v>2</v>
      </c>
    </row>
    <row r="51" spans="1:2">
      <c r="A51" s="69" t="s">
        <v>67</v>
      </c>
      <c r="B51">
        <v>4</v>
      </c>
    </row>
    <row r="52" spans="1:2">
      <c r="A52" s="69" t="s">
        <v>68</v>
      </c>
      <c r="B52">
        <v>5</v>
      </c>
    </row>
    <row r="53" spans="1:2">
      <c r="A53" s="69" t="s">
        <v>69</v>
      </c>
      <c r="B53">
        <v>2</v>
      </c>
    </row>
    <row r="54" spans="1:2">
      <c r="A54" s="69" t="s">
        <v>70</v>
      </c>
      <c r="B54">
        <v>5</v>
      </c>
    </row>
    <row r="55" spans="1:2">
      <c r="A55" s="69" t="s">
        <v>71</v>
      </c>
      <c r="B55">
        <v>5</v>
      </c>
    </row>
    <row r="56" spans="1:2">
      <c r="A56" s="69" t="s">
        <v>169</v>
      </c>
    </row>
    <row r="57" spans="1:2">
      <c r="A57" s="69" t="s">
        <v>72</v>
      </c>
      <c r="B57">
        <v>2</v>
      </c>
    </row>
    <row r="58" spans="1:2">
      <c r="A58" s="69" t="s">
        <v>73</v>
      </c>
      <c r="B58">
        <v>5</v>
      </c>
    </row>
    <row r="59" spans="1:2">
      <c r="A59" s="69" t="s">
        <v>170</v>
      </c>
    </row>
    <row r="60" spans="1:2">
      <c r="A60" s="69" t="s">
        <v>171</v>
      </c>
    </row>
    <row r="61" spans="1:2">
      <c r="A61" s="69" t="s">
        <v>74</v>
      </c>
      <c r="B61">
        <v>5</v>
      </c>
    </row>
    <row r="62" spans="1:2">
      <c r="A62" s="69" t="s">
        <v>75</v>
      </c>
      <c r="B62">
        <v>5</v>
      </c>
    </row>
    <row r="63" spans="1:2">
      <c r="A63" s="69" t="s">
        <v>76</v>
      </c>
      <c r="B63">
        <v>1</v>
      </c>
    </row>
    <row r="64" spans="1:2">
      <c r="A64" s="69" t="s">
        <v>77</v>
      </c>
      <c r="B64">
        <v>2</v>
      </c>
    </row>
    <row r="65" spans="1:2">
      <c r="A65" s="69" t="s">
        <v>78</v>
      </c>
      <c r="B65">
        <v>5</v>
      </c>
    </row>
    <row r="66" spans="1:2">
      <c r="A66" s="69" t="s">
        <v>172</v>
      </c>
    </row>
    <row r="67" spans="1:2">
      <c r="A67" s="69" t="s">
        <v>173</v>
      </c>
    </row>
    <row r="68" spans="1:2">
      <c r="A68" s="69" t="s">
        <v>80</v>
      </c>
      <c r="B68">
        <v>2</v>
      </c>
    </row>
    <row r="69" spans="1:2">
      <c r="A69" s="69" t="s">
        <v>174</v>
      </c>
    </row>
    <row r="70" spans="1:2">
      <c r="A70" s="69" t="s">
        <v>175</v>
      </c>
    </row>
    <row r="71" spans="1:2">
      <c r="A71" s="69" t="s">
        <v>81</v>
      </c>
      <c r="B71">
        <v>5</v>
      </c>
    </row>
    <row r="72" spans="1:2">
      <c r="A72" s="69" t="s">
        <v>82</v>
      </c>
      <c r="B72">
        <v>5</v>
      </c>
    </row>
    <row r="73" spans="1:2">
      <c r="A73" s="69" t="s">
        <v>83</v>
      </c>
      <c r="B73">
        <v>5</v>
      </c>
    </row>
    <row r="74" spans="1:2">
      <c r="A74" s="69" t="s">
        <v>84</v>
      </c>
      <c r="B74">
        <v>1</v>
      </c>
    </row>
    <row r="75" spans="1:2">
      <c r="A75" s="69" t="s">
        <v>85</v>
      </c>
      <c r="B75">
        <v>4</v>
      </c>
    </row>
    <row r="76" spans="1:2">
      <c r="A76" s="69" t="s">
        <v>86</v>
      </c>
      <c r="B76">
        <v>4</v>
      </c>
    </row>
    <row r="77" spans="1:2">
      <c r="A77" s="69" t="s">
        <v>87</v>
      </c>
      <c r="B77">
        <v>4</v>
      </c>
    </row>
    <row r="78" spans="1:2">
      <c r="A78" s="69" t="s">
        <v>176</v>
      </c>
    </row>
    <row r="79" spans="1:2">
      <c r="A79" s="69" t="s">
        <v>88</v>
      </c>
      <c r="B79">
        <v>5</v>
      </c>
    </row>
    <row r="80" spans="1:2">
      <c r="A80" s="69" t="s">
        <v>89</v>
      </c>
      <c r="B80">
        <v>1</v>
      </c>
    </row>
    <row r="81" spans="1:2">
      <c r="A81" s="69" t="s">
        <v>90</v>
      </c>
      <c r="B81">
        <v>2</v>
      </c>
    </row>
    <row r="82" spans="1:2">
      <c r="A82" s="69" t="s">
        <v>177</v>
      </c>
    </row>
    <row r="83" spans="1:2">
      <c r="A83" s="69" t="s">
        <v>91</v>
      </c>
      <c r="B83">
        <v>5</v>
      </c>
    </row>
    <row r="84" spans="1:2">
      <c r="A84" s="69" t="s">
        <v>178</v>
      </c>
    </row>
    <row r="85" spans="1:2">
      <c r="A85" s="69" t="s">
        <v>92</v>
      </c>
      <c r="B85">
        <v>5</v>
      </c>
    </row>
    <row r="86" spans="1:2">
      <c r="A86" s="69" t="s">
        <v>93</v>
      </c>
      <c r="B86">
        <v>5</v>
      </c>
    </row>
    <row r="87" spans="1:2">
      <c r="A87" s="69" t="s">
        <v>94</v>
      </c>
      <c r="B87">
        <v>2</v>
      </c>
    </row>
    <row r="88" spans="1:2">
      <c r="A88" s="69" t="s">
        <v>179</v>
      </c>
    </row>
    <row r="89" spans="1:2">
      <c r="A89" s="69" t="s">
        <v>95</v>
      </c>
      <c r="B89">
        <v>2</v>
      </c>
    </row>
    <row r="90" spans="1:2">
      <c r="A90" s="69" t="s">
        <v>96</v>
      </c>
      <c r="B90">
        <v>5</v>
      </c>
    </row>
    <row r="91" spans="1:2">
      <c r="A91" s="69" t="s">
        <v>97</v>
      </c>
      <c r="B91">
        <v>5</v>
      </c>
    </row>
    <row r="92" spans="1:2">
      <c r="A92" s="69" t="s">
        <v>98</v>
      </c>
      <c r="B92">
        <v>4</v>
      </c>
    </row>
    <row r="93" spans="1:2">
      <c r="A93" s="69" t="s">
        <v>99</v>
      </c>
      <c r="B93">
        <v>5</v>
      </c>
    </row>
    <row r="94" spans="1:2">
      <c r="A94" s="69" t="s">
        <v>100</v>
      </c>
      <c r="B94">
        <v>5</v>
      </c>
    </row>
    <row r="95" spans="1:2">
      <c r="A95" s="69" t="s">
        <v>101</v>
      </c>
      <c r="B95">
        <v>5</v>
      </c>
    </row>
    <row r="96" spans="1:2">
      <c r="A96" s="69" t="s">
        <v>102</v>
      </c>
      <c r="B96">
        <v>5</v>
      </c>
    </row>
    <row r="97" spans="1:2">
      <c r="A97" s="69" t="s">
        <v>103</v>
      </c>
      <c r="B97">
        <v>3</v>
      </c>
    </row>
    <row r="98" spans="1:2">
      <c r="A98" s="69" t="s">
        <v>104</v>
      </c>
      <c r="B98">
        <v>2</v>
      </c>
    </row>
    <row r="99" spans="1:2">
      <c r="A99" s="69" t="s">
        <v>105</v>
      </c>
      <c r="B99">
        <v>5</v>
      </c>
    </row>
    <row r="100" spans="1:2">
      <c r="A100" s="69" t="s">
        <v>106</v>
      </c>
      <c r="B100">
        <v>5</v>
      </c>
    </row>
    <row r="101" spans="1:2">
      <c r="A101" s="69" t="s">
        <v>107</v>
      </c>
      <c r="B101">
        <v>5</v>
      </c>
    </row>
    <row r="102" spans="1:2">
      <c r="A102" s="69" t="s">
        <v>108</v>
      </c>
      <c r="B102">
        <v>3</v>
      </c>
    </row>
    <row r="103" spans="1:2">
      <c r="A103" s="69" t="s">
        <v>109</v>
      </c>
      <c r="B103">
        <v>1</v>
      </c>
    </row>
    <row r="104" spans="1:2">
      <c r="A104" s="69" t="s">
        <v>110</v>
      </c>
      <c r="B104">
        <v>5</v>
      </c>
    </row>
    <row r="105" spans="1:2">
      <c r="A105" s="69" t="s">
        <v>180</v>
      </c>
      <c r="B105">
        <v>2</v>
      </c>
    </row>
    <row r="106" spans="1:2">
      <c r="A106" s="69" t="s">
        <v>111</v>
      </c>
      <c r="B106">
        <v>2</v>
      </c>
    </row>
    <row r="107" spans="1:2">
      <c r="A107" s="69" t="s">
        <v>112</v>
      </c>
      <c r="B107">
        <v>2</v>
      </c>
    </row>
    <row r="108" spans="1:2">
      <c r="A108" s="69" t="s">
        <v>113</v>
      </c>
      <c r="B108">
        <v>5</v>
      </c>
    </row>
    <row r="109" spans="1:2">
      <c r="A109" s="69" t="s">
        <v>114</v>
      </c>
      <c r="B109">
        <v>5</v>
      </c>
    </row>
    <row r="110" spans="1:2">
      <c r="A110" s="69" t="s">
        <v>115</v>
      </c>
      <c r="B110">
        <v>5</v>
      </c>
    </row>
    <row r="111" spans="1:2">
      <c r="A111" s="69" t="s">
        <v>181</v>
      </c>
    </row>
    <row r="112" spans="1:2">
      <c r="A112" s="69" t="s">
        <v>182</v>
      </c>
    </row>
    <row r="113" spans="1:2">
      <c r="A113" s="69" t="s">
        <v>116</v>
      </c>
      <c r="B113">
        <v>5</v>
      </c>
    </row>
    <row r="114" spans="1:2">
      <c r="A114" s="69" t="s">
        <v>117</v>
      </c>
      <c r="B114">
        <v>1</v>
      </c>
    </row>
    <row r="115" spans="1:2">
      <c r="A115" s="69" t="s">
        <v>118</v>
      </c>
      <c r="B115">
        <v>5</v>
      </c>
    </row>
    <row r="116" spans="1:2">
      <c r="A116" s="69" t="s">
        <v>119</v>
      </c>
      <c r="B116">
        <v>5</v>
      </c>
    </row>
    <row r="117" spans="1:2">
      <c r="A117" s="69" t="s">
        <v>120</v>
      </c>
      <c r="B117">
        <v>4</v>
      </c>
    </row>
    <row r="118" spans="1:2">
      <c r="A118" s="69" t="s">
        <v>183</v>
      </c>
    </row>
    <row r="119" spans="1:2">
      <c r="A119" s="69" t="s">
        <v>184</v>
      </c>
    </row>
    <row r="120" spans="1:2">
      <c r="A120" s="69" t="s">
        <v>121</v>
      </c>
      <c r="B120">
        <v>5</v>
      </c>
    </row>
    <row r="121" spans="1:2">
      <c r="A121" s="69" t="s">
        <v>185</v>
      </c>
    </row>
    <row r="122" spans="1:2">
      <c r="A122" s="69" t="s">
        <v>122</v>
      </c>
      <c r="B122">
        <v>2</v>
      </c>
    </row>
    <row r="123" spans="1:2">
      <c r="A123" s="69" t="s">
        <v>123</v>
      </c>
      <c r="B123">
        <v>3</v>
      </c>
    </row>
    <row r="124" spans="1:2">
      <c r="A124" s="69" t="s">
        <v>124</v>
      </c>
      <c r="B124">
        <v>4</v>
      </c>
    </row>
    <row r="125" spans="1:2">
      <c r="A125" s="69" t="s">
        <v>125</v>
      </c>
      <c r="B125">
        <v>5</v>
      </c>
    </row>
    <row r="126" spans="1:2">
      <c r="A126" s="69" t="s">
        <v>186</v>
      </c>
    </row>
    <row r="127" spans="1:2">
      <c r="A127" s="69" t="s">
        <v>187</v>
      </c>
    </row>
    <row r="128" spans="1:2">
      <c r="A128" s="69" t="s">
        <v>126</v>
      </c>
      <c r="B128">
        <v>5</v>
      </c>
    </row>
    <row r="129" spans="1:2">
      <c r="A129" s="69" t="s">
        <v>127</v>
      </c>
      <c r="B129">
        <v>5</v>
      </c>
    </row>
    <row r="130" spans="1:2">
      <c r="A130" s="69" t="s">
        <v>128</v>
      </c>
      <c r="B130">
        <v>3</v>
      </c>
    </row>
    <row r="131" spans="1:2">
      <c r="A131" s="69" t="s">
        <v>129</v>
      </c>
      <c r="B131">
        <v>5</v>
      </c>
    </row>
    <row r="132" spans="1:2">
      <c r="A132" s="69" t="s">
        <v>130</v>
      </c>
      <c r="B132">
        <v>2</v>
      </c>
    </row>
    <row r="133" spans="1:2">
      <c r="A133" s="69" t="s">
        <v>131</v>
      </c>
      <c r="B133">
        <v>5</v>
      </c>
    </row>
    <row r="134" spans="1:2">
      <c r="A134" s="69" t="s">
        <v>132</v>
      </c>
      <c r="B134">
        <v>5</v>
      </c>
    </row>
    <row r="135" spans="1:2">
      <c r="A135" s="69" t="s">
        <v>188</v>
      </c>
    </row>
    <row r="136" spans="1:2">
      <c r="A136" s="69" t="s">
        <v>189</v>
      </c>
    </row>
    <row r="137" spans="1:2">
      <c r="A137" s="69" t="s">
        <v>133</v>
      </c>
      <c r="B137">
        <v>4</v>
      </c>
    </row>
    <row r="138" spans="1:2">
      <c r="A138" s="69" t="s">
        <v>134</v>
      </c>
      <c r="B138">
        <v>5</v>
      </c>
    </row>
    <row r="139" spans="1:2">
      <c r="A139" s="69" t="s">
        <v>135</v>
      </c>
      <c r="B139">
        <v>4</v>
      </c>
    </row>
    <row r="140" spans="1:2">
      <c r="A140" s="69" t="s">
        <v>190</v>
      </c>
    </row>
    <row r="141" spans="1:2">
      <c r="A141" s="69" t="s">
        <v>136</v>
      </c>
      <c r="B141">
        <v>5</v>
      </c>
    </row>
    <row r="142" spans="1:2">
      <c r="A142" s="69" t="s">
        <v>137</v>
      </c>
      <c r="B142">
        <v>4</v>
      </c>
    </row>
    <row r="143" spans="1:2">
      <c r="A143" s="69" t="s">
        <v>191</v>
      </c>
    </row>
    <row r="144" spans="1:2">
      <c r="A144" s="69" t="s">
        <v>192</v>
      </c>
      <c r="B144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5497-6658-8143-9839-7E2A98DD1028}">
  <dimension ref="A1:AL54"/>
  <sheetViews>
    <sheetView workbookViewId="0">
      <selection activeCell="E1" sqref="E1"/>
    </sheetView>
  </sheetViews>
  <sheetFormatPr baseColWidth="10" defaultRowHeight="16"/>
  <cols>
    <col min="1" max="1" width="25.1640625" bestFit="1" customWidth="1"/>
    <col min="2" max="2" width="26.33203125" bestFit="1" customWidth="1"/>
    <col min="3" max="3" width="31.33203125" bestFit="1" customWidth="1"/>
  </cols>
  <sheetData>
    <row r="1" spans="1:38">
      <c r="A1" s="72" t="s">
        <v>1</v>
      </c>
      <c r="B1" s="72" t="s">
        <v>193</v>
      </c>
      <c r="C1" s="73" t="s">
        <v>194</v>
      </c>
    </row>
    <row r="2" spans="1:38">
      <c r="A2" s="74" t="s">
        <v>32</v>
      </c>
      <c r="B2" s="75" t="s">
        <v>106</v>
      </c>
      <c r="C2" s="76">
        <v>5</v>
      </c>
    </row>
    <row r="3" spans="1:38">
      <c r="A3" s="74" t="s">
        <v>26</v>
      </c>
      <c r="B3" s="75" t="s">
        <v>129</v>
      </c>
      <c r="C3" s="76">
        <v>5</v>
      </c>
      <c r="J3" s="107"/>
      <c r="K3" s="107"/>
      <c r="L3" s="107"/>
      <c r="M3" s="107"/>
      <c r="N3" s="107"/>
      <c r="O3" s="107"/>
      <c r="P3" s="107"/>
      <c r="Q3" s="107"/>
      <c r="R3" s="107"/>
      <c r="S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</row>
    <row r="4" spans="1:38">
      <c r="A4" s="74" t="s">
        <v>26</v>
      </c>
      <c r="B4" s="75" t="s">
        <v>47</v>
      </c>
      <c r="C4" s="76">
        <v>4</v>
      </c>
      <c r="J4" s="78"/>
      <c r="K4" s="78"/>
      <c r="L4" s="78"/>
      <c r="M4" s="78"/>
      <c r="N4" s="78"/>
      <c r="O4" s="78"/>
      <c r="R4" s="78"/>
      <c r="S4" s="78"/>
      <c r="X4" s="78"/>
      <c r="AB4" s="78"/>
      <c r="AC4" s="78"/>
      <c r="AF4" s="78"/>
      <c r="AG4" s="78"/>
    </row>
    <row r="5" spans="1:38">
      <c r="A5" s="74" t="s">
        <v>26</v>
      </c>
      <c r="B5" s="75" t="s">
        <v>73</v>
      </c>
      <c r="C5" s="76">
        <v>4</v>
      </c>
      <c r="J5" s="78"/>
      <c r="K5" s="11"/>
      <c r="L5" s="78"/>
      <c r="M5" s="78"/>
      <c r="N5" s="78"/>
      <c r="O5" s="78"/>
      <c r="R5" s="78"/>
      <c r="S5" s="78"/>
      <c r="X5" s="78"/>
      <c r="AB5" s="78"/>
      <c r="AC5" s="78"/>
      <c r="AF5" s="78"/>
      <c r="AG5" s="78"/>
      <c r="AJ5" s="78"/>
      <c r="AK5" s="78"/>
      <c r="AL5" s="78"/>
    </row>
    <row r="6" spans="1:38">
      <c r="A6" s="74" t="s">
        <v>32</v>
      </c>
      <c r="B6" s="75" t="s">
        <v>92</v>
      </c>
      <c r="C6" s="76">
        <v>3</v>
      </c>
      <c r="J6" s="78"/>
      <c r="K6" s="11"/>
      <c r="L6" s="78"/>
      <c r="M6" s="78"/>
      <c r="N6" s="78"/>
      <c r="O6" s="78"/>
      <c r="R6" s="78"/>
      <c r="S6" s="78"/>
      <c r="X6" s="78"/>
      <c r="AB6" s="78"/>
      <c r="AC6" s="78"/>
      <c r="AF6" s="78"/>
      <c r="AG6" s="78"/>
      <c r="AJ6" s="11"/>
      <c r="AK6" s="78"/>
      <c r="AL6" s="78"/>
    </row>
    <row r="7" spans="1:38">
      <c r="A7" s="74" t="s">
        <v>32</v>
      </c>
      <c r="B7" s="75" t="s">
        <v>110</v>
      </c>
      <c r="C7" s="76">
        <v>3</v>
      </c>
      <c r="J7" s="78"/>
      <c r="K7" s="11"/>
      <c r="L7" s="78"/>
      <c r="M7" s="78"/>
      <c r="N7" s="78"/>
      <c r="O7" s="78"/>
      <c r="R7" s="78"/>
      <c r="S7" s="78"/>
      <c r="X7" s="78"/>
      <c r="AB7" s="78"/>
      <c r="AC7" s="78"/>
      <c r="AF7" s="78"/>
      <c r="AG7" s="78"/>
      <c r="AJ7" s="11"/>
      <c r="AK7" s="78"/>
      <c r="AL7" s="78"/>
    </row>
    <row r="8" spans="1:38">
      <c r="A8" s="74" t="s">
        <v>37</v>
      </c>
      <c r="B8" s="75" t="s">
        <v>137</v>
      </c>
      <c r="C8" s="76">
        <v>3</v>
      </c>
      <c r="J8" s="78"/>
      <c r="K8" s="11"/>
      <c r="L8" s="78"/>
      <c r="M8" s="78"/>
      <c r="N8" s="78"/>
      <c r="O8" s="78"/>
      <c r="R8" s="78"/>
      <c r="S8" s="78"/>
      <c r="X8" s="78"/>
      <c r="AB8" s="78"/>
      <c r="AC8" s="78"/>
      <c r="AF8" s="78"/>
      <c r="AG8" s="78"/>
      <c r="AJ8" s="11"/>
      <c r="AK8" s="78"/>
      <c r="AL8" s="78"/>
    </row>
    <row r="9" spans="1:38">
      <c r="A9" s="74" t="s">
        <v>19</v>
      </c>
      <c r="B9" s="75" t="s">
        <v>18</v>
      </c>
      <c r="C9" s="76">
        <v>3</v>
      </c>
      <c r="J9" s="78"/>
      <c r="K9" s="11"/>
      <c r="L9" s="78"/>
      <c r="M9" s="78"/>
      <c r="N9" s="78"/>
      <c r="O9" s="78"/>
      <c r="R9" s="78"/>
      <c r="S9" s="78"/>
      <c r="X9" s="78"/>
      <c r="AB9" s="78"/>
      <c r="AC9" s="78"/>
      <c r="AF9" s="78"/>
      <c r="AG9" s="78"/>
      <c r="AJ9" s="11"/>
      <c r="AK9" s="78"/>
      <c r="AL9" s="78"/>
    </row>
    <row r="10" spans="1:38">
      <c r="A10" s="74" t="s">
        <v>19</v>
      </c>
      <c r="B10" s="75" t="s">
        <v>81</v>
      </c>
      <c r="C10" s="76">
        <v>3</v>
      </c>
      <c r="J10" s="78"/>
      <c r="K10" s="11"/>
      <c r="L10" s="78"/>
      <c r="M10" s="78"/>
      <c r="N10" s="78"/>
      <c r="O10" s="78"/>
      <c r="R10" s="78"/>
      <c r="S10" s="78"/>
      <c r="X10" s="78"/>
      <c r="AB10" s="78"/>
      <c r="AC10" s="78"/>
      <c r="AF10" s="78"/>
      <c r="AG10" s="78"/>
      <c r="AJ10" s="11"/>
      <c r="AK10" s="78"/>
      <c r="AL10" s="78"/>
    </row>
    <row r="11" spans="1:38">
      <c r="A11" s="74" t="s">
        <v>19</v>
      </c>
      <c r="B11" s="75" t="s">
        <v>116</v>
      </c>
      <c r="C11" s="76">
        <v>3</v>
      </c>
      <c r="J11" s="78"/>
      <c r="K11" s="11"/>
      <c r="L11" s="78"/>
      <c r="M11" s="78"/>
      <c r="N11" s="78"/>
      <c r="O11" s="78"/>
      <c r="R11" s="78"/>
      <c r="S11" s="78"/>
      <c r="X11" s="78"/>
      <c r="AB11" s="78"/>
      <c r="AC11" s="78"/>
      <c r="AF11" s="78"/>
      <c r="AG11" s="78"/>
      <c r="AJ11" s="11"/>
      <c r="AK11" s="78"/>
      <c r="AL11" s="78"/>
    </row>
    <row r="12" spans="1:38">
      <c r="A12" s="74" t="s">
        <v>26</v>
      </c>
      <c r="B12" s="75" t="s">
        <v>82</v>
      </c>
      <c r="C12" s="76">
        <v>3</v>
      </c>
      <c r="J12" s="78"/>
      <c r="K12" s="11"/>
      <c r="L12" s="78"/>
      <c r="M12" s="78"/>
      <c r="N12" s="78"/>
      <c r="O12" s="78"/>
      <c r="R12" s="78"/>
      <c r="S12" s="78"/>
      <c r="X12" s="78"/>
      <c r="AB12" s="78"/>
      <c r="AC12" s="78"/>
      <c r="AF12" s="78"/>
      <c r="AG12" s="78"/>
      <c r="AJ12" s="11"/>
      <c r="AK12" s="78"/>
      <c r="AL12" s="78"/>
    </row>
    <row r="13" spans="1:38">
      <c r="A13" s="74" t="s">
        <v>43</v>
      </c>
      <c r="B13" s="75" t="s">
        <v>44</v>
      </c>
      <c r="C13" s="76">
        <v>2</v>
      </c>
      <c r="J13" s="78"/>
      <c r="K13" s="11"/>
      <c r="L13" s="78"/>
      <c r="M13" s="78"/>
      <c r="N13" s="78"/>
      <c r="O13" s="78"/>
      <c r="R13" s="78"/>
      <c r="S13" s="78"/>
      <c r="X13" s="78"/>
      <c r="AB13" s="78"/>
      <c r="AC13" s="78"/>
      <c r="AF13" s="78"/>
      <c r="AG13" s="78"/>
      <c r="AJ13" s="11"/>
      <c r="AK13" s="78"/>
      <c r="AL13" s="78"/>
    </row>
    <row r="14" spans="1:38">
      <c r="A14" s="74" t="s">
        <v>32</v>
      </c>
      <c r="B14" s="75" t="s">
        <v>38</v>
      </c>
      <c r="C14" s="76">
        <v>2</v>
      </c>
      <c r="J14" s="78"/>
      <c r="K14" s="11"/>
      <c r="L14" s="78"/>
      <c r="M14" s="78"/>
      <c r="N14" s="78"/>
      <c r="O14" s="78"/>
      <c r="R14" s="78"/>
      <c r="S14" s="78"/>
      <c r="X14" s="78"/>
      <c r="AB14" s="78"/>
      <c r="AC14" s="78"/>
      <c r="AF14" s="78"/>
      <c r="AG14" s="78"/>
      <c r="AJ14" s="11"/>
      <c r="AK14" s="78"/>
      <c r="AL14" s="78"/>
    </row>
    <row r="15" spans="1:38">
      <c r="A15" s="74" t="s">
        <v>37</v>
      </c>
      <c r="B15" s="75" t="s">
        <v>57</v>
      </c>
      <c r="C15" s="76">
        <v>2</v>
      </c>
      <c r="J15" s="78"/>
      <c r="K15" s="11"/>
      <c r="L15" s="78"/>
      <c r="M15" s="78"/>
      <c r="N15" s="78"/>
      <c r="O15" s="78"/>
      <c r="R15" s="78"/>
      <c r="S15" s="78"/>
      <c r="X15" s="78"/>
      <c r="AB15" s="78"/>
      <c r="AC15" s="78"/>
      <c r="AF15" s="78"/>
      <c r="AG15" s="78"/>
      <c r="AJ15" s="11"/>
      <c r="AK15" s="78"/>
      <c r="AL15" s="78"/>
    </row>
    <row r="16" spans="1:38">
      <c r="A16" s="74" t="s">
        <v>37</v>
      </c>
      <c r="B16" s="75" t="s">
        <v>96</v>
      </c>
      <c r="C16" s="76">
        <v>2</v>
      </c>
      <c r="J16" s="78"/>
      <c r="K16" s="11"/>
      <c r="L16" s="78"/>
      <c r="M16" s="78"/>
      <c r="N16" s="78"/>
      <c r="O16" s="78"/>
      <c r="R16" s="78"/>
      <c r="S16" s="78"/>
      <c r="X16" s="78"/>
      <c r="AB16" s="78"/>
      <c r="AC16" s="78"/>
      <c r="AF16" s="78"/>
      <c r="AG16" s="78"/>
      <c r="AJ16" s="11"/>
      <c r="AK16" s="78"/>
      <c r="AL16" s="78"/>
    </row>
    <row r="17" spans="1:38">
      <c r="A17" s="74" t="s">
        <v>26</v>
      </c>
      <c r="B17" s="75" t="s">
        <v>70</v>
      </c>
      <c r="C17" s="76">
        <v>2</v>
      </c>
      <c r="J17" s="78"/>
      <c r="K17" s="11"/>
      <c r="L17" s="78"/>
      <c r="M17" s="78"/>
      <c r="N17" s="78"/>
      <c r="O17" s="78"/>
      <c r="R17" s="78"/>
      <c r="S17" s="78"/>
      <c r="X17" s="78"/>
      <c r="AB17" s="78"/>
      <c r="AC17" s="78"/>
      <c r="AF17" s="78"/>
      <c r="AG17" s="78"/>
      <c r="AJ17" s="11"/>
      <c r="AK17" s="78"/>
      <c r="AL17" s="78"/>
    </row>
    <row r="18" spans="1:38">
      <c r="A18" s="74" t="s">
        <v>43</v>
      </c>
      <c r="B18" s="75" t="s">
        <v>45</v>
      </c>
      <c r="C18" s="76">
        <v>1</v>
      </c>
      <c r="J18" s="78"/>
      <c r="K18" s="11"/>
      <c r="L18" s="78"/>
      <c r="M18" s="78"/>
      <c r="N18" s="78"/>
      <c r="O18" s="78"/>
      <c r="R18" s="78"/>
      <c r="S18" s="78"/>
      <c r="X18" s="78"/>
      <c r="AB18" s="78"/>
      <c r="AC18" s="78"/>
      <c r="AF18" s="78"/>
      <c r="AG18" s="78"/>
      <c r="AJ18" s="11"/>
      <c r="AK18" s="78"/>
      <c r="AL18" s="78"/>
    </row>
    <row r="19" spans="1:38">
      <c r="A19" s="74" t="s">
        <v>43</v>
      </c>
      <c r="B19" s="75" t="s">
        <v>114</v>
      </c>
      <c r="C19" s="76">
        <v>1</v>
      </c>
      <c r="J19" s="78"/>
      <c r="K19" s="11"/>
      <c r="L19" s="78"/>
      <c r="M19" s="78"/>
      <c r="N19" s="78"/>
      <c r="O19" s="78"/>
      <c r="R19" s="78"/>
      <c r="S19" s="78"/>
      <c r="X19" s="78"/>
      <c r="AB19" s="78"/>
      <c r="AC19" s="78"/>
      <c r="AF19" s="78"/>
      <c r="AG19" s="78"/>
      <c r="AJ19" s="11"/>
      <c r="AK19" s="78"/>
      <c r="AL19" s="78"/>
    </row>
    <row r="20" spans="1:38">
      <c r="A20" s="74" t="s">
        <v>37</v>
      </c>
      <c r="B20" s="75" t="s">
        <v>97</v>
      </c>
      <c r="C20" s="76">
        <v>1</v>
      </c>
      <c r="J20" s="78"/>
      <c r="K20" s="11"/>
      <c r="L20" s="78"/>
      <c r="M20" s="78"/>
      <c r="N20" s="78"/>
      <c r="O20" s="78"/>
      <c r="R20" s="78"/>
      <c r="S20" s="78"/>
      <c r="X20" s="78"/>
      <c r="AB20" s="78"/>
      <c r="AC20" s="78"/>
      <c r="AF20" s="78"/>
      <c r="AG20" s="78"/>
      <c r="AJ20" s="11"/>
      <c r="AK20" s="78"/>
      <c r="AL20" s="78"/>
    </row>
    <row r="21" spans="1:38">
      <c r="A21" s="74" t="s">
        <v>19</v>
      </c>
      <c r="B21" s="75" t="s">
        <v>83</v>
      </c>
      <c r="C21" s="76">
        <v>1</v>
      </c>
      <c r="J21" s="78"/>
      <c r="K21" s="11"/>
      <c r="L21" s="78"/>
      <c r="M21" s="78"/>
      <c r="N21" s="78"/>
      <c r="O21" s="78"/>
      <c r="R21" s="78"/>
      <c r="S21" s="78"/>
      <c r="X21" s="78"/>
      <c r="AB21" s="78"/>
      <c r="AC21" s="78"/>
      <c r="AF21" s="78"/>
      <c r="AG21" s="78"/>
      <c r="AJ21" s="11"/>
      <c r="AK21" s="78"/>
      <c r="AL21" s="78"/>
    </row>
    <row r="22" spans="1:38">
      <c r="A22" s="74" t="s">
        <v>26</v>
      </c>
      <c r="B22" s="75" t="s">
        <v>25</v>
      </c>
      <c r="C22" s="76">
        <v>1</v>
      </c>
      <c r="J22" s="78"/>
      <c r="K22" s="11"/>
      <c r="L22" s="78"/>
      <c r="M22" s="78"/>
      <c r="N22" s="78"/>
      <c r="O22" s="78"/>
      <c r="R22" s="78"/>
      <c r="S22" s="78"/>
      <c r="X22" s="78"/>
      <c r="AB22" s="78"/>
      <c r="AC22" s="78"/>
      <c r="AF22" s="78"/>
      <c r="AG22" s="78"/>
      <c r="AJ22" s="11"/>
      <c r="AK22" s="78"/>
      <c r="AL22" s="78"/>
    </row>
    <row r="23" spans="1:38">
      <c r="J23" s="78"/>
      <c r="K23" s="11"/>
      <c r="L23" s="78"/>
      <c r="M23" s="78"/>
      <c r="N23" s="78"/>
      <c r="O23" s="78"/>
      <c r="R23" s="78"/>
      <c r="S23" s="78"/>
      <c r="X23" s="78"/>
      <c r="AB23" s="78"/>
      <c r="AC23" s="78"/>
      <c r="AF23" s="78"/>
      <c r="AG23" s="78"/>
      <c r="AJ23" s="11"/>
      <c r="AK23" s="78"/>
      <c r="AL23" s="78"/>
    </row>
    <row r="24" spans="1:38">
      <c r="J24" s="78"/>
      <c r="K24" s="11"/>
      <c r="L24" s="78"/>
      <c r="M24" s="78"/>
      <c r="N24" s="78"/>
      <c r="O24" s="78"/>
      <c r="R24" s="78"/>
      <c r="S24" s="78"/>
      <c r="X24" s="78"/>
      <c r="AB24" s="78"/>
      <c r="AC24" s="78"/>
      <c r="AF24" s="78"/>
      <c r="AG24" s="78"/>
      <c r="AJ24" s="11"/>
      <c r="AK24" s="78"/>
      <c r="AL24" s="78"/>
    </row>
    <row r="25" spans="1:38">
      <c r="X25" s="81"/>
      <c r="AJ25" s="11"/>
      <c r="AK25" s="78"/>
      <c r="AL25" s="78"/>
    </row>
    <row r="26" spans="1:38">
      <c r="X26" s="80"/>
    </row>
    <row r="27" spans="1:38" ht="20">
      <c r="I27" s="108"/>
      <c r="J27" s="107"/>
      <c r="K27" s="107"/>
      <c r="L27" s="107"/>
      <c r="M27" s="107"/>
      <c r="N27" s="107"/>
      <c r="O27" s="107"/>
      <c r="P27" s="107"/>
      <c r="Q27" s="107"/>
      <c r="R27" s="107"/>
      <c r="X27" s="81"/>
    </row>
    <row r="28" spans="1:38">
      <c r="I28" s="74"/>
      <c r="J28" s="74"/>
      <c r="K28" s="74"/>
      <c r="L28" s="74"/>
      <c r="M28" s="74"/>
      <c r="N28" s="74"/>
      <c r="Q28" s="74"/>
      <c r="R28" s="74"/>
      <c r="X28" s="81"/>
    </row>
    <row r="29" spans="1:38">
      <c r="I29" s="74"/>
      <c r="J29" s="11"/>
      <c r="K29" s="74"/>
      <c r="L29" s="74"/>
      <c r="M29" s="74"/>
      <c r="N29" s="74"/>
      <c r="Q29" s="74"/>
      <c r="R29" s="74"/>
      <c r="X29" s="81"/>
    </row>
    <row r="30" spans="1:38">
      <c r="I30" s="74"/>
      <c r="J30" s="11"/>
      <c r="K30" s="74"/>
      <c r="L30" s="74"/>
      <c r="M30" s="74"/>
      <c r="N30" s="74"/>
      <c r="Q30" s="74"/>
      <c r="R30" s="74"/>
      <c r="X30" s="74"/>
      <c r="Y30" s="11"/>
      <c r="Z30" s="74"/>
      <c r="AA30" s="74"/>
      <c r="AB30" s="74"/>
      <c r="AC30" s="74"/>
      <c r="AF30" s="74"/>
      <c r="AG30" s="74"/>
    </row>
    <row r="31" spans="1:38">
      <c r="I31" s="74"/>
      <c r="J31" s="11"/>
      <c r="K31" s="74"/>
      <c r="L31" s="74"/>
      <c r="M31" s="74"/>
      <c r="N31" s="74"/>
      <c r="Q31" s="74"/>
      <c r="R31" s="74"/>
      <c r="X31" s="74"/>
      <c r="Y31" s="11"/>
      <c r="Z31" s="74"/>
      <c r="AA31" s="74"/>
      <c r="AB31" s="74"/>
      <c r="AC31" s="74"/>
      <c r="AF31" s="74"/>
      <c r="AG31" s="74"/>
    </row>
    <row r="32" spans="1:38">
      <c r="I32" s="74"/>
      <c r="J32" s="11"/>
      <c r="K32" s="74"/>
      <c r="L32" s="74"/>
      <c r="M32" s="74"/>
      <c r="N32" s="74"/>
      <c r="Q32" s="74"/>
      <c r="R32" s="74"/>
      <c r="X32" s="74"/>
      <c r="Y32" s="11"/>
      <c r="Z32" s="74"/>
      <c r="AA32" s="74"/>
      <c r="AB32" s="74"/>
      <c r="AC32" s="74"/>
      <c r="AF32" s="74"/>
      <c r="AG32" s="74"/>
    </row>
    <row r="33" spans="9:33">
      <c r="I33" s="74"/>
      <c r="J33" s="11"/>
      <c r="K33" s="74"/>
      <c r="L33" s="74"/>
      <c r="M33" s="74"/>
      <c r="N33" s="74"/>
      <c r="Q33" s="74"/>
      <c r="R33" s="74"/>
      <c r="X33" s="74"/>
      <c r="Y33" s="11"/>
      <c r="Z33" s="74"/>
      <c r="AA33" s="74"/>
      <c r="AB33" s="74"/>
      <c r="AC33" s="74"/>
      <c r="AF33" s="74"/>
      <c r="AG33" s="74"/>
    </row>
    <row r="34" spans="9:33">
      <c r="I34" s="74"/>
      <c r="J34" s="11"/>
      <c r="K34" s="74"/>
      <c r="L34" s="74"/>
      <c r="M34" s="74"/>
      <c r="N34" s="74"/>
      <c r="Q34" s="74"/>
      <c r="R34" s="74"/>
      <c r="X34" s="74"/>
      <c r="Y34" s="11"/>
      <c r="Z34" s="74"/>
      <c r="AA34" s="74"/>
      <c r="AB34" s="74"/>
      <c r="AC34" s="74"/>
      <c r="AF34" s="74"/>
      <c r="AG34" s="74"/>
    </row>
    <row r="35" spans="9:33">
      <c r="I35" s="74"/>
      <c r="J35" s="11"/>
      <c r="K35" s="74"/>
      <c r="L35" s="74"/>
      <c r="M35" s="74"/>
      <c r="N35" s="74"/>
      <c r="Q35" s="74"/>
      <c r="R35" s="74"/>
      <c r="X35" s="74"/>
      <c r="Y35" s="11"/>
      <c r="Z35" s="74"/>
      <c r="AA35" s="74"/>
      <c r="AB35" s="74"/>
      <c r="AC35" s="74"/>
      <c r="AF35" s="74"/>
      <c r="AG35" s="74"/>
    </row>
    <row r="36" spans="9:33">
      <c r="I36" s="74"/>
      <c r="J36" s="11"/>
      <c r="K36" s="74"/>
      <c r="L36" s="74"/>
      <c r="M36" s="74"/>
      <c r="N36" s="74"/>
      <c r="Q36" s="74"/>
      <c r="R36" s="74"/>
      <c r="X36" s="74"/>
      <c r="Y36" s="11"/>
      <c r="Z36" s="74"/>
      <c r="AA36" s="74"/>
      <c r="AB36" s="74"/>
      <c r="AC36" s="74"/>
      <c r="AF36" s="74"/>
      <c r="AG36" s="74"/>
    </row>
    <row r="37" spans="9:33">
      <c r="I37" s="74"/>
      <c r="J37" s="11"/>
      <c r="K37" s="74"/>
      <c r="L37" s="74"/>
      <c r="M37" s="74"/>
      <c r="N37" s="74"/>
      <c r="Q37" s="74"/>
      <c r="R37" s="74"/>
      <c r="X37" s="74"/>
      <c r="Y37" s="11"/>
      <c r="Z37" s="74"/>
      <c r="AA37" s="74"/>
      <c r="AB37" s="74"/>
      <c r="AC37" s="74"/>
      <c r="AF37" s="74"/>
      <c r="AG37" s="74"/>
    </row>
    <row r="38" spans="9:33">
      <c r="I38" s="74"/>
      <c r="J38" s="11"/>
      <c r="K38" s="74"/>
      <c r="L38" s="74"/>
      <c r="M38" s="74"/>
      <c r="N38" s="74"/>
      <c r="Q38" s="74"/>
      <c r="R38" s="74"/>
      <c r="X38" s="74"/>
      <c r="Y38" s="11"/>
      <c r="Z38" s="74"/>
      <c r="AA38" s="74"/>
      <c r="AB38" s="74"/>
      <c r="AC38" s="74"/>
      <c r="AF38" s="74"/>
      <c r="AG38" s="74"/>
    </row>
    <row r="39" spans="9:33">
      <c r="I39" s="74"/>
      <c r="J39" s="11"/>
      <c r="K39" s="74"/>
      <c r="L39" s="74"/>
      <c r="M39" s="74"/>
      <c r="N39" s="74"/>
      <c r="Q39" s="74"/>
      <c r="R39" s="74"/>
      <c r="X39" s="74"/>
      <c r="Y39" s="11"/>
      <c r="Z39" s="74"/>
      <c r="AA39" s="74"/>
      <c r="AB39" s="74"/>
      <c r="AC39" s="74"/>
      <c r="AF39" s="74"/>
      <c r="AG39" s="74"/>
    </row>
    <row r="40" spans="9:33">
      <c r="I40" s="74"/>
      <c r="J40" s="11"/>
      <c r="K40" s="74"/>
      <c r="L40" s="74"/>
      <c r="M40" s="74"/>
      <c r="N40" s="74"/>
      <c r="Q40" s="74"/>
      <c r="R40" s="74"/>
      <c r="X40" s="74"/>
      <c r="Y40" s="11"/>
      <c r="Z40" s="74"/>
      <c r="AA40" s="74"/>
      <c r="AB40" s="74"/>
      <c r="AC40" s="74"/>
      <c r="AF40" s="74"/>
      <c r="AG40" s="74"/>
    </row>
    <row r="41" spans="9:33">
      <c r="I41" s="74"/>
      <c r="J41" s="11"/>
      <c r="K41" s="74"/>
      <c r="L41" s="74"/>
      <c r="M41" s="74"/>
      <c r="N41" s="74"/>
      <c r="Q41" s="74"/>
      <c r="R41" s="74"/>
      <c r="X41" s="74"/>
      <c r="Y41" s="11"/>
      <c r="Z41" s="74"/>
      <c r="AA41" s="74"/>
      <c r="AB41" s="74"/>
      <c r="AC41" s="74"/>
      <c r="AF41" s="74"/>
      <c r="AG41" s="74"/>
    </row>
    <row r="42" spans="9:33">
      <c r="I42" s="74"/>
      <c r="J42" s="11"/>
      <c r="K42" s="74"/>
      <c r="L42" s="74"/>
      <c r="M42" s="74"/>
      <c r="N42" s="74"/>
      <c r="Q42" s="74"/>
      <c r="R42" s="74"/>
      <c r="X42" s="74"/>
      <c r="Y42" s="11"/>
      <c r="Z42" s="74"/>
      <c r="AA42" s="74"/>
      <c r="AB42" s="74"/>
      <c r="AC42" s="74"/>
      <c r="AF42" s="74"/>
      <c r="AG42" s="74"/>
    </row>
    <row r="43" spans="9:33">
      <c r="I43" s="74"/>
      <c r="J43" s="11"/>
      <c r="K43" s="74"/>
      <c r="L43" s="74"/>
      <c r="M43" s="74"/>
      <c r="N43" s="74"/>
      <c r="Q43" s="74"/>
      <c r="R43" s="74"/>
      <c r="X43" s="74"/>
      <c r="Y43" s="11"/>
      <c r="Z43" s="74"/>
      <c r="AA43" s="74"/>
      <c r="AB43" s="74"/>
      <c r="AC43" s="74"/>
      <c r="AF43" s="74"/>
      <c r="AG43" s="74"/>
    </row>
    <row r="44" spans="9:33">
      <c r="I44" s="74"/>
      <c r="J44" s="11"/>
      <c r="K44" s="74"/>
      <c r="L44" s="74"/>
      <c r="M44" s="74"/>
      <c r="N44" s="74"/>
      <c r="Q44" s="74"/>
      <c r="R44" s="74"/>
      <c r="X44" s="74"/>
      <c r="Y44" s="11"/>
      <c r="Z44" s="74"/>
      <c r="AA44" s="74"/>
      <c r="AB44" s="74"/>
      <c r="AC44" s="74"/>
      <c r="AF44" s="74"/>
      <c r="AG44" s="74"/>
    </row>
    <row r="45" spans="9:33">
      <c r="I45" s="74"/>
      <c r="J45" s="11"/>
      <c r="K45" s="74"/>
      <c r="L45" s="74"/>
      <c r="M45" s="74"/>
      <c r="N45" s="74"/>
      <c r="Q45" s="74"/>
      <c r="R45" s="74"/>
      <c r="X45" s="74"/>
      <c r="Y45" s="11"/>
      <c r="Z45" s="74"/>
      <c r="AA45" s="74"/>
      <c r="AB45" s="74"/>
      <c r="AC45" s="74"/>
      <c r="AF45" s="74"/>
      <c r="AG45" s="74"/>
    </row>
    <row r="46" spans="9:33">
      <c r="I46" s="74"/>
      <c r="J46" s="11"/>
      <c r="K46" s="74"/>
      <c r="L46" s="74"/>
      <c r="M46" s="74"/>
      <c r="N46" s="74"/>
      <c r="Q46" s="74"/>
      <c r="R46" s="74"/>
      <c r="X46" s="74"/>
      <c r="Y46" s="11"/>
      <c r="Z46" s="74"/>
      <c r="AA46" s="74"/>
      <c r="AB46" s="74"/>
      <c r="AC46" s="74"/>
      <c r="AF46" s="74"/>
      <c r="AG46" s="74"/>
    </row>
    <row r="47" spans="9:33">
      <c r="I47" s="74"/>
      <c r="J47" s="11"/>
      <c r="K47" s="74"/>
      <c r="L47" s="74"/>
      <c r="M47" s="74"/>
      <c r="N47" s="74"/>
      <c r="Q47" s="74"/>
      <c r="R47" s="74"/>
      <c r="X47" s="74"/>
      <c r="Y47" s="11"/>
      <c r="Z47" s="74"/>
      <c r="AA47" s="74"/>
      <c r="AB47" s="74"/>
      <c r="AC47" s="74"/>
      <c r="AF47" s="74"/>
      <c r="AG47" s="74"/>
    </row>
    <row r="48" spans="9:33">
      <c r="I48" s="74"/>
      <c r="J48" s="11"/>
      <c r="K48" s="74"/>
      <c r="L48" s="74"/>
      <c r="M48" s="74"/>
      <c r="N48" s="74"/>
      <c r="Q48" s="74"/>
      <c r="R48" s="74"/>
      <c r="X48" s="74"/>
      <c r="Y48" s="11"/>
      <c r="Z48" s="74"/>
      <c r="AA48" s="74"/>
      <c r="AB48" s="74"/>
      <c r="AC48" s="74"/>
      <c r="AF48" s="74"/>
      <c r="AG48" s="74"/>
    </row>
    <row r="49" spans="9:33" ht="20">
      <c r="I49" s="79"/>
      <c r="X49" s="74"/>
      <c r="Y49" s="11"/>
      <c r="Z49" s="74"/>
      <c r="AA49" s="74"/>
      <c r="AB49" s="74"/>
      <c r="AC49" s="74"/>
      <c r="AF49" s="74"/>
      <c r="AG49" s="74"/>
    </row>
    <row r="50" spans="9:33" ht="20">
      <c r="I50" s="80"/>
      <c r="X50" s="79"/>
    </row>
    <row r="51" spans="9:33" ht="20">
      <c r="I51" s="79"/>
      <c r="X51" s="80"/>
    </row>
    <row r="52" spans="9:33" ht="20">
      <c r="I52" s="79"/>
      <c r="X52" s="79"/>
    </row>
    <row r="53" spans="9:33" ht="20">
      <c r="I53" s="79"/>
      <c r="X53" s="79"/>
    </row>
    <row r="54" spans="9:33" ht="20">
      <c r="X54" s="79"/>
    </row>
  </sheetData>
  <mergeCells count="3">
    <mergeCell ref="J3:S3"/>
    <mergeCell ref="I27:R27"/>
    <mergeCell ref="X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spreadsheet</vt:lpstr>
      <vt:lpstr>descriptive statistics</vt:lpstr>
      <vt:lpstr>correlation matrix</vt:lpstr>
      <vt:lpstr>total sample</vt:lpstr>
      <vt:lpstr>Charged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Gichuhi</dc:creator>
  <cp:lastModifiedBy>Brian Gichuhi</cp:lastModifiedBy>
  <dcterms:created xsi:type="dcterms:W3CDTF">2024-02-15T16:13:11Z</dcterms:created>
  <dcterms:modified xsi:type="dcterms:W3CDTF">2024-04-06T14:48:32Z</dcterms:modified>
</cp:coreProperties>
</file>