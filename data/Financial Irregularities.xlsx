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hidePivotFieldList="1"/>
  <mc:AlternateContent xmlns:mc="http://schemas.openxmlformats.org/markup-compatibility/2006">
    <mc:Choice Requires="x15">
      <x15ac:absPath xmlns:x15ac="http://schemas.microsoft.com/office/spreadsheetml/2010/11/ac" url="/Users/briangichuhi/Desktop/Excel diss/"/>
    </mc:Choice>
  </mc:AlternateContent>
  <xr:revisionPtr revIDLastSave="0" documentId="13_ncr:1_{2E1F1F04-D7AD-2A40-A859-0E96361CF87B}" xr6:coauthVersionLast="47" xr6:coauthVersionMax="47" xr10:uidLastSave="{00000000-0000-0000-0000-000000000000}"/>
  <bookViews>
    <workbookView xWindow="0" yWindow="0" windowWidth="28800" windowHeight="18000" activeTab="3" xr2:uid="{9B2729B3-8690-3F40-B182-04091426D2F8}"/>
  </bookViews>
  <sheets>
    <sheet name="Team spreadsheet" sheetId="9" r:id="rId1"/>
    <sheet name="MEthodology 1(total sample)" sheetId="5" r:id="rId2"/>
    <sheet name="Finding 2(charged teams)" sheetId="6" r:id="rId3"/>
    <sheet name="Finding 3(Descriptive Stats)" sheetId="12" r:id="rId4"/>
    <sheet name="Finding 4(Correlation Matrix)" sheetId="11" r:id="rId5"/>
    <sheet name="Team sheet backup 3" sheetId="19" r:id="rId6"/>
    <sheet name="Omitted data" sheetId="4" r:id="rId7"/>
    <sheet name="Teamsheet backup 2" sheetId="13" r:id="rId8"/>
    <sheet name="Sheet 1" sheetId="1" r:id="rId9"/>
    <sheet name="Sheet3" sheetId="3" r:id="rId10"/>
  </sheets>
  <definedNames>
    <definedName name="_xlnm._FilterDatabase" localSheetId="2" hidden="1">'Finding 2(charged teams)'!$F$2:$H$2</definedName>
    <definedName name="_xlnm._FilterDatabase" localSheetId="8" hidden="1">'Sheet 1'!$A$2:$S$2</definedName>
    <definedName name="_xlnm._FilterDatabase" localSheetId="0" hidden="1">'Team spreadsheet'!$A$1:$T$1</definedName>
    <definedName name="solver_eng" localSheetId="8" hidden="1">1</definedName>
    <definedName name="solver_lin" localSheetId="8" hidden="1">2</definedName>
    <definedName name="solver_neg" localSheetId="8" hidden="1">1</definedName>
    <definedName name="solver_num" localSheetId="8" hidden="1">0</definedName>
    <definedName name="solver_opt" localSheetId="8" hidden="1">'Sheet 1'!$D$2</definedName>
    <definedName name="solver_typ" localSheetId="8" hidden="1">1</definedName>
    <definedName name="solver_val" localSheetId="8" hidden="1">0</definedName>
    <definedName name="solver_ver" localSheetId="8" hidden="1">2</definedName>
  </definedNames>
  <calcPr calcId="191028"/>
  <pivotCaches>
    <pivotCache cacheId="10" r:id="rId11"/>
    <pivotCache cacheId="1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07" i="19" l="1"/>
  <c r="H407" i="19" s="1"/>
  <c r="G407" i="19"/>
  <c r="F407" i="19"/>
  <c r="T406" i="19"/>
  <c r="I406" i="19"/>
  <c r="H406" i="19"/>
  <c r="G406" i="19"/>
  <c r="F406" i="19"/>
  <c r="T405" i="19"/>
  <c r="H405" i="19" s="1"/>
  <c r="I405" i="19"/>
  <c r="I407" i="19" s="1"/>
  <c r="G405" i="19"/>
  <c r="F405" i="19"/>
  <c r="T404" i="19"/>
  <c r="H404" i="19" s="1"/>
  <c r="I404" i="19"/>
  <c r="G404" i="19"/>
  <c r="F404" i="19"/>
  <c r="T403" i="19"/>
  <c r="H403" i="19"/>
  <c r="G403" i="19"/>
  <c r="F403" i="19"/>
  <c r="T402" i="19"/>
  <c r="I402" i="19"/>
  <c r="H402" i="19"/>
  <c r="G402" i="19"/>
  <c r="F402" i="19"/>
  <c r="T401" i="19"/>
  <c r="I401" i="19"/>
  <c r="H401" i="19"/>
  <c r="G401" i="19"/>
  <c r="F401" i="19"/>
  <c r="T400" i="19"/>
  <c r="I400" i="19"/>
  <c r="H400" i="19"/>
  <c r="G400" i="19"/>
  <c r="F400" i="19"/>
  <c r="T399" i="19"/>
  <c r="H399" i="19" s="1"/>
  <c r="I399" i="19"/>
  <c r="G399" i="19"/>
  <c r="F399" i="19"/>
  <c r="T398" i="19"/>
  <c r="H398" i="19"/>
  <c r="G398" i="19"/>
  <c r="F398" i="19"/>
  <c r="T397" i="19"/>
  <c r="I397" i="19"/>
  <c r="H397" i="19"/>
  <c r="G397" i="19"/>
  <c r="F397" i="19"/>
  <c r="T396" i="19"/>
  <c r="I396" i="19"/>
  <c r="H396" i="19"/>
  <c r="G396" i="19"/>
  <c r="F396" i="19"/>
  <c r="T395" i="19"/>
  <c r="I395" i="19"/>
  <c r="H395" i="19"/>
  <c r="G395" i="19"/>
  <c r="F395" i="19"/>
  <c r="T394" i="19"/>
  <c r="Q394" i="19" s="1"/>
  <c r="G394" i="19"/>
  <c r="F394" i="19"/>
  <c r="T393" i="19"/>
  <c r="Q393" i="19"/>
  <c r="I393" i="19"/>
  <c r="H393" i="19"/>
  <c r="G393" i="19"/>
  <c r="F393" i="19"/>
  <c r="T392" i="19"/>
  <c r="I392" i="19"/>
  <c r="H392" i="19"/>
  <c r="G392" i="19"/>
  <c r="F392" i="19"/>
  <c r="T391" i="19"/>
  <c r="H391" i="19" s="1"/>
  <c r="I391" i="19"/>
  <c r="G391" i="19"/>
  <c r="F391" i="19"/>
  <c r="T390" i="19"/>
  <c r="I390" i="19"/>
  <c r="H390" i="19"/>
  <c r="G390" i="19"/>
  <c r="F390" i="19"/>
  <c r="T389" i="19"/>
  <c r="Q389" i="19" s="1"/>
  <c r="H389" i="19"/>
  <c r="G389" i="19"/>
  <c r="F389" i="19"/>
  <c r="T388" i="19"/>
  <c r="H388" i="19" s="1"/>
  <c r="I388" i="19"/>
  <c r="G388" i="19"/>
  <c r="F388" i="19"/>
  <c r="T387" i="19"/>
  <c r="Q387" i="19" s="1"/>
  <c r="I387" i="19"/>
  <c r="G387" i="19"/>
  <c r="F387" i="19"/>
  <c r="T386" i="19"/>
  <c r="Q386" i="19" s="1"/>
  <c r="I386" i="19"/>
  <c r="H386" i="19"/>
  <c r="G386" i="19"/>
  <c r="F386" i="19"/>
  <c r="T385" i="19"/>
  <c r="H385" i="19" s="1"/>
  <c r="G385" i="19"/>
  <c r="F385" i="19"/>
  <c r="T384" i="19"/>
  <c r="H384" i="19" s="1"/>
  <c r="I384" i="19"/>
  <c r="G384" i="19"/>
  <c r="F384" i="19"/>
  <c r="T383" i="19"/>
  <c r="I383" i="19"/>
  <c r="H383" i="19"/>
  <c r="G383" i="19"/>
  <c r="F383" i="19"/>
  <c r="T382" i="19"/>
  <c r="H382" i="19" s="1"/>
  <c r="I382" i="19"/>
  <c r="G382" i="19"/>
  <c r="F382" i="19"/>
  <c r="T381" i="19"/>
  <c r="I381" i="19"/>
  <c r="H381" i="19"/>
  <c r="G381" i="19"/>
  <c r="F381" i="19"/>
  <c r="T380" i="19"/>
  <c r="H380" i="19" s="1"/>
  <c r="G380" i="19"/>
  <c r="F380" i="19"/>
  <c r="T379" i="19"/>
  <c r="I379" i="19"/>
  <c r="H379" i="19"/>
  <c r="G379" i="19"/>
  <c r="F379" i="19"/>
  <c r="T378" i="19"/>
  <c r="I378" i="19"/>
  <c r="H378" i="19"/>
  <c r="G378" i="19"/>
  <c r="F378" i="19"/>
  <c r="T377" i="19"/>
  <c r="H377" i="19" s="1"/>
  <c r="I377" i="19"/>
  <c r="G377" i="19"/>
  <c r="F377" i="19"/>
  <c r="T376" i="19"/>
  <c r="I376" i="19"/>
  <c r="H376" i="19"/>
  <c r="G376" i="19"/>
  <c r="F376" i="19"/>
  <c r="H375" i="19"/>
  <c r="G375" i="19"/>
  <c r="F375" i="19"/>
  <c r="I374" i="19"/>
  <c r="H374" i="19"/>
  <c r="G374" i="19"/>
  <c r="F374" i="19"/>
  <c r="T373" i="19"/>
  <c r="H373" i="19"/>
  <c r="G373" i="19"/>
  <c r="F373" i="19"/>
  <c r="T372" i="19"/>
  <c r="I372" i="19"/>
  <c r="H372" i="19"/>
  <c r="G372" i="19"/>
  <c r="F372" i="19"/>
  <c r="T371" i="19"/>
  <c r="H371" i="19" s="1"/>
  <c r="I371" i="19"/>
  <c r="G371" i="19"/>
  <c r="F371" i="19"/>
  <c r="T370" i="19"/>
  <c r="I370" i="19"/>
  <c r="H370" i="19"/>
  <c r="G370" i="19"/>
  <c r="F370" i="19"/>
  <c r="T369" i="19"/>
  <c r="I369" i="19"/>
  <c r="H369" i="19"/>
  <c r="G369" i="19"/>
  <c r="F369" i="19"/>
  <c r="H368" i="19"/>
  <c r="G368" i="19"/>
  <c r="F368" i="19"/>
  <c r="I367" i="19"/>
  <c r="H367" i="19"/>
  <c r="G367" i="19"/>
  <c r="F367" i="19"/>
  <c r="I366" i="19"/>
  <c r="H366" i="19"/>
  <c r="G366" i="19"/>
  <c r="F366" i="19"/>
  <c r="T365" i="19"/>
  <c r="H365" i="19" s="1"/>
  <c r="G365" i="19"/>
  <c r="F365" i="19"/>
  <c r="T364" i="19"/>
  <c r="H364" i="19" s="1"/>
  <c r="I364" i="19"/>
  <c r="G364" i="19"/>
  <c r="F364" i="19"/>
  <c r="T363" i="19"/>
  <c r="I363" i="19"/>
  <c r="H363" i="19"/>
  <c r="G363" i="19"/>
  <c r="F363" i="19"/>
  <c r="T362" i="19"/>
  <c r="H362" i="19" s="1"/>
  <c r="I362" i="19"/>
  <c r="G362" i="19"/>
  <c r="F362" i="19"/>
  <c r="T361" i="19"/>
  <c r="I361" i="19"/>
  <c r="H361" i="19"/>
  <c r="G361" i="19"/>
  <c r="F361" i="19"/>
  <c r="T360" i="19"/>
  <c r="H360" i="19" s="1"/>
  <c r="G360" i="19"/>
  <c r="F360" i="19"/>
  <c r="T359" i="19"/>
  <c r="H359" i="19" s="1"/>
  <c r="I359" i="19"/>
  <c r="G359" i="19"/>
  <c r="F359" i="19"/>
  <c r="T358" i="19"/>
  <c r="I358" i="19"/>
  <c r="H358" i="19"/>
  <c r="G358" i="19"/>
  <c r="F358" i="19"/>
  <c r="T357" i="19"/>
  <c r="H357" i="19" s="1"/>
  <c r="I357" i="19"/>
  <c r="G357" i="19"/>
  <c r="F357" i="19"/>
  <c r="T356" i="19"/>
  <c r="I356" i="19"/>
  <c r="H356" i="19"/>
  <c r="G356" i="19"/>
  <c r="F356" i="19"/>
  <c r="H355" i="19"/>
  <c r="G355" i="19"/>
  <c r="F355" i="19"/>
  <c r="I354" i="19"/>
  <c r="H354" i="19"/>
  <c r="G354" i="19"/>
  <c r="F354" i="19"/>
  <c r="I353" i="19"/>
  <c r="H353" i="19"/>
  <c r="G353" i="19"/>
  <c r="F353" i="19"/>
  <c r="I352" i="19"/>
  <c r="H352" i="19"/>
  <c r="G352" i="19"/>
  <c r="F352" i="19"/>
  <c r="I351" i="19"/>
  <c r="H351" i="19"/>
  <c r="G351" i="19"/>
  <c r="F351" i="19"/>
  <c r="H350" i="19"/>
  <c r="G350" i="19"/>
  <c r="F350" i="19"/>
  <c r="I349" i="19"/>
  <c r="H349" i="19"/>
  <c r="G349" i="19"/>
  <c r="F349" i="19"/>
  <c r="I348" i="19"/>
  <c r="H348" i="19"/>
  <c r="G348" i="19"/>
  <c r="F348" i="19"/>
  <c r="I347" i="19"/>
  <c r="H347" i="19"/>
  <c r="G347" i="19"/>
  <c r="F347" i="19"/>
  <c r="H346" i="19"/>
  <c r="G346" i="19"/>
  <c r="F346" i="19"/>
  <c r="I345" i="19"/>
  <c r="H345" i="19"/>
  <c r="G345" i="19"/>
  <c r="F345" i="19"/>
  <c r="I344" i="19"/>
  <c r="H344" i="19"/>
  <c r="G344" i="19"/>
  <c r="F344" i="19"/>
  <c r="T343" i="19"/>
  <c r="H343" i="19" s="1"/>
  <c r="Q343" i="19"/>
  <c r="G343" i="19"/>
  <c r="F343" i="19"/>
  <c r="T342" i="19"/>
  <c r="Q342" i="19" s="1"/>
  <c r="I342" i="19"/>
  <c r="G342" i="19"/>
  <c r="F342" i="19"/>
  <c r="T341" i="19"/>
  <c r="H341" i="19" s="1"/>
  <c r="G341" i="19"/>
  <c r="F341" i="19"/>
  <c r="T340" i="19"/>
  <c r="H340" i="19" s="1"/>
  <c r="I340" i="19"/>
  <c r="G340" i="19"/>
  <c r="F340" i="19"/>
  <c r="T339" i="19"/>
  <c r="I339" i="19"/>
  <c r="H339" i="19"/>
  <c r="G339" i="19"/>
  <c r="F339" i="19"/>
  <c r="T338" i="19"/>
  <c r="H338" i="19" s="1"/>
  <c r="I338" i="19"/>
  <c r="G338" i="19"/>
  <c r="F338" i="19"/>
  <c r="T337" i="19"/>
  <c r="I337" i="19"/>
  <c r="H337" i="19"/>
  <c r="G337" i="19"/>
  <c r="F337" i="19"/>
  <c r="T336" i="19"/>
  <c r="Q336" i="19" s="1"/>
  <c r="H336" i="19"/>
  <c r="G336" i="19"/>
  <c r="F336" i="19"/>
  <c r="T335" i="19"/>
  <c r="H335" i="19" s="1"/>
  <c r="I335" i="19"/>
  <c r="G335" i="19"/>
  <c r="F335" i="19"/>
  <c r="T334" i="19"/>
  <c r="I334" i="19"/>
  <c r="H334" i="19"/>
  <c r="G334" i="19"/>
  <c r="F334" i="19"/>
  <c r="T333" i="19"/>
  <c r="I333" i="19"/>
  <c r="H333" i="19"/>
  <c r="G333" i="19"/>
  <c r="F333" i="19"/>
  <c r="T332" i="19"/>
  <c r="H332" i="19" s="1"/>
  <c r="I332" i="19"/>
  <c r="G332" i="19"/>
  <c r="F332" i="19"/>
  <c r="T331" i="19"/>
  <c r="H331" i="19"/>
  <c r="G331" i="19"/>
  <c r="F331" i="19"/>
  <c r="T330" i="19"/>
  <c r="H330" i="19" s="1"/>
  <c r="I330" i="19"/>
  <c r="G330" i="19"/>
  <c r="F330" i="19"/>
  <c r="T329" i="19"/>
  <c r="I329" i="19"/>
  <c r="H329" i="19"/>
  <c r="G329" i="19"/>
  <c r="F329" i="19"/>
  <c r="T328" i="19"/>
  <c r="I328" i="19"/>
  <c r="H328" i="19"/>
  <c r="G328" i="19"/>
  <c r="F328" i="19"/>
  <c r="T327" i="19"/>
  <c r="H327" i="19" s="1"/>
  <c r="I327" i="19"/>
  <c r="G327" i="19"/>
  <c r="F327" i="19"/>
  <c r="T326" i="19"/>
  <c r="H326" i="19"/>
  <c r="G326" i="19"/>
  <c r="F326" i="19"/>
  <c r="T325" i="19"/>
  <c r="H325" i="19" s="1"/>
  <c r="Q325" i="19"/>
  <c r="I325" i="19"/>
  <c r="G325" i="19"/>
  <c r="F325" i="19"/>
  <c r="T324" i="19"/>
  <c r="I324" i="19"/>
  <c r="H324" i="19"/>
  <c r="G324" i="19"/>
  <c r="F324" i="19"/>
  <c r="T323" i="19"/>
  <c r="I323" i="19"/>
  <c r="H323" i="19"/>
  <c r="G323" i="19"/>
  <c r="F323" i="19"/>
  <c r="T322" i="19"/>
  <c r="H322" i="19" s="1"/>
  <c r="I322" i="19"/>
  <c r="G322" i="19"/>
  <c r="F322" i="19"/>
  <c r="T321" i="19"/>
  <c r="Q321" i="19" s="1"/>
  <c r="H321" i="19"/>
  <c r="G321" i="19"/>
  <c r="F321" i="19"/>
  <c r="T320" i="19"/>
  <c r="H320" i="19"/>
  <c r="G320" i="19"/>
  <c r="F320" i="19"/>
  <c r="T319" i="19"/>
  <c r="I319" i="19"/>
  <c r="H319" i="19"/>
  <c r="G319" i="19"/>
  <c r="F319" i="19"/>
  <c r="T318" i="19"/>
  <c r="I318" i="19"/>
  <c r="H318" i="19"/>
  <c r="G318" i="19"/>
  <c r="F318" i="19"/>
  <c r="T317" i="19"/>
  <c r="H317" i="19" s="1"/>
  <c r="I317" i="19"/>
  <c r="G317" i="19"/>
  <c r="F317" i="19"/>
  <c r="T316" i="19"/>
  <c r="I316" i="19"/>
  <c r="H316" i="19"/>
  <c r="G316" i="19"/>
  <c r="F316" i="19"/>
  <c r="T315" i="19"/>
  <c r="H315" i="19"/>
  <c r="G315" i="19"/>
  <c r="F315" i="19"/>
  <c r="T314" i="19"/>
  <c r="I314" i="19"/>
  <c r="H314" i="19"/>
  <c r="G314" i="19"/>
  <c r="F314" i="19"/>
  <c r="T313" i="19"/>
  <c r="Q313" i="19" s="1"/>
  <c r="I313" i="19"/>
  <c r="H313" i="19"/>
  <c r="G313" i="19"/>
  <c r="F313" i="19"/>
  <c r="T312" i="19"/>
  <c r="H312" i="19" s="1"/>
  <c r="I312" i="19"/>
  <c r="G312" i="19"/>
  <c r="F312" i="19"/>
  <c r="T311" i="19"/>
  <c r="I311" i="19"/>
  <c r="H311" i="19"/>
  <c r="G311" i="19"/>
  <c r="F311" i="19"/>
  <c r="T310" i="19"/>
  <c r="H310" i="19" s="1"/>
  <c r="G310" i="19"/>
  <c r="F310" i="19"/>
  <c r="T309" i="19"/>
  <c r="H309" i="19" s="1"/>
  <c r="I309" i="19"/>
  <c r="G309" i="19"/>
  <c r="F309" i="19"/>
  <c r="T308" i="19"/>
  <c r="I308" i="19"/>
  <c r="H308" i="19"/>
  <c r="G308" i="19"/>
  <c r="F308" i="19"/>
  <c r="T307" i="19"/>
  <c r="H307" i="19" s="1"/>
  <c r="I307" i="19"/>
  <c r="G307" i="19"/>
  <c r="F307" i="19"/>
  <c r="T306" i="19"/>
  <c r="I306" i="19"/>
  <c r="H306" i="19"/>
  <c r="G306" i="19"/>
  <c r="F306" i="19"/>
  <c r="H305" i="19"/>
  <c r="G305" i="19"/>
  <c r="F305" i="19"/>
  <c r="I304" i="19"/>
  <c r="H304" i="19"/>
  <c r="G304" i="19"/>
  <c r="F304" i="19"/>
  <c r="I303" i="19"/>
  <c r="H303" i="19"/>
  <c r="G303" i="19"/>
  <c r="F303" i="19"/>
  <c r="I302" i="19"/>
  <c r="H302" i="19"/>
  <c r="G302" i="19"/>
  <c r="F302" i="19"/>
  <c r="I301" i="19"/>
  <c r="H301" i="19"/>
  <c r="G301" i="19"/>
  <c r="F301" i="19"/>
  <c r="H300" i="19"/>
  <c r="G300" i="19"/>
  <c r="F300" i="19"/>
  <c r="I299" i="19"/>
  <c r="H299" i="19"/>
  <c r="G299" i="19"/>
  <c r="F299" i="19"/>
  <c r="T298" i="19"/>
  <c r="Q298" i="19" s="1"/>
  <c r="H298" i="19"/>
  <c r="G298" i="19"/>
  <c r="F298" i="19"/>
  <c r="T297" i="19"/>
  <c r="Q297" i="19"/>
  <c r="I297" i="19"/>
  <c r="H297" i="19"/>
  <c r="G297" i="19"/>
  <c r="F297" i="19"/>
  <c r="H296" i="19"/>
  <c r="G296" i="19"/>
  <c r="F296" i="19"/>
  <c r="I295" i="19"/>
  <c r="H295" i="19"/>
  <c r="G295" i="19"/>
  <c r="F295" i="19"/>
  <c r="I294" i="19"/>
  <c r="H294" i="19"/>
  <c r="G294" i="19"/>
  <c r="F294" i="19"/>
  <c r="I293" i="19"/>
  <c r="H293" i="19"/>
  <c r="G293" i="19"/>
  <c r="F293" i="19"/>
  <c r="I292" i="19"/>
  <c r="H292" i="19"/>
  <c r="G292" i="19"/>
  <c r="F292" i="19"/>
  <c r="Q291" i="19"/>
  <c r="H291" i="19"/>
  <c r="G291" i="19"/>
  <c r="F291" i="19"/>
  <c r="T290" i="19"/>
  <c r="Q290" i="19" s="1"/>
  <c r="G290" i="19"/>
  <c r="F290" i="19"/>
  <c r="T289" i="19"/>
  <c r="Q289" i="19"/>
  <c r="I289" i="19"/>
  <c r="H289" i="19"/>
  <c r="G289" i="19"/>
  <c r="F289" i="19"/>
  <c r="T288" i="19"/>
  <c r="Q288" i="19"/>
  <c r="I288" i="19"/>
  <c r="H288" i="19"/>
  <c r="G288" i="19"/>
  <c r="F288" i="19"/>
  <c r="H287" i="19"/>
  <c r="G287" i="19"/>
  <c r="F287" i="19"/>
  <c r="I286" i="19"/>
  <c r="H286" i="19"/>
  <c r="G286" i="19"/>
  <c r="F286" i="19"/>
  <c r="I285" i="19"/>
  <c r="H285" i="19"/>
  <c r="G285" i="19"/>
  <c r="F285" i="19"/>
  <c r="I284" i="19"/>
  <c r="H284" i="19"/>
  <c r="G284" i="19"/>
  <c r="F284" i="19"/>
  <c r="I283" i="19"/>
  <c r="H283" i="19"/>
  <c r="G283" i="19"/>
  <c r="F283" i="19"/>
  <c r="H282" i="19"/>
  <c r="G282" i="19"/>
  <c r="F282" i="19"/>
  <c r="I281" i="19"/>
  <c r="H281" i="19"/>
  <c r="G281" i="19"/>
  <c r="F281" i="19"/>
  <c r="I280" i="19"/>
  <c r="H280" i="19"/>
  <c r="G280" i="19"/>
  <c r="F280" i="19"/>
  <c r="I279" i="19"/>
  <c r="H279" i="19"/>
  <c r="G279" i="19"/>
  <c r="F279" i="19"/>
  <c r="I278" i="19"/>
  <c r="H278" i="19"/>
  <c r="G278" i="19"/>
  <c r="F278" i="19"/>
  <c r="H277" i="19"/>
  <c r="G277" i="19"/>
  <c r="F277" i="19"/>
  <c r="I276" i="19"/>
  <c r="H276" i="19"/>
  <c r="G276" i="19"/>
  <c r="F276" i="19"/>
  <c r="I275" i="19"/>
  <c r="H275" i="19"/>
  <c r="G275" i="19"/>
  <c r="F275" i="19"/>
  <c r="I274" i="19"/>
  <c r="H274" i="19"/>
  <c r="G274" i="19"/>
  <c r="F274" i="19"/>
  <c r="I273" i="19"/>
  <c r="H273" i="19"/>
  <c r="G273" i="19"/>
  <c r="F273" i="19"/>
  <c r="T272" i="19"/>
  <c r="H272" i="19" s="1"/>
  <c r="G272" i="19"/>
  <c r="F272" i="19"/>
  <c r="T271" i="19"/>
  <c r="I271" i="19"/>
  <c r="H271" i="19"/>
  <c r="G271" i="19"/>
  <c r="F271" i="19"/>
  <c r="H270" i="19"/>
  <c r="G270" i="19"/>
  <c r="F270" i="19"/>
  <c r="I269" i="19"/>
  <c r="H269" i="19"/>
  <c r="G269" i="19"/>
  <c r="F269" i="19"/>
  <c r="I268" i="19"/>
  <c r="H268" i="19"/>
  <c r="G268" i="19"/>
  <c r="F268" i="19"/>
  <c r="T267" i="19"/>
  <c r="H267" i="19" s="1"/>
  <c r="G267" i="19"/>
  <c r="F267" i="19"/>
  <c r="T266" i="19"/>
  <c r="H266" i="19" s="1"/>
  <c r="I266" i="19"/>
  <c r="G266" i="19"/>
  <c r="F266" i="19"/>
  <c r="T265" i="19"/>
  <c r="I265" i="19"/>
  <c r="H265" i="19"/>
  <c r="G265" i="19"/>
  <c r="F265" i="19"/>
  <c r="T264" i="19"/>
  <c r="I264" i="19"/>
  <c r="H264" i="19"/>
  <c r="G264" i="19"/>
  <c r="F264" i="19"/>
  <c r="T263" i="19"/>
  <c r="H263" i="19" s="1"/>
  <c r="I263" i="19"/>
  <c r="G263" i="19"/>
  <c r="F263" i="19"/>
  <c r="T262" i="19"/>
  <c r="H262" i="19" s="1"/>
  <c r="G262" i="19"/>
  <c r="F262" i="19"/>
  <c r="T261" i="19"/>
  <c r="H261" i="19" s="1"/>
  <c r="I261" i="19"/>
  <c r="G261" i="19"/>
  <c r="F261" i="19"/>
  <c r="T260" i="19"/>
  <c r="I260" i="19"/>
  <c r="H260" i="19"/>
  <c r="G260" i="19"/>
  <c r="F260" i="19"/>
  <c r="T259" i="19"/>
  <c r="I259" i="19"/>
  <c r="H259" i="19"/>
  <c r="G259" i="19"/>
  <c r="F259" i="19"/>
  <c r="T258" i="19"/>
  <c r="H258" i="19" s="1"/>
  <c r="I258" i="19"/>
  <c r="G258" i="19"/>
  <c r="F258" i="19"/>
  <c r="H257" i="19"/>
  <c r="G257" i="19"/>
  <c r="F257" i="19"/>
  <c r="I256" i="19"/>
  <c r="H256" i="19"/>
  <c r="G256" i="19"/>
  <c r="F256" i="19"/>
  <c r="I255" i="19"/>
  <c r="H255" i="19"/>
  <c r="G255" i="19"/>
  <c r="F255" i="19"/>
  <c r="I254" i="19"/>
  <c r="H254" i="19"/>
  <c r="G254" i="19"/>
  <c r="F254" i="19"/>
  <c r="I253" i="19"/>
  <c r="H253" i="19"/>
  <c r="G253" i="19"/>
  <c r="F253" i="19"/>
  <c r="H252" i="19"/>
  <c r="G252" i="19"/>
  <c r="F252" i="19"/>
  <c r="I251" i="19"/>
  <c r="H251" i="19"/>
  <c r="G251" i="19"/>
  <c r="F251" i="19"/>
  <c r="I250" i="19"/>
  <c r="H250" i="19"/>
  <c r="G250" i="19"/>
  <c r="F250" i="19"/>
  <c r="I249" i="19"/>
  <c r="H249" i="19"/>
  <c r="G249" i="19"/>
  <c r="F249" i="19"/>
  <c r="I248" i="19"/>
  <c r="H248" i="19"/>
  <c r="G248" i="19"/>
  <c r="F248" i="19"/>
  <c r="H247" i="19"/>
  <c r="G247" i="19"/>
  <c r="F247" i="19"/>
  <c r="I246" i="19"/>
  <c r="H246" i="19"/>
  <c r="G246" i="19"/>
  <c r="F246" i="19"/>
  <c r="I245" i="19"/>
  <c r="H245" i="19"/>
  <c r="G245" i="19"/>
  <c r="F245" i="19"/>
  <c r="I244" i="19"/>
  <c r="H244" i="19"/>
  <c r="G244" i="19"/>
  <c r="F244" i="19"/>
  <c r="T243" i="19"/>
  <c r="H243" i="19"/>
  <c r="G243" i="19"/>
  <c r="F243" i="19"/>
  <c r="T242" i="19"/>
  <c r="I242" i="19"/>
  <c r="H242" i="19"/>
  <c r="G242" i="19"/>
  <c r="F242" i="19"/>
  <c r="T241" i="19"/>
  <c r="I241" i="19"/>
  <c r="H241" i="19"/>
  <c r="G241" i="19"/>
  <c r="F241" i="19"/>
  <c r="T240" i="19"/>
  <c r="H240" i="19" s="1"/>
  <c r="I240" i="19"/>
  <c r="G240" i="19"/>
  <c r="F240" i="19"/>
  <c r="T239" i="19"/>
  <c r="I239" i="19"/>
  <c r="H239" i="19"/>
  <c r="G239" i="19"/>
  <c r="F239" i="19"/>
  <c r="T238" i="19"/>
  <c r="H238" i="19"/>
  <c r="G238" i="19"/>
  <c r="F238" i="19"/>
  <c r="T237" i="19"/>
  <c r="I237" i="19"/>
  <c r="H237" i="19"/>
  <c r="G237" i="19"/>
  <c r="F237" i="19"/>
  <c r="T236" i="19"/>
  <c r="I236" i="19"/>
  <c r="H236" i="19"/>
  <c r="G236" i="19"/>
  <c r="F236" i="19"/>
  <c r="T235" i="19"/>
  <c r="H235" i="19" s="1"/>
  <c r="I235" i="19"/>
  <c r="G235" i="19"/>
  <c r="F235" i="19"/>
  <c r="T234" i="19"/>
  <c r="I234" i="19"/>
  <c r="H234" i="19"/>
  <c r="G234" i="19"/>
  <c r="F234" i="19"/>
  <c r="T233" i="19"/>
  <c r="Q233" i="19"/>
  <c r="H233" i="19"/>
  <c r="G233" i="19"/>
  <c r="F233" i="19"/>
  <c r="T232" i="19"/>
  <c r="H232" i="19" s="1"/>
  <c r="I232" i="19"/>
  <c r="G232" i="19"/>
  <c r="F232" i="19"/>
  <c r="H231" i="19"/>
  <c r="G231" i="19"/>
  <c r="F231" i="19"/>
  <c r="I230" i="19"/>
  <c r="H230" i="19"/>
  <c r="G230" i="19"/>
  <c r="F230" i="19"/>
  <c r="T229" i="19"/>
  <c r="H229" i="19"/>
  <c r="G229" i="19"/>
  <c r="F229" i="19"/>
  <c r="T228" i="19"/>
  <c r="H228" i="19" s="1"/>
  <c r="I228" i="19"/>
  <c r="G228" i="19"/>
  <c r="F228" i="19"/>
  <c r="T227" i="19"/>
  <c r="I227" i="19"/>
  <c r="H227" i="19"/>
  <c r="G227" i="19"/>
  <c r="F227" i="19"/>
  <c r="T226" i="19"/>
  <c r="I226" i="19"/>
  <c r="H226" i="19"/>
  <c r="G226" i="19"/>
  <c r="F226" i="19"/>
  <c r="T225" i="19"/>
  <c r="H225" i="19" s="1"/>
  <c r="I225" i="19"/>
  <c r="G225" i="19"/>
  <c r="F225" i="19"/>
  <c r="H224" i="19"/>
  <c r="G224" i="19"/>
  <c r="F224" i="19"/>
  <c r="I223" i="19"/>
  <c r="H223" i="19"/>
  <c r="G223" i="19"/>
  <c r="F223" i="19"/>
  <c r="I222" i="19"/>
  <c r="H222" i="19"/>
  <c r="G222" i="19"/>
  <c r="F222" i="19"/>
  <c r="I221" i="19"/>
  <c r="H221" i="19"/>
  <c r="G221" i="19"/>
  <c r="F221" i="19"/>
  <c r="I220" i="19"/>
  <c r="H220" i="19"/>
  <c r="G220" i="19"/>
  <c r="F220" i="19"/>
  <c r="T219" i="19"/>
  <c r="H219" i="19" s="1"/>
  <c r="G219" i="19"/>
  <c r="F219" i="19"/>
  <c r="T218" i="19"/>
  <c r="I218" i="19"/>
  <c r="H218" i="19"/>
  <c r="G218" i="19"/>
  <c r="F218" i="19"/>
  <c r="T217" i="19"/>
  <c r="H217" i="19" s="1"/>
  <c r="I217" i="19"/>
  <c r="G217" i="19"/>
  <c r="F217" i="19"/>
  <c r="T216" i="19"/>
  <c r="I216" i="19"/>
  <c r="H216" i="19"/>
  <c r="G216" i="19"/>
  <c r="F216" i="19"/>
  <c r="T215" i="19"/>
  <c r="O215" i="19"/>
  <c r="I215" i="19"/>
  <c r="H215" i="19"/>
  <c r="G215" i="19"/>
  <c r="F215" i="19"/>
  <c r="T214" i="19"/>
  <c r="H214" i="19"/>
  <c r="G214" i="19"/>
  <c r="F214" i="19"/>
  <c r="T213" i="19"/>
  <c r="I213" i="19"/>
  <c r="H213" i="19"/>
  <c r="G213" i="19"/>
  <c r="F213" i="19"/>
  <c r="T212" i="19"/>
  <c r="Q212" i="19" s="1"/>
  <c r="G212" i="19"/>
  <c r="F212" i="19"/>
  <c r="T211" i="19"/>
  <c r="H211" i="19"/>
  <c r="G211" i="19"/>
  <c r="F211" i="19"/>
  <c r="T210" i="19"/>
  <c r="I210" i="19"/>
  <c r="H210" i="19"/>
  <c r="G210" i="19"/>
  <c r="F210" i="19"/>
  <c r="T209" i="19"/>
  <c r="H209" i="19" s="1"/>
  <c r="I209" i="19"/>
  <c r="G209" i="19"/>
  <c r="F209" i="19"/>
  <c r="T208" i="19"/>
  <c r="I208" i="19"/>
  <c r="H208" i="19"/>
  <c r="G208" i="19"/>
  <c r="F208" i="19"/>
  <c r="T207" i="19"/>
  <c r="H207" i="19" s="1"/>
  <c r="I207" i="19"/>
  <c r="G207" i="19"/>
  <c r="F207" i="19"/>
  <c r="Q206" i="19"/>
  <c r="H206" i="19"/>
  <c r="G206" i="19"/>
  <c r="F206" i="19"/>
  <c r="Q205" i="19"/>
  <c r="I205" i="19"/>
  <c r="H205" i="19"/>
  <c r="G205" i="19"/>
  <c r="F205" i="19"/>
  <c r="Q204" i="19"/>
  <c r="I204" i="19"/>
  <c r="H204" i="19"/>
  <c r="G204" i="19"/>
  <c r="F204" i="19"/>
  <c r="Q203" i="19"/>
  <c r="I203" i="19"/>
  <c r="H203" i="19"/>
  <c r="G203" i="19"/>
  <c r="F203" i="19"/>
  <c r="Q202" i="19"/>
  <c r="H202" i="19"/>
  <c r="G202" i="19"/>
  <c r="F202" i="19"/>
  <c r="Q201" i="19"/>
  <c r="I201" i="19"/>
  <c r="H201" i="19"/>
  <c r="G201" i="19"/>
  <c r="F201" i="19"/>
  <c r="Q200" i="19"/>
  <c r="I200" i="19"/>
  <c r="H200" i="19"/>
  <c r="G200" i="19"/>
  <c r="F200" i="19"/>
  <c r="Q199" i="19"/>
  <c r="I199" i="19"/>
  <c r="H199" i="19"/>
  <c r="G199" i="19"/>
  <c r="F199" i="19"/>
  <c r="Q198" i="19"/>
  <c r="H198" i="19"/>
  <c r="G198" i="19"/>
  <c r="F198" i="19"/>
  <c r="Q197" i="19"/>
  <c r="I197" i="19"/>
  <c r="H197" i="19"/>
  <c r="G197" i="19"/>
  <c r="F197" i="19"/>
  <c r="Q196" i="19"/>
  <c r="I196" i="19"/>
  <c r="H196" i="19"/>
  <c r="G196" i="19"/>
  <c r="F196" i="19"/>
  <c r="Q195" i="19"/>
  <c r="I195" i="19"/>
  <c r="H195" i="19"/>
  <c r="G195" i="19"/>
  <c r="F195" i="19"/>
  <c r="Q194" i="19"/>
  <c r="H194" i="19"/>
  <c r="G194" i="19"/>
  <c r="F194" i="19"/>
  <c r="T193" i="19"/>
  <c r="H193" i="19" s="1"/>
  <c r="G193" i="19"/>
  <c r="F193" i="19"/>
  <c r="T192" i="19"/>
  <c r="H192" i="19" s="1"/>
  <c r="I192" i="19"/>
  <c r="G192" i="19"/>
  <c r="F192" i="19"/>
  <c r="T191" i="19"/>
  <c r="I191" i="19"/>
  <c r="H191" i="19"/>
  <c r="G191" i="19"/>
  <c r="F191" i="19"/>
  <c r="T190" i="19"/>
  <c r="H190" i="19" s="1"/>
  <c r="I190" i="19"/>
  <c r="G190" i="19"/>
  <c r="F190" i="19"/>
  <c r="T189" i="19"/>
  <c r="I189" i="19"/>
  <c r="H189" i="19"/>
  <c r="G189" i="19"/>
  <c r="F189" i="19"/>
  <c r="Q188" i="19"/>
  <c r="H188" i="19"/>
  <c r="G188" i="19"/>
  <c r="F188" i="19"/>
  <c r="Q187" i="19"/>
  <c r="I187" i="19"/>
  <c r="H187" i="19"/>
  <c r="G187" i="19"/>
  <c r="F187" i="19"/>
  <c r="Q186" i="19"/>
  <c r="I186" i="19"/>
  <c r="H186" i="19"/>
  <c r="G186" i="19"/>
  <c r="F186" i="19"/>
  <c r="Q185" i="19"/>
  <c r="I185" i="19"/>
  <c r="H185" i="19"/>
  <c r="G185" i="19"/>
  <c r="F185" i="19"/>
  <c r="Q184" i="19"/>
  <c r="I184" i="19"/>
  <c r="H184" i="19"/>
  <c r="G184" i="19"/>
  <c r="F184" i="19"/>
  <c r="T183" i="19"/>
  <c r="H183" i="19" s="1"/>
  <c r="G183" i="19"/>
  <c r="F183" i="19"/>
  <c r="T182" i="19"/>
  <c r="H182" i="19" s="1"/>
  <c r="I182" i="19"/>
  <c r="G182" i="19"/>
  <c r="F182" i="19"/>
  <c r="T181" i="19"/>
  <c r="I181" i="19"/>
  <c r="H181" i="19"/>
  <c r="G181" i="19"/>
  <c r="F181" i="19"/>
  <c r="T180" i="19"/>
  <c r="H180" i="19" s="1"/>
  <c r="I180" i="19"/>
  <c r="G180" i="19"/>
  <c r="F180" i="19"/>
  <c r="T179" i="19"/>
  <c r="I179" i="19"/>
  <c r="H179" i="19"/>
  <c r="G179" i="19"/>
  <c r="F179" i="19"/>
  <c r="Q178" i="19"/>
  <c r="H178" i="19"/>
  <c r="G178" i="19"/>
  <c r="F178" i="19"/>
  <c r="Q177" i="19"/>
  <c r="I177" i="19"/>
  <c r="H177" i="19"/>
  <c r="G177" i="19"/>
  <c r="F177" i="19"/>
  <c r="H176" i="19"/>
  <c r="G176" i="19"/>
  <c r="F176" i="19"/>
  <c r="I175" i="19"/>
  <c r="H175" i="19"/>
  <c r="G175" i="19"/>
  <c r="F175" i="19"/>
  <c r="I174" i="19"/>
  <c r="H174" i="19"/>
  <c r="G174" i="19"/>
  <c r="F174" i="19"/>
  <c r="I173" i="19"/>
  <c r="H173" i="19"/>
  <c r="G173" i="19"/>
  <c r="F173" i="19"/>
  <c r="I172" i="19"/>
  <c r="H172" i="19"/>
  <c r="G172" i="19"/>
  <c r="F172" i="19"/>
  <c r="T171" i="19"/>
  <c r="Q171" i="19" s="1"/>
  <c r="G171" i="19"/>
  <c r="F171" i="19"/>
  <c r="T170" i="19"/>
  <c r="Q170" i="19"/>
  <c r="I170" i="19"/>
  <c r="H170" i="19"/>
  <c r="G170" i="19"/>
  <c r="F170" i="19"/>
  <c r="T169" i="19"/>
  <c r="H169" i="19" s="1"/>
  <c r="Q169" i="19"/>
  <c r="G169" i="19"/>
  <c r="F169" i="19"/>
  <c r="T168" i="19"/>
  <c r="H168" i="19" s="1"/>
  <c r="G168" i="19"/>
  <c r="F168" i="19"/>
  <c r="T167" i="19"/>
  <c r="I167" i="19"/>
  <c r="H167" i="19"/>
  <c r="G167" i="19"/>
  <c r="F167" i="19"/>
  <c r="T166" i="19"/>
  <c r="Q166" i="19" s="1"/>
  <c r="I166" i="19"/>
  <c r="G166" i="19"/>
  <c r="F166" i="19"/>
  <c r="T165" i="19"/>
  <c r="H165" i="19" s="1"/>
  <c r="I165" i="19"/>
  <c r="G165" i="19"/>
  <c r="F165" i="19"/>
  <c r="T164" i="19"/>
  <c r="Q164" i="19" s="1"/>
  <c r="I164" i="19"/>
  <c r="I168" i="19" s="1"/>
  <c r="G164" i="19"/>
  <c r="F164" i="19"/>
  <c r="T163" i="19"/>
  <c r="H163" i="19"/>
  <c r="G163" i="19"/>
  <c r="F163" i="19"/>
  <c r="T162" i="19"/>
  <c r="H162" i="19" s="1"/>
  <c r="I162" i="19"/>
  <c r="G162" i="19"/>
  <c r="F162" i="19"/>
  <c r="T161" i="19"/>
  <c r="I161" i="19"/>
  <c r="H161" i="19"/>
  <c r="G161" i="19"/>
  <c r="F161" i="19"/>
  <c r="T160" i="19"/>
  <c r="H160" i="19" s="1"/>
  <c r="I160" i="19"/>
  <c r="G160" i="19"/>
  <c r="F160" i="19"/>
  <c r="T159" i="19"/>
  <c r="H159" i="19" s="1"/>
  <c r="I159" i="19"/>
  <c r="I163" i="19" s="1"/>
  <c r="G159" i="19"/>
  <c r="F159" i="19"/>
  <c r="T158" i="19"/>
  <c r="H158" i="19"/>
  <c r="G158" i="19"/>
  <c r="F158" i="19"/>
  <c r="T157" i="19"/>
  <c r="H157" i="19" s="1"/>
  <c r="I157" i="19"/>
  <c r="G157" i="19"/>
  <c r="F157" i="19"/>
  <c r="T156" i="19"/>
  <c r="I156" i="19"/>
  <c r="H156" i="19"/>
  <c r="G156" i="19"/>
  <c r="F156" i="19"/>
  <c r="T155" i="19"/>
  <c r="I155" i="19"/>
  <c r="H155" i="19"/>
  <c r="G155" i="19"/>
  <c r="F155" i="19"/>
  <c r="T154" i="19"/>
  <c r="H154" i="19" s="1"/>
  <c r="I154" i="19"/>
  <c r="I158" i="19" s="1"/>
  <c r="G154" i="19"/>
  <c r="F154" i="19"/>
  <c r="T153" i="19"/>
  <c r="H153" i="19" s="1"/>
  <c r="G153" i="19"/>
  <c r="F153" i="19"/>
  <c r="T152" i="19"/>
  <c r="H152" i="19" s="1"/>
  <c r="I152" i="19"/>
  <c r="G152" i="19"/>
  <c r="F152" i="19"/>
  <c r="T151" i="19"/>
  <c r="H151" i="19"/>
  <c r="G151" i="19"/>
  <c r="F151" i="19"/>
  <c r="T150" i="19"/>
  <c r="H150" i="19" s="1"/>
  <c r="I150" i="19"/>
  <c r="G150" i="19"/>
  <c r="F150" i="19"/>
  <c r="T149" i="19"/>
  <c r="H149" i="19" s="1"/>
  <c r="I149" i="19"/>
  <c r="G149" i="19"/>
  <c r="F149" i="19"/>
  <c r="T148" i="19"/>
  <c r="I148" i="19"/>
  <c r="H148" i="19"/>
  <c r="G148" i="19"/>
  <c r="F148" i="19"/>
  <c r="T147" i="19"/>
  <c r="H147" i="19" s="1"/>
  <c r="I147" i="19"/>
  <c r="G147" i="19"/>
  <c r="F147" i="19"/>
  <c r="T146" i="19"/>
  <c r="H146" i="19"/>
  <c r="G146" i="19"/>
  <c r="F146" i="19"/>
  <c r="T145" i="19"/>
  <c r="H145" i="19" s="1"/>
  <c r="I145" i="19"/>
  <c r="G145" i="19"/>
  <c r="F145" i="19"/>
  <c r="T144" i="19"/>
  <c r="H144" i="19" s="1"/>
  <c r="I144" i="19"/>
  <c r="G144" i="19"/>
  <c r="F144" i="19"/>
  <c r="T143" i="19"/>
  <c r="I143" i="19"/>
  <c r="H143" i="19"/>
  <c r="G143" i="19"/>
  <c r="F143" i="19"/>
  <c r="T142" i="19"/>
  <c r="H142" i="19" s="1"/>
  <c r="I142" i="19"/>
  <c r="G142" i="19"/>
  <c r="F142" i="19"/>
  <c r="Q141" i="19"/>
  <c r="H141" i="19"/>
  <c r="G141" i="19"/>
  <c r="F141" i="19"/>
  <c r="Q140" i="19"/>
  <c r="I140" i="19"/>
  <c r="H140" i="19"/>
  <c r="G140" i="19"/>
  <c r="F140" i="19"/>
  <c r="T139" i="19"/>
  <c r="H139" i="19" s="1"/>
  <c r="G139" i="19"/>
  <c r="F139" i="19"/>
  <c r="T138" i="19"/>
  <c r="I138" i="19"/>
  <c r="H138" i="19"/>
  <c r="G138" i="19"/>
  <c r="F138" i="19"/>
  <c r="T137" i="19"/>
  <c r="H137" i="19" s="1"/>
  <c r="I137" i="19"/>
  <c r="G137" i="19"/>
  <c r="F137" i="19"/>
  <c r="T136" i="19"/>
  <c r="I136" i="19"/>
  <c r="H136" i="19"/>
  <c r="G136" i="19"/>
  <c r="F136" i="19"/>
  <c r="T135" i="19"/>
  <c r="H135" i="19" s="1"/>
  <c r="I135" i="19"/>
  <c r="G135" i="19"/>
  <c r="F135" i="19"/>
  <c r="T134" i="19"/>
  <c r="Q134" i="19" s="1"/>
  <c r="G134" i="19"/>
  <c r="F134" i="19"/>
  <c r="T133" i="19"/>
  <c r="I133" i="19"/>
  <c r="H133" i="19"/>
  <c r="G133" i="19"/>
  <c r="F133" i="19"/>
  <c r="T132" i="19"/>
  <c r="H132" i="19" s="1"/>
  <c r="I132" i="19"/>
  <c r="G132" i="19"/>
  <c r="F132" i="19"/>
  <c r="T131" i="19"/>
  <c r="I131" i="19"/>
  <c r="H131" i="19"/>
  <c r="G131" i="19"/>
  <c r="F131" i="19"/>
  <c r="T130" i="19"/>
  <c r="H130" i="19" s="1"/>
  <c r="G130" i="19"/>
  <c r="F130" i="19"/>
  <c r="T129" i="19"/>
  <c r="H129" i="19" s="1"/>
  <c r="I129" i="19"/>
  <c r="G129" i="19"/>
  <c r="F129" i="19"/>
  <c r="T128" i="19"/>
  <c r="Q128" i="19" s="1"/>
  <c r="H128" i="19"/>
  <c r="G128" i="19"/>
  <c r="F128" i="19"/>
  <c r="T127" i="19"/>
  <c r="Q127" i="19"/>
  <c r="I127" i="19"/>
  <c r="H127" i="19"/>
  <c r="G127" i="19"/>
  <c r="F127" i="19"/>
  <c r="T126" i="19"/>
  <c r="H126" i="19"/>
  <c r="G126" i="19"/>
  <c r="F126" i="19"/>
  <c r="H125" i="19"/>
  <c r="G125" i="19"/>
  <c r="F125" i="19"/>
  <c r="I124" i="19"/>
  <c r="H124" i="19"/>
  <c r="G124" i="19"/>
  <c r="F124" i="19"/>
  <c r="H123" i="19"/>
  <c r="G123" i="19"/>
  <c r="F123" i="19"/>
  <c r="I122" i="19"/>
  <c r="H122" i="19"/>
  <c r="G122" i="19"/>
  <c r="F122" i="19"/>
  <c r="I121" i="19"/>
  <c r="H121" i="19"/>
  <c r="G121" i="19"/>
  <c r="F121" i="19"/>
  <c r="I120" i="19"/>
  <c r="H120" i="19"/>
  <c r="G120" i="19"/>
  <c r="F120" i="19"/>
  <c r="Q119" i="19"/>
  <c r="H119" i="19"/>
  <c r="G119" i="19"/>
  <c r="F119" i="19"/>
  <c r="Q118" i="19"/>
  <c r="I118" i="19"/>
  <c r="H118" i="19"/>
  <c r="G118" i="19"/>
  <c r="F118" i="19"/>
  <c r="T117" i="19"/>
  <c r="H117" i="19" s="1"/>
  <c r="G117" i="19"/>
  <c r="F117" i="19"/>
  <c r="T116" i="19"/>
  <c r="H116" i="19" s="1"/>
  <c r="I116" i="19"/>
  <c r="G116" i="19"/>
  <c r="F116" i="19"/>
  <c r="T115" i="19"/>
  <c r="I115" i="19"/>
  <c r="H115" i="19"/>
  <c r="G115" i="19"/>
  <c r="F115" i="19"/>
  <c r="T114" i="19"/>
  <c r="H114" i="19" s="1"/>
  <c r="I114" i="19"/>
  <c r="G114" i="19"/>
  <c r="F114" i="19"/>
  <c r="T113" i="19"/>
  <c r="I113" i="19"/>
  <c r="H113" i="19"/>
  <c r="G113" i="19"/>
  <c r="F113" i="19"/>
  <c r="H112" i="19"/>
  <c r="G112" i="19"/>
  <c r="F112" i="19"/>
  <c r="T111" i="19"/>
  <c r="H111" i="19"/>
  <c r="G111" i="19"/>
  <c r="F111" i="19"/>
  <c r="T110" i="19"/>
  <c r="H110" i="19" s="1"/>
  <c r="I110" i="19"/>
  <c r="G110" i="19"/>
  <c r="F110" i="19"/>
  <c r="T109" i="19"/>
  <c r="H109" i="19" s="1"/>
  <c r="I109" i="19"/>
  <c r="G109" i="19"/>
  <c r="F109" i="19"/>
  <c r="T108" i="19"/>
  <c r="I108" i="19"/>
  <c r="H108" i="19"/>
  <c r="G108" i="19"/>
  <c r="F108" i="19"/>
  <c r="T107" i="19"/>
  <c r="H107" i="19" s="1"/>
  <c r="I107" i="19"/>
  <c r="G107" i="19"/>
  <c r="F107" i="19"/>
  <c r="T106" i="19"/>
  <c r="Q106" i="19"/>
  <c r="H106" i="19"/>
  <c r="G106" i="19"/>
  <c r="F106" i="19"/>
  <c r="T105" i="19"/>
  <c r="Q105" i="19" s="1"/>
  <c r="I105" i="19"/>
  <c r="G105" i="19"/>
  <c r="F105" i="19"/>
  <c r="T104" i="19"/>
  <c r="Q104" i="19" s="1"/>
  <c r="I104" i="19"/>
  <c r="G104" i="19"/>
  <c r="F104" i="19"/>
  <c r="T103" i="19"/>
  <c r="H103" i="19" s="1"/>
  <c r="I103" i="19"/>
  <c r="G103" i="19"/>
  <c r="F103" i="19"/>
  <c r="T102" i="19"/>
  <c r="Q102" i="19" s="1"/>
  <c r="I102" i="19"/>
  <c r="G102" i="19"/>
  <c r="F102" i="19"/>
  <c r="H101" i="19"/>
  <c r="G101" i="19"/>
  <c r="F101" i="19"/>
  <c r="I100" i="19"/>
  <c r="H100" i="19"/>
  <c r="G100" i="19"/>
  <c r="F100" i="19"/>
  <c r="T99" i="19"/>
  <c r="H99" i="19" s="1"/>
  <c r="Q99" i="19"/>
  <c r="G99" i="19"/>
  <c r="F99" i="19"/>
  <c r="T98" i="19"/>
  <c r="H98" i="19" s="1"/>
  <c r="I98" i="19"/>
  <c r="G98" i="19"/>
  <c r="F98" i="19"/>
  <c r="Q97" i="19"/>
  <c r="H97" i="19"/>
  <c r="G97" i="19"/>
  <c r="F97" i="19"/>
  <c r="Q96" i="19"/>
  <c r="I96" i="19"/>
  <c r="H96" i="19"/>
  <c r="G96" i="19"/>
  <c r="F96" i="19"/>
  <c r="T95" i="19"/>
  <c r="H95" i="19"/>
  <c r="G95" i="19"/>
  <c r="F95" i="19"/>
  <c r="T94" i="19"/>
  <c r="H94" i="19" s="1"/>
  <c r="I94" i="19"/>
  <c r="G94" i="19"/>
  <c r="F94" i="19"/>
  <c r="T93" i="19"/>
  <c r="H93" i="19" s="1"/>
  <c r="I93" i="19"/>
  <c r="G93" i="19"/>
  <c r="F93" i="19"/>
  <c r="T92" i="19"/>
  <c r="I92" i="19"/>
  <c r="H92" i="19"/>
  <c r="G92" i="19"/>
  <c r="F92" i="19"/>
  <c r="T91" i="19"/>
  <c r="H91" i="19" s="1"/>
  <c r="I91" i="19"/>
  <c r="G91" i="19"/>
  <c r="F91" i="19"/>
  <c r="T90" i="19"/>
  <c r="H90" i="19"/>
  <c r="G90" i="19"/>
  <c r="F90" i="19"/>
  <c r="T89" i="19"/>
  <c r="H89" i="19" s="1"/>
  <c r="I89" i="19"/>
  <c r="G89" i="19"/>
  <c r="F89" i="19"/>
  <c r="T88" i="19"/>
  <c r="H88" i="19" s="1"/>
  <c r="I88" i="19"/>
  <c r="G88" i="19"/>
  <c r="F88" i="19"/>
  <c r="T87" i="19"/>
  <c r="I87" i="19"/>
  <c r="H87" i="19"/>
  <c r="G87" i="19"/>
  <c r="F87" i="19"/>
  <c r="T86" i="19"/>
  <c r="H86" i="19" s="1"/>
  <c r="I86" i="19"/>
  <c r="G86" i="19"/>
  <c r="F86" i="19"/>
  <c r="T85" i="19"/>
  <c r="H85" i="19"/>
  <c r="G85" i="19"/>
  <c r="F85" i="19"/>
  <c r="T84" i="19"/>
  <c r="H84" i="19"/>
  <c r="G84" i="19"/>
  <c r="F84" i="19"/>
  <c r="T83" i="19"/>
  <c r="I83" i="19"/>
  <c r="H83" i="19"/>
  <c r="G83" i="19"/>
  <c r="F83" i="19"/>
  <c r="T82" i="19"/>
  <c r="I82" i="19"/>
  <c r="H82" i="19"/>
  <c r="G82" i="19"/>
  <c r="F82" i="19"/>
  <c r="T81" i="19"/>
  <c r="H81" i="19"/>
  <c r="G81" i="19"/>
  <c r="F81" i="19"/>
  <c r="T80" i="19"/>
  <c r="I80" i="19"/>
  <c r="H80" i="19"/>
  <c r="G80" i="19"/>
  <c r="F80" i="19"/>
  <c r="T79" i="19"/>
  <c r="H79" i="19" s="1"/>
  <c r="I79" i="19"/>
  <c r="G79" i="19"/>
  <c r="F79" i="19"/>
  <c r="T78" i="19"/>
  <c r="I78" i="19"/>
  <c r="H78" i="19"/>
  <c r="G78" i="19"/>
  <c r="F78" i="19"/>
  <c r="T77" i="19"/>
  <c r="I77" i="19"/>
  <c r="H77" i="19"/>
  <c r="G77" i="19"/>
  <c r="F77" i="19"/>
  <c r="T76" i="19"/>
  <c r="H76" i="19"/>
  <c r="G76" i="19"/>
  <c r="F76" i="19"/>
  <c r="T75" i="19"/>
  <c r="I75" i="19"/>
  <c r="H75" i="19"/>
  <c r="G75" i="19"/>
  <c r="F75" i="19"/>
  <c r="T74" i="19"/>
  <c r="H74" i="19" s="1"/>
  <c r="I74" i="19"/>
  <c r="G74" i="19"/>
  <c r="F74" i="19"/>
  <c r="T73" i="19"/>
  <c r="I73" i="19"/>
  <c r="H73" i="19"/>
  <c r="G73" i="19"/>
  <c r="F73" i="19"/>
  <c r="T72" i="19"/>
  <c r="I72" i="19"/>
  <c r="H72" i="19"/>
  <c r="G72" i="19"/>
  <c r="F72" i="19"/>
  <c r="Q71" i="19"/>
  <c r="H71" i="19"/>
  <c r="G71" i="19"/>
  <c r="F71" i="19"/>
  <c r="Q70" i="19"/>
  <c r="I70" i="19"/>
  <c r="H70" i="19"/>
  <c r="G70" i="19"/>
  <c r="F70" i="19"/>
  <c r="T69" i="19"/>
  <c r="H69" i="19" s="1"/>
  <c r="G69" i="19"/>
  <c r="F69" i="19"/>
  <c r="T68" i="19"/>
  <c r="I68" i="19"/>
  <c r="H68" i="19"/>
  <c r="G68" i="19"/>
  <c r="F68" i="19"/>
  <c r="T67" i="19"/>
  <c r="H67" i="19" s="1"/>
  <c r="I67" i="19"/>
  <c r="G67" i="19"/>
  <c r="F67" i="19"/>
  <c r="T66" i="19"/>
  <c r="H66" i="19" s="1"/>
  <c r="I66" i="19"/>
  <c r="G66" i="19"/>
  <c r="F66" i="19"/>
  <c r="T65" i="19"/>
  <c r="Q65" i="19"/>
  <c r="I65" i="19"/>
  <c r="H65" i="19"/>
  <c r="G65" i="19"/>
  <c r="F65" i="19"/>
  <c r="T64" i="19"/>
  <c r="H64" i="19"/>
  <c r="G64" i="19"/>
  <c r="F64" i="19"/>
  <c r="T63" i="19"/>
  <c r="I63" i="19"/>
  <c r="H63" i="19"/>
  <c r="G63" i="19"/>
  <c r="F63" i="19"/>
  <c r="T62" i="19"/>
  <c r="I62" i="19"/>
  <c r="H62" i="19"/>
  <c r="G62" i="19"/>
  <c r="F62" i="19"/>
  <c r="T61" i="19"/>
  <c r="H61" i="19" s="1"/>
  <c r="Q61" i="19"/>
  <c r="I61" i="19"/>
  <c r="G61" i="19"/>
  <c r="F61" i="19"/>
  <c r="T60" i="19"/>
  <c r="Q60" i="19"/>
  <c r="I60" i="19"/>
  <c r="H60" i="19"/>
  <c r="G60" i="19"/>
  <c r="F60" i="19"/>
  <c r="T59" i="19"/>
  <c r="P59" i="19"/>
  <c r="I58" i="19" s="1"/>
  <c r="H59" i="19"/>
  <c r="G59" i="19"/>
  <c r="T58" i="19"/>
  <c r="H58" i="19" s="1"/>
  <c r="G58" i="19"/>
  <c r="F58" i="19"/>
  <c r="T57" i="19"/>
  <c r="I57" i="19"/>
  <c r="H57" i="19"/>
  <c r="G57" i="19"/>
  <c r="F57" i="19"/>
  <c r="T56" i="19"/>
  <c r="I56" i="19"/>
  <c r="H56" i="19"/>
  <c r="G56" i="19"/>
  <c r="F56" i="19"/>
  <c r="T55" i="19"/>
  <c r="H55" i="19" s="1"/>
  <c r="Q55" i="19"/>
  <c r="I55" i="19"/>
  <c r="G55" i="19"/>
  <c r="F55" i="19"/>
  <c r="T54" i="19"/>
  <c r="H54" i="19"/>
  <c r="G54" i="19"/>
  <c r="F54" i="19"/>
  <c r="T53" i="19"/>
  <c r="H53" i="19" s="1"/>
  <c r="I53" i="19"/>
  <c r="G53" i="19"/>
  <c r="F53" i="19"/>
  <c r="T52" i="19"/>
  <c r="H52" i="19" s="1"/>
  <c r="I52" i="19"/>
  <c r="G52" i="19"/>
  <c r="F52" i="19"/>
  <c r="T51" i="19"/>
  <c r="I51" i="19"/>
  <c r="H51" i="19"/>
  <c r="G51" i="19"/>
  <c r="F51" i="19"/>
  <c r="T50" i="19"/>
  <c r="H50" i="19" s="1"/>
  <c r="I50" i="19"/>
  <c r="G50" i="19"/>
  <c r="F50" i="19"/>
  <c r="T49" i="19"/>
  <c r="H49" i="19"/>
  <c r="G49" i="19"/>
  <c r="F49" i="19"/>
  <c r="T48" i="19"/>
  <c r="H48" i="19" s="1"/>
  <c r="I48" i="19"/>
  <c r="G48" i="19"/>
  <c r="F48" i="19"/>
  <c r="T47" i="19"/>
  <c r="H47" i="19" s="1"/>
  <c r="I47" i="19"/>
  <c r="G47" i="19"/>
  <c r="F47" i="19"/>
  <c r="H46" i="19"/>
  <c r="G46" i="19"/>
  <c r="F46" i="19"/>
  <c r="I45" i="19"/>
  <c r="H45" i="19"/>
  <c r="G45" i="19"/>
  <c r="F45" i="19"/>
  <c r="I44" i="19"/>
  <c r="H44" i="19"/>
  <c r="G44" i="19"/>
  <c r="F44" i="19"/>
  <c r="I43" i="19"/>
  <c r="H43" i="19"/>
  <c r="G43" i="19"/>
  <c r="F43" i="19"/>
  <c r="I42" i="19"/>
  <c r="H42" i="19"/>
  <c r="G42" i="19"/>
  <c r="F42" i="19"/>
  <c r="H41" i="19"/>
  <c r="G41" i="19"/>
  <c r="F41" i="19"/>
  <c r="I40" i="19"/>
  <c r="H40" i="19"/>
  <c r="G40" i="19"/>
  <c r="F40" i="19"/>
  <c r="I39" i="19"/>
  <c r="H39" i="19"/>
  <c r="G39" i="19"/>
  <c r="F39" i="19"/>
  <c r="I38" i="19"/>
  <c r="H38" i="19"/>
  <c r="G38" i="19"/>
  <c r="F38" i="19"/>
  <c r="I37" i="19"/>
  <c r="H37" i="19"/>
  <c r="G37" i="19"/>
  <c r="F37" i="19"/>
  <c r="T36" i="19"/>
  <c r="H36" i="19"/>
  <c r="G36" i="19"/>
  <c r="F36" i="19"/>
  <c r="I35" i="19"/>
  <c r="H35" i="19"/>
  <c r="G35" i="19"/>
  <c r="F35" i="19"/>
  <c r="T34" i="19"/>
  <c r="H34" i="19" s="1"/>
  <c r="I34" i="19"/>
  <c r="G34" i="19"/>
  <c r="F34" i="19"/>
  <c r="T33" i="19"/>
  <c r="H33" i="19" s="1"/>
  <c r="I33" i="19"/>
  <c r="G33" i="19"/>
  <c r="F33" i="19"/>
  <c r="T32" i="19"/>
  <c r="I32" i="19"/>
  <c r="H32" i="19"/>
  <c r="G32" i="19"/>
  <c r="F32" i="19"/>
  <c r="Q31" i="19"/>
  <c r="H31" i="19"/>
  <c r="G31" i="19"/>
  <c r="F31" i="19"/>
  <c r="Q30" i="19"/>
  <c r="I30" i="19"/>
  <c r="H30" i="19"/>
  <c r="G30" i="19"/>
  <c r="F30" i="19"/>
  <c r="Q29" i="19"/>
  <c r="I29" i="19"/>
  <c r="H29" i="19"/>
  <c r="G29" i="19"/>
  <c r="F29" i="19"/>
  <c r="Q28" i="19"/>
  <c r="I28" i="19"/>
  <c r="H28" i="19"/>
  <c r="G28" i="19"/>
  <c r="F28" i="19"/>
  <c r="Q27" i="19"/>
  <c r="I27" i="19"/>
  <c r="H27" i="19"/>
  <c r="G27" i="19"/>
  <c r="F27" i="19"/>
  <c r="Q26" i="19"/>
  <c r="H26" i="19"/>
  <c r="G26" i="19"/>
  <c r="F26" i="19"/>
  <c r="Q25" i="19"/>
  <c r="I25" i="19"/>
  <c r="H25" i="19"/>
  <c r="G25" i="19"/>
  <c r="F25" i="19"/>
  <c r="Q24" i="19"/>
  <c r="I24" i="19"/>
  <c r="H24" i="19"/>
  <c r="G24" i="19"/>
  <c r="F24" i="19"/>
  <c r="H23" i="19"/>
  <c r="G23" i="19"/>
  <c r="F23" i="19"/>
  <c r="I22" i="19"/>
  <c r="H22" i="19"/>
  <c r="G22" i="19"/>
  <c r="F22" i="19"/>
  <c r="I21" i="19"/>
  <c r="H21" i="19"/>
  <c r="G21" i="19"/>
  <c r="F21" i="19"/>
  <c r="I20" i="19"/>
  <c r="H20" i="19"/>
  <c r="G20" i="19"/>
  <c r="F20" i="19"/>
  <c r="I19" i="19"/>
  <c r="H19" i="19"/>
  <c r="G19" i="19"/>
  <c r="F19" i="19"/>
  <c r="H18" i="19"/>
  <c r="G18" i="19"/>
  <c r="F18" i="19"/>
  <c r="I17" i="19"/>
  <c r="H17" i="19"/>
  <c r="G17" i="19"/>
  <c r="F17" i="19"/>
  <c r="I16" i="19"/>
  <c r="H16" i="19"/>
  <c r="G16" i="19"/>
  <c r="F16" i="19"/>
  <c r="T15" i="19"/>
  <c r="Q15" i="19" s="1"/>
  <c r="H15" i="19"/>
  <c r="G15" i="19"/>
  <c r="F15" i="19"/>
  <c r="Q14" i="19"/>
  <c r="H14" i="19"/>
  <c r="G14" i="19"/>
  <c r="F14" i="19"/>
  <c r="Q13" i="19"/>
  <c r="I13" i="19"/>
  <c r="H13" i="19"/>
  <c r="G13" i="19"/>
  <c r="F13" i="19"/>
  <c r="Q12" i="19"/>
  <c r="I12" i="19"/>
  <c r="H12" i="19"/>
  <c r="G12" i="19"/>
  <c r="F12" i="19"/>
  <c r="Q11" i="19"/>
  <c r="I11" i="19"/>
  <c r="H11" i="19"/>
  <c r="G11" i="19"/>
  <c r="F11" i="19"/>
  <c r="Q10" i="19"/>
  <c r="I10" i="19"/>
  <c r="H10" i="19"/>
  <c r="G10" i="19"/>
  <c r="F10" i="19"/>
  <c r="T9" i="19"/>
  <c r="Q9" i="19"/>
  <c r="H9" i="19"/>
  <c r="G9" i="19"/>
  <c r="F9" i="19"/>
  <c r="Q8" i="19"/>
  <c r="H8" i="19"/>
  <c r="G8" i="19"/>
  <c r="F8" i="19"/>
  <c r="T7" i="19"/>
  <c r="Q7" i="19"/>
  <c r="H7" i="19"/>
  <c r="G7" i="19"/>
  <c r="F7" i="19"/>
  <c r="T6" i="19"/>
  <c r="H6" i="19"/>
  <c r="G6" i="19"/>
  <c r="F6" i="19"/>
  <c r="T5" i="19"/>
  <c r="I5" i="19"/>
  <c r="H5" i="19"/>
  <c r="G5" i="19"/>
  <c r="F5" i="19"/>
  <c r="T4" i="19"/>
  <c r="H4" i="19" s="1"/>
  <c r="I4" i="19"/>
  <c r="G4" i="19"/>
  <c r="F4" i="19"/>
  <c r="T3" i="19"/>
  <c r="I3" i="19"/>
  <c r="H3" i="19"/>
  <c r="G3" i="19"/>
  <c r="F3" i="19"/>
  <c r="T2" i="19"/>
  <c r="I2" i="19"/>
  <c r="H2" i="19"/>
  <c r="G2" i="19"/>
  <c r="F2" i="19"/>
  <c r="I407" i="9"/>
  <c r="I168" i="9"/>
  <c r="I163" i="9"/>
  <c r="I158" i="9"/>
  <c r="I3" i="9"/>
  <c r="I4" i="9"/>
  <c r="I5" i="9"/>
  <c r="I10" i="9"/>
  <c r="I11" i="9"/>
  <c r="I12" i="9"/>
  <c r="I13" i="9"/>
  <c r="I16" i="9"/>
  <c r="I17" i="9"/>
  <c r="I19" i="9"/>
  <c r="I20" i="9"/>
  <c r="I21" i="9"/>
  <c r="I22" i="9"/>
  <c r="I24" i="9"/>
  <c r="I25" i="9"/>
  <c r="I27" i="9"/>
  <c r="I28" i="9"/>
  <c r="I29" i="9"/>
  <c r="I30" i="9"/>
  <c r="I32" i="9"/>
  <c r="I33" i="9"/>
  <c r="I34" i="9"/>
  <c r="I35" i="9"/>
  <c r="I37" i="9"/>
  <c r="I38" i="9"/>
  <c r="I39" i="9"/>
  <c r="I40" i="9"/>
  <c r="I42" i="9"/>
  <c r="I43" i="9"/>
  <c r="I44" i="9"/>
  <c r="I45" i="9"/>
  <c r="I47" i="9"/>
  <c r="I48" i="9"/>
  <c r="I50" i="9"/>
  <c r="I51" i="9"/>
  <c r="I52" i="9"/>
  <c r="I53" i="9"/>
  <c r="I55" i="9"/>
  <c r="I56" i="9"/>
  <c r="I57" i="9"/>
  <c r="I58" i="9"/>
  <c r="I60" i="9"/>
  <c r="I61" i="9"/>
  <c r="I62" i="9"/>
  <c r="I63" i="9"/>
  <c r="I65" i="9"/>
  <c r="I66" i="9"/>
  <c r="I67" i="9"/>
  <c r="I68" i="9"/>
  <c r="I70" i="9"/>
  <c r="I72" i="9"/>
  <c r="I73" i="9"/>
  <c r="I74" i="9"/>
  <c r="I75" i="9"/>
  <c r="I77" i="9"/>
  <c r="I78" i="9"/>
  <c r="I79" i="9"/>
  <c r="I80" i="9"/>
  <c r="I82" i="9"/>
  <c r="I83" i="9"/>
  <c r="I86" i="9"/>
  <c r="I87" i="9"/>
  <c r="I88" i="9"/>
  <c r="I89" i="9"/>
  <c r="I91" i="9"/>
  <c r="I92" i="9"/>
  <c r="I93" i="9"/>
  <c r="I94" i="9"/>
  <c r="I96" i="9"/>
  <c r="I98" i="9"/>
  <c r="I100" i="9"/>
  <c r="I102" i="9"/>
  <c r="I103" i="9"/>
  <c r="I104" i="9"/>
  <c r="I105" i="9"/>
  <c r="I107" i="9"/>
  <c r="I108" i="9"/>
  <c r="I109" i="9"/>
  <c r="I110" i="9"/>
  <c r="I113" i="9"/>
  <c r="I114" i="9"/>
  <c r="I115" i="9"/>
  <c r="I116" i="9"/>
  <c r="I118" i="9"/>
  <c r="I120" i="9"/>
  <c r="I121" i="9"/>
  <c r="I122" i="9"/>
  <c r="I124" i="9"/>
  <c r="I127" i="9"/>
  <c r="I129" i="9"/>
  <c r="I131" i="9"/>
  <c r="I132" i="9"/>
  <c r="I133" i="9"/>
  <c r="I135" i="9"/>
  <c r="I136" i="9"/>
  <c r="I137" i="9"/>
  <c r="I138" i="9"/>
  <c r="I140" i="9"/>
  <c r="I142" i="9"/>
  <c r="I143" i="9"/>
  <c r="I144" i="9"/>
  <c r="I145" i="9"/>
  <c r="I147" i="9"/>
  <c r="I148" i="9"/>
  <c r="I149" i="9"/>
  <c r="I150" i="9"/>
  <c r="I152" i="9"/>
  <c r="I154" i="9"/>
  <c r="I155" i="9"/>
  <c r="I156" i="9"/>
  <c r="I157" i="9"/>
  <c r="I159" i="9"/>
  <c r="I160" i="9"/>
  <c r="I161" i="9"/>
  <c r="I162" i="9"/>
  <c r="I164" i="9"/>
  <c r="I165" i="9"/>
  <c r="I166" i="9"/>
  <c r="I167" i="9"/>
  <c r="I170" i="9"/>
  <c r="I172" i="9"/>
  <c r="I173" i="9"/>
  <c r="I174" i="9"/>
  <c r="I175" i="9"/>
  <c r="I177" i="9"/>
  <c r="I179" i="9"/>
  <c r="I180" i="9"/>
  <c r="I181" i="9"/>
  <c r="I182" i="9"/>
  <c r="I184" i="9"/>
  <c r="I185" i="9"/>
  <c r="I186" i="9"/>
  <c r="I187" i="9"/>
  <c r="I189" i="9"/>
  <c r="I190" i="9"/>
  <c r="I191" i="9"/>
  <c r="I192" i="9"/>
  <c r="I195" i="9"/>
  <c r="I196" i="9"/>
  <c r="I197" i="9"/>
  <c r="I199" i="9"/>
  <c r="I200" i="9"/>
  <c r="I201" i="9"/>
  <c r="I203" i="9"/>
  <c r="I204" i="9"/>
  <c r="I205" i="9"/>
  <c r="I207" i="9"/>
  <c r="I208" i="9"/>
  <c r="I209" i="9"/>
  <c r="I210" i="9"/>
  <c r="I213" i="9"/>
  <c r="I215" i="9"/>
  <c r="I216" i="9"/>
  <c r="I217" i="9"/>
  <c r="I218" i="9"/>
  <c r="I220" i="9"/>
  <c r="I221" i="9"/>
  <c r="I222" i="9"/>
  <c r="I223" i="9"/>
  <c r="I225" i="9"/>
  <c r="I226" i="9"/>
  <c r="I227" i="9"/>
  <c r="I228" i="9"/>
  <c r="I230" i="9"/>
  <c r="I232" i="9"/>
  <c r="I234" i="9"/>
  <c r="I235" i="9"/>
  <c r="I236" i="9"/>
  <c r="I237" i="9"/>
  <c r="I239" i="9"/>
  <c r="I240" i="9"/>
  <c r="I241" i="9"/>
  <c r="I242" i="9"/>
  <c r="I244" i="9"/>
  <c r="I245" i="9"/>
  <c r="I246" i="9"/>
  <c r="I248" i="9"/>
  <c r="I249" i="9"/>
  <c r="I250" i="9"/>
  <c r="I251" i="9"/>
  <c r="I253" i="9"/>
  <c r="I254" i="9"/>
  <c r="I255" i="9"/>
  <c r="I256" i="9"/>
  <c r="I258" i="9"/>
  <c r="I259" i="9"/>
  <c r="I260" i="9"/>
  <c r="I261" i="9"/>
  <c r="I263" i="9"/>
  <c r="I264" i="9"/>
  <c r="I265" i="9"/>
  <c r="I266" i="9"/>
  <c r="I268" i="9"/>
  <c r="I269" i="9"/>
  <c r="I271" i="9"/>
  <c r="I273" i="9"/>
  <c r="I274" i="9"/>
  <c r="I275" i="9"/>
  <c r="I276" i="9"/>
  <c r="I278" i="9"/>
  <c r="I279" i="9"/>
  <c r="I280" i="9"/>
  <c r="I281" i="9"/>
  <c r="I283" i="9"/>
  <c r="I284" i="9"/>
  <c r="I285" i="9"/>
  <c r="I286" i="9"/>
  <c r="I288" i="9"/>
  <c r="I289" i="9"/>
  <c r="I292" i="9"/>
  <c r="I293" i="9"/>
  <c r="I294" i="9"/>
  <c r="I295" i="9"/>
  <c r="I297" i="9"/>
  <c r="I299" i="9"/>
  <c r="I301" i="9"/>
  <c r="I302" i="9"/>
  <c r="I303" i="9"/>
  <c r="I304" i="9"/>
  <c r="I306" i="9"/>
  <c r="I307" i="9"/>
  <c r="I308" i="9"/>
  <c r="I309" i="9"/>
  <c r="I311" i="9"/>
  <c r="I312" i="9"/>
  <c r="I313" i="9"/>
  <c r="I314" i="9"/>
  <c r="I316" i="9"/>
  <c r="I317" i="9"/>
  <c r="I318" i="9"/>
  <c r="I319" i="9"/>
  <c r="I322" i="9"/>
  <c r="I323" i="9"/>
  <c r="I324" i="9"/>
  <c r="I325" i="9"/>
  <c r="I327" i="9"/>
  <c r="I328" i="9"/>
  <c r="I329" i="9"/>
  <c r="I330" i="9"/>
  <c r="I332" i="9"/>
  <c r="I333" i="9"/>
  <c r="I334" i="9"/>
  <c r="I335" i="9"/>
  <c r="I337" i="9"/>
  <c r="I338" i="9"/>
  <c r="I339" i="9"/>
  <c r="I340" i="9"/>
  <c r="I342" i="9"/>
  <c r="I344" i="9"/>
  <c r="I345" i="9"/>
  <c r="I347" i="9"/>
  <c r="I348" i="9"/>
  <c r="I349" i="9"/>
  <c r="I351" i="9"/>
  <c r="I352" i="9"/>
  <c r="I353" i="9"/>
  <c r="I354" i="9"/>
  <c r="I356" i="9"/>
  <c r="I357" i="9"/>
  <c r="I358" i="9"/>
  <c r="I359" i="9"/>
  <c r="I361" i="9"/>
  <c r="I362" i="9"/>
  <c r="I363" i="9"/>
  <c r="I364" i="9"/>
  <c r="I366" i="9"/>
  <c r="I367" i="9"/>
  <c r="I369" i="9"/>
  <c r="I370" i="9"/>
  <c r="I371" i="9"/>
  <c r="I372" i="9"/>
  <c r="I374" i="9"/>
  <c r="I376" i="9"/>
  <c r="I377" i="9"/>
  <c r="I378" i="9"/>
  <c r="I379" i="9"/>
  <c r="I381" i="9"/>
  <c r="I382" i="9"/>
  <c r="I383" i="9"/>
  <c r="I384" i="9"/>
  <c r="I386" i="9"/>
  <c r="I387" i="9"/>
  <c r="I388" i="9"/>
  <c r="I390" i="9"/>
  <c r="I391" i="9"/>
  <c r="I392" i="9"/>
  <c r="I393" i="9"/>
  <c r="I395" i="9"/>
  <c r="I396" i="9"/>
  <c r="I397" i="9"/>
  <c r="I399" i="9"/>
  <c r="I400" i="9"/>
  <c r="I401" i="9"/>
  <c r="I402" i="9"/>
  <c r="I404" i="9"/>
  <c r="I405" i="9"/>
  <c r="I406" i="9"/>
  <c r="I2" i="9"/>
  <c r="I83" i="1"/>
  <c r="R407" i="13"/>
  <c r="H407" i="13" s="1"/>
  <c r="G407" i="13"/>
  <c r="F407" i="13"/>
  <c r="O406" i="13"/>
  <c r="H406" i="13"/>
  <c r="G406" i="13"/>
  <c r="F406" i="13"/>
  <c r="O405" i="13"/>
  <c r="H405" i="13"/>
  <c r="G405" i="13"/>
  <c r="F405" i="13"/>
  <c r="O404" i="13"/>
  <c r="H404" i="13"/>
  <c r="G404" i="13"/>
  <c r="F404" i="13"/>
  <c r="O403" i="13"/>
  <c r="H403" i="13"/>
  <c r="G403" i="13"/>
  <c r="F403" i="13"/>
  <c r="O402" i="13"/>
  <c r="H402" i="13"/>
  <c r="G402" i="13"/>
  <c r="F402" i="13"/>
  <c r="R401" i="13"/>
  <c r="H401" i="13" s="1"/>
  <c r="O401" i="13"/>
  <c r="G401" i="13"/>
  <c r="F401" i="13"/>
  <c r="R400" i="13"/>
  <c r="H400" i="13" s="1"/>
  <c r="G400" i="13"/>
  <c r="F400" i="13"/>
  <c r="R399" i="13"/>
  <c r="H399" i="13" s="1"/>
  <c r="G399" i="13"/>
  <c r="F399" i="13"/>
  <c r="O398" i="13"/>
  <c r="H398" i="13"/>
  <c r="G398" i="13"/>
  <c r="F398" i="13"/>
  <c r="R397" i="13"/>
  <c r="H397" i="13" s="1"/>
  <c r="G397" i="13"/>
  <c r="F397" i="13"/>
  <c r="O396" i="13"/>
  <c r="H396" i="13"/>
  <c r="G396" i="13"/>
  <c r="F396" i="13"/>
  <c r="R395" i="13"/>
  <c r="O395" i="13" s="1"/>
  <c r="H395" i="13"/>
  <c r="G395" i="13"/>
  <c r="F395" i="13"/>
  <c r="O394" i="13"/>
  <c r="H394" i="13"/>
  <c r="G394" i="13"/>
  <c r="F394" i="13"/>
  <c r="R393" i="13"/>
  <c r="O393" i="13"/>
  <c r="H393" i="13"/>
  <c r="G393" i="13"/>
  <c r="F393" i="13"/>
  <c r="R392" i="13"/>
  <c r="O392" i="13" s="1"/>
  <c r="G392" i="13"/>
  <c r="F392" i="13"/>
  <c r="R391" i="13"/>
  <c r="H391" i="13"/>
  <c r="G391" i="13"/>
  <c r="F391" i="13"/>
  <c r="R390" i="13"/>
  <c r="H390" i="13"/>
  <c r="G390" i="13"/>
  <c r="F390" i="13"/>
  <c r="R389" i="13"/>
  <c r="H389" i="13" s="1"/>
  <c r="O389" i="13"/>
  <c r="G389" i="13"/>
  <c r="F389" i="13"/>
  <c r="R388" i="13"/>
  <c r="H388" i="13" s="1"/>
  <c r="G388" i="13"/>
  <c r="F388" i="13"/>
  <c r="R387" i="13"/>
  <c r="H387" i="13" s="1"/>
  <c r="G387" i="13"/>
  <c r="F387" i="13"/>
  <c r="R386" i="13"/>
  <c r="O386" i="13" s="1"/>
  <c r="H386" i="13"/>
  <c r="G386" i="13"/>
  <c r="F386" i="13"/>
  <c r="R385" i="13"/>
  <c r="H385" i="13"/>
  <c r="G385" i="13"/>
  <c r="F385" i="13"/>
  <c r="R384" i="13"/>
  <c r="H384" i="13"/>
  <c r="G384" i="13"/>
  <c r="F384" i="13"/>
  <c r="R383" i="13"/>
  <c r="H383" i="13"/>
  <c r="G383" i="13"/>
  <c r="F383" i="13"/>
  <c r="R382" i="13"/>
  <c r="H382" i="13"/>
  <c r="G382" i="13"/>
  <c r="F382" i="13"/>
  <c r="R381" i="13"/>
  <c r="H381" i="13"/>
  <c r="G381" i="13"/>
  <c r="F381" i="13"/>
  <c r="R380" i="13"/>
  <c r="H380" i="13"/>
  <c r="G380" i="13"/>
  <c r="F380" i="13"/>
  <c r="R379" i="13"/>
  <c r="H379" i="13"/>
  <c r="G379" i="13"/>
  <c r="F379" i="13"/>
  <c r="R378" i="13"/>
  <c r="H378" i="13"/>
  <c r="G378" i="13"/>
  <c r="F378" i="13"/>
  <c r="R377" i="13"/>
  <c r="H377" i="13"/>
  <c r="G377" i="13"/>
  <c r="F377" i="13"/>
  <c r="R376" i="13"/>
  <c r="H376" i="13"/>
  <c r="G376" i="13"/>
  <c r="F376" i="13"/>
  <c r="R375" i="13"/>
  <c r="H375" i="13"/>
  <c r="G375" i="13"/>
  <c r="F375" i="13"/>
  <c r="R374" i="13"/>
  <c r="H374" i="13"/>
  <c r="G374" i="13"/>
  <c r="F374" i="13"/>
  <c r="R373" i="13"/>
  <c r="H373" i="13"/>
  <c r="G373" i="13"/>
  <c r="F373" i="13"/>
  <c r="R372" i="13"/>
  <c r="H372" i="13"/>
  <c r="G372" i="13"/>
  <c r="F372" i="13"/>
  <c r="R371" i="13"/>
  <c r="H371" i="13"/>
  <c r="G371" i="13"/>
  <c r="F371" i="13"/>
  <c r="R370" i="13"/>
  <c r="H370" i="13"/>
  <c r="G370" i="13"/>
  <c r="F370" i="13"/>
  <c r="R369" i="13"/>
  <c r="H369" i="13"/>
  <c r="G369" i="13"/>
  <c r="F369" i="13"/>
  <c r="R368" i="13"/>
  <c r="H368" i="13"/>
  <c r="G368" i="13"/>
  <c r="F368" i="13"/>
  <c r="R367" i="13"/>
  <c r="H367" i="13"/>
  <c r="G367" i="13"/>
  <c r="F367" i="13"/>
  <c r="R366" i="13"/>
  <c r="H366" i="13"/>
  <c r="G366" i="13"/>
  <c r="F366" i="13"/>
  <c r="R365" i="13"/>
  <c r="H365" i="13"/>
  <c r="G365" i="13"/>
  <c r="F365" i="13"/>
  <c r="R364" i="13"/>
  <c r="H364" i="13"/>
  <c r="G364" i="13"/>
  <c r="F364" i="13"/>
  <c r="R363" i="13"/>
  <c r="H363" i="13"/>
  <c r="G363" i="13"/>
  <c r="F363" i="13"/>
  <c r="R362" i="13"/>
  <c r="H362" i="13"/>
  <c r="G362" i="13"/>
  <c r="F362" i="13"/>
  <c r="R361" i="13"/>
  <c r="H361" i="13"/>
  <c r="G361" i="13"/>
  <c r="F361" i="13"/>
  <c r="R360" i="13"/>
  <c r="H360" i="13"/>
  <c r="G360" i="13"/>
  <c r="F360" i="13"/>
  <c r="R359" i="13"/>
  <c r="H359" i="13"/>
  <c r="G359" i="13"/>
  <c r="F359" i="13"/>
  <c r="R358" i="13"/>
  <c r="H358" i="13"/>
  <c r="G358" i="13"/>
  <c r="F358" i="13"/>
  <c r="R357" i="13"/>
  <c r="H357" i="13"/>
  <c r="G357" i="13"/>
  <c r="F357" i="13"/>
  <c r="R356" i="13"/>
  <c r="H356" i="13"/>
  <c r="G356" i="13"/>
  <c r="F356" i="13"/>
  <c r="R355" i="13"/>
  <c r="H355" i="13"/>
  <c r="G355" i="13"/>
  <c r="F355" i="13"/>
  <c r="H354" i="13"/>
  <c r="G354" i="13"/>
  <c r="F354" i="13"/>
  <c r="H353" i="13"/>
  <c r="G353" i="13"/>
  <c r="F353" i="13"/>
  <c r="H352" i="13"/>
  <c r="G352" i="13"/>
  <c r="F352" i="13"/>
  <c r="H351" i="13"/>
  <c r="G351" i="13"/>
  <c r="F351" i="13"/>
  <c r="H350" i="13"/>
  <c r="G350" i="13"/>
  <c r="F350" i="13"/>
  <c r="H349" i="13"/>
  <c r="G349" i="13"/>
  <c r="F349" i="13"/>
  <c r="H348" i="13"/>
  <c r="G348" i="13"/>
  <c r="F348" i="13"/>
  <c r="H347" i="13"/>
  <c r="G347" i="13"/>
  <c r="F347" i="13"/>
  <c r="H346" i="13"/>
  <c r="G346" i="13"/>
  <c r="F346" i="13"/>
  <c r="H345" i="13"/>
  <c r="G345" i="13"/>
  <c r="F345" i="13"/>
  <c r="H344" i="13"/>
  <c r="G344" i="13"/>
  <c r="F344" i="13"/>
  <c r="H343" i="13"/>
  <c r="G343" i="13"/>
  <c r="F343" i="13"/>
  <c r="H342" i="13"/>
  <c r="G342" i="13"/>
  <c r="F342" i="13"/>
  <c r="H341" i="13"/>
  <c r="G341" i="13"/>
  <c r="F341" i="13"/>
  <c r="H340" i="13"/>
  <c r="G340" i="13"/>
  <c r="F340" i="13"/>
  <c r="H339" i="13"/>
  <c r="G339" i="13"/>
  <c r="F339" i="13"/>
  <c r="H338" i="13"/>
  <c r="G338" i="13"/>
  <c r="F338" i="13"/>
  <c r="H337" i="13"/>
  <c r="G337" i="13"/>
  <c r="F337" i="13"/>
  <c r="H336" i="13"/>
  <c r="G336" i="13"/>
  <c r="F336" i="13"/>
  <c r="H335" i="13"/>
  <c r="G335" i="13"/>
  <c r="F335" i="13"/>
  <c r="R334" i="13"/>
  <c r="H334" i="13" s="1"/>
  <c r="O334" i="13"/>
  <c r="G334" i="13"/>
  <c r="F334" i="13"/>
  <c r="R333" i="13"/>
  <c r="H333" i="13"/>
  <c r="G333" i="13"/>
  <c r="F333" i="13"/>
  <c r="R332" i="13"/>
  <c r="O332" i="13" s="1"/>
  <c r="G332" i="13"/>
  <c r="F332" i="13"/>
  <c r="R331" i="13"/>
  <c r="H331" i="13"/>
  <c r="G331" i="13"/>
  <c r="F331" i="13"/>
  <c r="R330" i="13"/>
  <c r="H330" i="13"/>
  <c r="G330" i="13"/>
  <c r="F330" i="13"/>
  <c r="R329" i="13"/>
  <c r="H329" i="13" s="1"/>
  <c r="O329" i="13"/>
  <c r="G329" i="13"/>
  <c r="F329" i="13"/>
  <c r="R328" i="13"/>
  <c r="O328" i="13" s="1"/>
  <c r="H328" i="13"/>
  <c r="G328" i="13"/>
  <c r="F328" i="13"/>
  <c r="R327" i="13"/>
  <c r="H327" i="13" s="1"/>
  <c r="O327" i="13"/>
  <c r="G327" i="13"/>
  <c r="F327" i="13"/>
  <c r="R326" i="13"/>
  <c r="H326" i="13"/>
  <c r="G326" i="13"/>
  <c r="F326" i="13"/>
  <c r="R325" i="13"/>
  <c r="O325" i="13" s="1"/>
  <c r="G325" i="13"/>
  <c r="F325" i="13"/>
  <c r="R324" i="13"/>
  <c r="H324" i="13" s="1"/>
  <c r="O324" i="13"/>
  <c r="G324" i="13"/>
  <c r="F324" i="13"/>
  <c r="R323" i="13"/>
  <c r="O323" i="13" s="1"/>
  <c r="H323" i="13"/>
  <c r="G323" i="13"/>
  <c r="F323" i="13"/>
  <c r="R322" i="13"/>
  <c r="H322" i="13" s="1"/>
  <c r="O322" i="13"/>
  <c r="G322" i="13"/>
  <c r="F322" i="13"/>
  <c r="R321" i="13"/>
  <c r="H321" i="13"/>
  <c r="G321" i="13"/>
  <c r="F321" i="13"/>
  <c r="R320" i="13"/>
  <c r="H320" i="13" s="1"/>
  <c r="G320" i="13"/>
  <c r="F320" i="13"/>
  <c r="R319" i="13"/>
  <c r="N319" i="13"/>
  <c r="H319" i="13"/>
  <c r="G319" i="13"/>
  <c r="F319" i="13"/>
  <c r="R318" i="13"/>
  <c r="H318" i="13"/>
  <c r="G318" i="13"/>
  <c r="F318" i="13"/>
  <c r="O317" i="13"/>
  <c r="H317" i="13"/>
  <c r="G317" i="13"/>
  <c r="F317" i="13"/>
  <c r="O316" i="13"/>
  <c r="H316" i="13"/>
  <c r="G316" i="13"/>
  <c r="F316" i="13"/>
  <c r="O315" i="13"/>
  <c r="H315" i="13"/>
  <c r="G315" i="13"/>
  <c r="F315" i="13"/>
  <c r="O314" i="13"/>
  <c r="H314" i="13"/>
  <c r="G314" i="13"/>
  <c r="F314" i="13"/>
  <c r="O313" i="13"/>
  <c r="H313" i="13"/>
  <c r="G313" i="13"/>
  <c r="F313" i="13"/>
  <c r="R312" i="13"/>
  <c r="H312" i="13"/>
  <c r="G312" i="13"/>
  <c r="F312" i="13"/>
  <c r="R311" i="13"/>
  <c r="H311" i="13" s="1"/>
  <c r="G311" i="13"/>
  <c r="F311" i="13"/>
  <c r="O310" i="13"/>
  <c r="H310" i="13"/>
  <c r="G310" i="13"/>
  <c r="F310" i="13"/>
  <c r="O309" i="13"/>
  <c r="H309" i="13"/>
  <c r="G309" i="13"/>
  <c r="F309" i="13"/>
  <c r="R308" i="13"/>
  <c r="H308" i="13"/>
  <c r="G308" i="13"/>
  <c r="F308" i="13"/>
  <c r="O307" i="13"/>
  <c r="H307" i="13"/>
  <c r="G307" i="13"/>
  <c r="F307" i="13"/>
  <c r="O306" i="13"/>
  <c r="H306" i="13"/>
  <c r="G306" i="13"/>
  <c r="F306" i="13"/>
  <c r="O305" i="13"/>
  <c r="H305" i="13"/>
  <c r="G305" i="13"/>
  <c r="F305" i="13"/>
  <c r="O304" i="13"/>
  <c r="H304" i="13"/>
  <c r="G304" i="13"/>
  <c r="F304" i="13"/>
  <c r="R303" i="13"/>
  <c r="H303" i="13"/>
  <c r="G303" i="13"/>
  <c r="F303" i="13"/>
  <c r="R302" i="13"/>
  <c r="H302" i="13"/>
  <c r="G302" i="13"/>
  <c r="F302" i="13"/>
  <c r="R301" i="13"/>
  <c r="H301" i="13"/>
  <c r="G301" i="13"/>
  <c r="F301" i="13"/>
  <c r="R300" i="13"/>
  <c r="H300" i="13" s="1"/>
  <c r="O300" i="13"/>
  <c r="G300" i="13"/>
  <c r="F300" i="13"/>
  <c r="R299" i="13"/>
  <c r="H299" i="13" s="1"/>
  <c r="G299" i="13"/>
  <c r="F299" i="13"/>
  <c r="R298" i="13"/>
  <c r="O298" i="13" s="1"/>
  <c r="H298" i="13"/>
  <c r="G298" i="13"/>
  <c r="F298" i="13"/>
  <c r="R297" i="13"/>
  <c r="H297" i="13"/>
  <c r="G297" i="13"/>
  <c r="F297" i="13"/>
  <c r="R296" i="13"/>
  <c r="H296" i="13"/>
  <c r="G296" i="13"/>
  <c r="F296" i="13"/>
  <c r="R295" i="13"/>
  <c r="H295" i="13"/>
  <c r="G295" i="13"/>
  <c r="F295" i="13"/>
  <c r="R294" i="13"/>
  <c r="H294" i="13"/>
  <c r="G294" i="13"/>
  <c r="F294" i="13"/>
  <c r="R293" i="13"/>
  <c r="H293" i="13"/>
  <c r="G293" i="13"/>
  <c r="F293" i="13"/>
  <c r="R292" i="13"/>
  <c r="H292" i="13"/>
  <c r="G292" i="13"/>
  <c r="F292" i="13"/>
  <c r="R291" i="13"/>
  <c r="H291" i="13"/>
  <c r="G291" i="13"/>
  <c r="F291" i="13"/>
  <c r="R290" i="13"/>
  <c r="H290" i="13"/>
  <c r="G290" i="13"/>
  <c r="F290" i="13"/>
  <c r="R289" i="13"/>
  <c r="H289" i="13"/>
  <c r="G289" i="13"/>
  <c r="F289" i="13"/>
  <c r="R288" i="13"/>
  <c r="H288" i="13"/>
  <c r="G288" i="13"/>
  <c r="F288" i="13"/>
  <c r="R287" i="13"/>
  <c r="H287" i="13"/>
  <c r="G287" i="13"/>
  <c r="F287" i="13"/>
  <c r="R286" i="13"/>
  <c r="H286" i="13"/>
  <c r="G286" i="13"/>
  <c r="F286" i="13"/>
  <c r="R285" i="13"/>
  <c r="H285" i="13"/>
  <c r="G285" i="13"/>
  <c r="F285" i="13"/>
  <c r="R284" i="13"/>
  <c r="H284" i="13"/>
  <c r="G284" i="13"/>
  <c r="F284" i="13"/>
  <c r="R283" i="13"/>
  <c r="H283" i="13"/>
  <c r="G283" i="13"/>
  <c r="F283" i="13"/>
  <c r="R282" i="13"/>
  <c r="H282" i="13"/>
  <c r="G282" i="13"/>
  <c r="F282" i="13"/>
  <c r="R281" i="13"/>
  <c r="H281" i="13"/>
  <c r="G281" i="13"/>
  <c r="F281" i="13"/>
  <c r="R280" i="13"/>
  <c r="H280" i="13"/>
  <c r="G280" i="13"/>
  <c r="F280" i="13"/>
  <c r="R279" i="13"/>
  <c r="H279" i="13"/>
  <c r="G279" i="13"/>
  <c r="F279" i="13"/>
  <c r="R278" i="13"/>
  <c r="H278" i="13"/>
  <c r="G278" i="13"/>
  <c r="F278" i="13"/>
  <c r="R277" i="13"/>
  <c r="H277" i="13"/>
  <c r="G277" i="13"/>
  <c r="F277" i="13"/>
  <c r="R276" i="13"/>
  <c r="H276" i="13"/>
  <c r="G276" i="13"/>
  <c r="F276" i="13"/>
  <c r="R275" i="13"/>
  <c r="H275" i="13"/>
  <c r="G275" i="13"/>
  <c r="F275" i="13"/>
  <c r="R274" i="13"/>
  <c r="H274" i="13"/>
  <c r="G274" i="13"/>
  <c r="F274" i="13"/>
  <c r="R273" i="13"/>
  <c r="H273" i="13"/>
  <c r="G273" i="13"/>
  <c r="F273" i="13"/>
  <c r="R272" i="13"/>
  <c r="H272" i="13"/>
  <c r="G272" i="13"/>
  <c r="F272" i="13"/>
  <c r="R271" i="13"/>
  <c r="H271" i="13"/>
  <c r="G271" i="13"/>
  <c r="F271" i="13"/>
  <c r="H270" i="13"/>
  <c r="G270" i="13"/>
  <c r="F270" i="13"/>
  <c r="H269" i="13"/>
  <c r="G269" i="13"/>
  <c r="F269" i="13"/>
  <c r="H268" i="13"/>
  <c r="G268" i="13"/>
  <c r="F268" i="13"/>
  <c r="H267" i="13"/>
  <c r="G267" i="13"/>
  <c r="F267" i="13"/>
  <c r="H266" i="13"/>
  <c r="G266" i="13"/>
  <c r="F266" i="13"/>
  <c r="H265" i="13"/>
  <c r="G265" i="13"/>
  <c r="F265" i="13"/>
  <c r="H264" i="13"/>
  <c r="G264" i="13"/>
  <c r="F264" i="13"/>
  <c r="H263" i="13"/>
  <c r="G263" i="13"/>
  <c r="F263" i="13"/>
  <c r="H262" i="13"/>
  <c r="G262" i="13"/>
  <c r="F262" i="13"/>
  <c r="H261" i="13"/>
  <c r="G261" i="13"/>
  <c r="F261" i="13"/>
  <c r="H260" i="13"/>
  <c r="G260" i="13"/>
  <c r="F260" i="13"/>
  <c r="H259" i="13"/>
  <c r="G259" i="13"/>
  <c r="F259" i="13"/>
  <c r="H258" i="13"/>
  <c r="G258" i="13"/>
  <c r="F258" i="13"/>
  <c r="H257" i="13"/>
  <c r="G257" i="13"/>
  <c r="F257" i="13"/>
  <c r="H256" i="13"/>
  <c r="G256" i="13"/>
  <c r="F256" i="13"/>
  <c r="H255" i="13"/>
  <c r="G255" i="13"/>
  <c r="F255" i="13"/>
  <c r="H254" i="13"/>
  <c r="G254" i="13"/>
  <c r="F254" i="13"/>
  <c r="H253" i="13"/>
  <c r="G253" i="13"/>
  <c r="F253" i="13"/>
  <c r="H252" i="13"/>
  <c r="G252" i="13"/>
  <c r="F252" i="13"/>
  <c r="H251" i="13"/>
  <c r="G251" i="13"/>
  <c r="F251" i="13"/>
  <c r="H250" i="13"/>
  <c r="G250" i="13"/>
  <c r="F250" i="13"/>
  <c r="R249" i="13"/>
  <c r="O249" i="13" s="1"/>
  <c r="H249" i="13"/>
  <c r="G249" i="13"/>
  <c r="F249" i="13"/>
  <c r="R248" i="13"/>
  <c r="H248" i="13"/>
  <c r="G248" i="13"/>
  <c r="F248" i="13"/>
  <c r="R247" i="13"/>
  <c r="H247" i="13"/>
  <c r="G247" i="13"/>
  <c r="F247" i="13"/>
  <c r="R246" i="13"/>
  <c r="H246" i="13"/>
  <c r="G246" i="13"/>
  <c r="F246" i="13"/>
  <c r="R245" i="13"/>
  <c r="H245" i="13"/>
  <c r="G245" i="13"/>
  <c r="F245" i="13"/>
  <c r="R244" i="13"/>
  <c r="H244" i="13" s="1"/>
  <c r="O244" i="13"/>
  <c r="G244" i="13"/>
  <c r="F244" i="13"/>
  <c r="R243" i="13"/>
  <c r="H243" i="13"/>
  <c r="G243" i="13"/>
  <c r="F243" i="13"/>
  <c r="R242" i="13"/>
  <c r="O242" i="13" s="1"/>
  <c r="G242" i="13"/>
  <c r="F242" i="13"/>
  <c r="R241" i="13"/>
  <c r="H241" i="13"/>
  <c r="G241" i="13"/>
  <c r="F241" i="13"/>
  <c r="R240" i="13"/>
  <c r="H240" i="13" s="1"/>
  <c r="O240" i="13"/>
  <c r="G240" i="13"/>
  <c r="F240" i="13"/>
  <c r="R239" i="13"/>
  <c r="O239" i="13" s="1"/>
  <c r="G239" i="13"/>
  <c r="F239" i="13"/>
  <c r="R238" i="13"/>
  <c r="H238" i="13"/>
  <c r="G238" i="13"/>
  <c r="F238" i="13"/>
  <c r="R237" i="13"/>
  <c r="H237" i="13"/>
  <c r="G237" i="13"/>
  <c r="F237" i="13"/>
  <c r="R236" i="13"/>
  <c r="H236" i="13"/>
  <c r="G236" i="13"/>
  <c r="F236" i="13"/>
  <c r="R235" i="13"/>
  <c r="H235" i="13"/>
  <c r="G235" i="13"/>
  <c r="F235" i="13"/>
  <c r="O234" i="13"/>
  <c r="H234" i="13"/>
  <c r="G234" i="13"/>
  <c r="F234" i="13"/>
  <c r="R233" i="13"/>
  <c r="H233" i="13"/>
  <c r="G233" i="13"/>
  <c r="F233" i="13"/>
  <c r="R232" i="13"/>
  <c r="H232" i="13"/>
  <c r="G232" i="13"/>
  <c r="F232" i="13"/>
  <c r="O231" i="13"/>
  <c r="H231" i="13"/>
  <c r="G231" i="13"/>
  <c r="F231" i="13"/>
  <c r="R230" i="13"/>
  <c r="H230" i="13"/>
  <c r="G230" i="13"/>
  <c r="F230" i="13"/>
  <c r="O229" i="13"/>
  <c r="H229" i="13"/>
  <c r="G229" i="13"/>
  <c r="F229" i="13"/>
  <c r="O228" i="13"/>
  <c r="H228" i="13"/>
  <c r="G228" i="13"/>
  <c r="F228" i="13"/>
  <c r="O227" i="13"/>
  <c r="H227" i="13"/>
  <c r="G227" i="13"/>
  <c r="F227" i="13"/>
  <c r="R226" i="13"/>
  <c r="O226" i="13"/>
  <c r="H226" i="13"/>
  <c r="G226" i="13"/>
  <c r="F226" i="13"/>
  <c r="R225" i="13"/>
  <c r="H225" i="13" s="1"/>
  <c r="G225" i="13"/>
  <c r="F225" i="13"/>
  <c r="R224" i="13"/>
  <c r="H224" i="13"/>
  <c r="G224" i="13"/>
  <c r="F224" i="13"/>
  <c r="R223" i="13"/>
  <c r="H223" i="13" s="1"/>
  <c r="G223" i="13"/>
  <c r="F223" i="13"/>
  <c r="R222" i="13"/>
  <c r="H222" i="13"/>
  <c r="G222" i="13"/>
  <c r="F222" i="13"/>
  <c r="R221" i="13"/>
  <c r="H221" i="13" s="1"/>
  <c r="G221" i="13"/>
  <c r="F221" i="13"/>
  <c r="R220" i="13"/>
  <c r="H220" i="13"/>
  <c r="G220" i="13"/>
  <c r="F220" i="13"/>
  <c r="R219" i="13"/>
  <c r="O219" i="13" s="1"/>
  <c r="G219" i="13"/>
  <c r="F219" i="13"/>
  <c r="R218" i="13"/>
  <c r="H218" i="13"/>
  <c r="G218" i="13"/>
  <c r="F218" i="13"/>
  <c r="R217" i="13"/>
  <c r="H217" i="13"/>
  <c r="G217" i="13"/>
  <c r="F217" i="13"/>
  <c r="R216" i="13"/>
  <c r="H216" i="13" s="1"/>
  <c r="G216" i="13"/>
  <c r="F216" i="13"/>
  <c r="R215" i="13"/>
  <c r="H215" i="13"/>
  <c r="G215" i="13"/>
  <c r="F215" i="13"/>
  <c r="R214" i="13"/>
  <c r="H214" i="13"/>
  <c r="G214" i="13"/>
  <c r="F214" i="13"/>
  <c r="R213" i="13"/>
  <c r="H213" i="13"/>
  <c r="G213" i="13"/>
  <c r="F213" i="13"/>
  <c r="R212" i="13"/>
  <c r="H212" i="13" s="1"/>
  <c r="G212" i="13"/>
  <c r="F212" i="13"/>
  <c r="R211" i="13"/>
  <c r="H211" i="13"/>
  <c r="G211" i="13"/>
  <c r="F211" i="13"/>
  <c r="R210" i="13"/>
  <c r="H210" i="13" s="1"/>
  <c r="G210" i="13"/>
  <c r="F210" i="13"/>
  <c r="R209" i="13"/>
  <c r="H209" i="13"/>
  <c r="G209" i="13"/>
  <c r="F209" i="13"/>
  <c r="R208" i="13"/>
  <c r="H208" i="13"/>
  <c r="G208" i="13"/>
  <c r="F208" i="13"/>
  <c r="R207" i="13"/>
  <c r="H207" i="13"/>
  <c r="G207" i="13"/>
  <c r="F207" i="13"/>
  <c r="R206" i="13"/>
  <c r="H206" i="13" s="1"/>
  <c r="G206" i="13"/>
  <c r="F206" i="13"/>
  <c r="R205" i="13"/>
  <c r="H205" i="13"/>
  <c r="G205" i="13"/>
  <c r="F205" i="13"/>
  <c r="R204" i="13"/>
  <c r="H204" i="13"/>
  <c r="G204" i="13"/>
  <c r="F204" i="13"/>
  <c r="R203" i="13"/>
  <c r="H203" i="13"/>
  <c r="G203" i="13"/>
  <c r="F203" i="13"/>
  <c r="R202" i="13"/>
  <c r="H202" i="13"/>
  <c r="G202" i="13"/>
  <c r="F202" i="13"/>
  <c r="R201" i="13"/>
  <c r="H201" i="13"/>
  <c r="G201" i="13"/>
  <c r="F201" i="13"/>
  <c r="R200" i="13"/>
  <c r="H200" i="13"/>
  <c r="G200" i="13"/>
  <c r="F200" i="13"/>
  <c r="R199" i="13"/>
  <c r="H199" i="13"/>
  <c r="G199" i="13"/>
  <c r="F199" i="13"/>
  <c r="R198" i="13"/>
  <c r="H198" i="13"/>
  <c r="G198" i="13"/>
  <c r="F198" i="13"/>
  <c r="R197" i="13"/>
  <c r="H197" i="13"/>
  <c r="G197" i="13"/>
  <c r="F197" i="13"/>
  <c r="R196" i="13"/>
  <c r="H196" i="13" s="1"/>
  <c r="G196" i="13"/>
  <c r="F196" i="13"/>
  <c r="R195" i="13"/>
  <c r="H195" i="13"/>
  <c r="G195" i="13"/>
  <c r="F195" i="13"/>
  <c r="R194" i="13"/>
  <c r="H194" i="13"/>
  <c r="G194" i="13"/>
  <c r="F194" i="13"/>
  <c r="R193" i="13"/>
  <c r="H193" i="13"/>
  <c r="G193" i="13"/>
  <c r="F193" i="13"/>
  <c r="R192" i="13"/>
  <c r="H192" i="13"/>
  <c r="G192" i="13"/>
  <c r="F192" i="13"/>
  <c r="H191" i="13"/>
  <c r="G191" i="13"/>
  <c r="F191" i="13"/>
  <c r="H190" i="13"/>
  <c r="G190" i="13"/>
  <c r="F190" i="13"/>
  <c r="H189" i="13"/>
  <c r="G189" i="13"/>
  <c r="F189" i="13"/>
  <c r="H188" i="13"/>
  <c r="G188" i="13"/>
  <c r="F188" i="13"/>
  <c r="H187" i="13"/>
  <c r="G187" i="13"/>
  <c r="F187" i="13"/>
  <c r="H186" i="13"/>
  <c r="G186" i="13"/>
  <c r="F186" i="13"/>
  <c r="H185" i="13"/>
  <c r="G185" i="13"/>
  <c r="F185" i="13"/>
  <c r="H184" i="13"/>
  <c r="G184" i="13"/>
  <c r="F184" i="13"/>
  <c r="H183" i="13"/>
  <c r="G183" i="13"/>
  <c r="F183" i="13"/>
  <c r="H182" i="13"/>
  <c r="G182" i="13"/>
  <c r="F182" i="13"/>
  <c r="H181" i="13"/>
  <c r="G181" i="13"/>
  <c r="F181" i="13"/>
  <c r="H180" i="13"/>
  <c r="G180" i="13"/>
  <c r="F180" i="13"/>
  <c r="H179" i="13"/>
  <c r="G179" i="13"/>
  <c r="F179" i="13"/>
  <c r="H178" i="13"/>
  <c r="G178" i="13"/>
  <c r="F178" i="13"/>
  <c r="H177" i="13"/>
  <c r="G177" i="13"/>
  <c r="F177" i="13"/>
  <c r="H176" i="13"/>
  <c r="G176" i="13"/>
  <c r="F176" i="13"/>
  <c r="H175" i="13"/>
  <c r="G175" i="13"/>
  <c r="F175" i="13"/>
  <c r="H174" i="13"/>
  <c r="G174" i="13"/>
  <c r="F174" i="13"/>
  <c r="H173" i="13"/>
  <c r="G173" i="13"/>
  <c r="F173" i="13"/>
  <c r="H172" i="13"/>
  <c r="G172" i="13"/>
  <c r="F172" i="13"/>
  <c r="R171" i="13"/>
  <c r="H171" i="13"/>
  <c r="G171" i="13"/>
  <c r="F171" i="13"/>
  <c r="R170" i="13"/>
  <c r="H170" i="13"/>
  <c r="G170" i="13"/>
  <c r="F170" i="13"/>
  <c r="R169" i="13"/>
  <c r="H169" i="13"/>
  <c r="G169" i="13"/>
  <c r="F169" i="13"/>
  <c r="R168" i="13"/>
  <c r="H168" i="13" s="1"/>
  <c r="O168" i="13"/>
  <c r="G168" i="13"/>
  <c r="F168" i="13"/>
  <c r="R167" i="13"/>
  <c r="H167" i="13" s="1"/>
  <c r="G167" i="13"/>
  <c r="F167" i="13"/>
  <c r="R166" i="13"/>
  <c r="O166" i="13" s="1"/>
  <c r="H166" i="13"/>
  <c r="G166" i="13"/>
  <c r="F166" i="13"/>
  <c r="R165" i="13"/>
  <c r="H165" i="13" s="1"/>
  <c r="O165" i="13"/>
  <c r="G165" i="13"/>
  <c r="F165" i="13"/>
  <c r="R164" i="13"/>
  <c r="O164" i="13"/>
  <c r="H164" i="13"/>
  <c r="G164" i="13"/>
  <c r="F164" i="13"/>
  <c r="R163" i="13"/>
  <c r="H163" i="13"/>
  <c r="G163" i="13"/>
  <c r="F163" i="13"/>
  <c r="R162" i="13"/>
  <c r="H162" i="13" s="1"/>
  <c r="O162" i="13"/>
  <c r="G162" i="13"/>
  <c r="F162" i="13"/>
  <c r="R161" i="13"/>
  <c r="H161" i="13" s="1"/>
  <c r="G161" i="13"/>
  <c r="F161" i="13"/>
  <c r="R160" i="13"/>
  <c r="H160" i="13" s="1"/>
  <c r="G160" i="13"/>
  <c r="F160" i="13"/>
  <c r="R159" i="13"/>
  <c r="H159" i="13" s="1"/>
  <c r="G159" i="13"/>
  <c r="F159" i="13"/>
  <c r="R158" i="13"/>
  <c r="H158" i="13" s="1"/>
  <c r="G158" i="13"/>
  <c r="F158" i="13"/>
  <c r="O157" i="13"/>
  <c r="H157" i="13"/>
  <c r="G157" i="13"/>
  <c r="F157" i="13"/>
  <c r="O156" i="13"/>
  <c r="H156" i="13"/>
  <c r="G156" i="13"/>
  <c r="F156" i="13"/>
  <c r="O155" i="13"/>
  <c r="H155" i="13"/>
  <c r="G155" i="13"/>
  <c r="F155" i="13"/>
  <c r="O154" i="13"/>
  <c r="H154" i="13"/>
  <c r="G154" i="13"/>
  <c r="F154" i="13"/>
  <c r="R153" i="13"/>
  <c r="H153" i="13" s="1"/>
  <c r="G153" i="13"/>
  <c r="F153" i="13"/>
  <c r="R152" i="13"/>
  <c r="H152" i="13" s="1"/>
  <c r="G152" i="13"/>
  <c r="F152" i="13"/>
  <c r="O151" i="13"/>
  <c r="H151" i="13"/>
  <c r="G151" i="13"/>
  <c r="F151" i="13"/>
  <c r="R150" i="13"/>
  <c r="H150" i="13" s="1"/>
  <c r="G150" i="13"/>
  <c r="F150" i="13"/>
  <c r="O149" i="13"/>
  <c r="H149" i="13"/>
  <c r="G149" i="13"/>
  <c r="F149" i="13"/>
  <c r="O148" i="13"/>
  <c r="H148" i="13"/>
  <c r="G148" i="13"/>
  <c r="F148" i="13"/>
  <c r="O147" i="13"/>
  <c r="H147" i="13"/>
  <c r="G147" i="13"/>
  <c r="F147" i="13"/>
  <c r="O146" i="13"/>
  <c r="H146" i="13"/>
  <c r="G146" i="13"/>
  <c r="F146" i="13"/>
  <c r="R145" i="13"/>
  <c r="O145" i="13" s="1"/>
  <c r="H145" i="13"/>
  <c r="G145" i="13"/>
  <c r="F145" i="13"/>
  <c r="R144" i="13"/>
  <c r="H144" i="13"/>
  <c r="G144" i="13"/>
  <c r="F144" i="13"/>
  <c r="R143" i="13"/>
  <c r="H143" i="13"/>
  <c r="G143" i="13"/>
  <c r="F143" i="13"/>
  <c r="R142" i="13"/>
  <c r="H142" i="13"/>
  <c r="G142" i="13"/>
  <c r="F142" i="13"/>
  <c r="R141" i="13"/>
  <c r="H141" i="13"/>
  <c r="G141" i="13"/>
  <c r="F141" i="13"/>
  <c r="R140" i="13"/>
  <c r="H140" i="13"/>
  <c r="G140" i="13"/>
  <c r="F140" i="13"/>
  <c r="R139" i="13"/>
  <c r="H139" i="13"/>
  <c r="G139" i="13"/>
  <c r="F139" i="13"/>
  <c r="R138" i="13"/>
  <c r="H138" i="13"/>
  <c r="G138" i="13"/>
  <c r="F138" i="13"/>
  <c r="R137" i="13"/>
  <c r="H137" i="13"/>
  <c r="G137" i="13"/>
  <c r="F137" i="13"/>
  <c r="R136" i="13"/>
  <c r="H136" i="13"/>
  <c r="G136" i="13"/>
  <c r="F136" i="13"/>
  <c r="R135" i="13"/>
  <c r="H135" i="13"/>
  <c r="G135" i="13"/>
  <c r="F135" i="13"/>
  <c r="R134" i="13"/>
  <c r="H134" i="13"/>
  <c r="G134" i="13"/>
  <c r="F134" i="13"/>
  <c r="R133" i="13"/>
  <c r="O133" i="13"/>
  <c r="H133" i="13"/>
  <c r="G133" i="13"/>
  <c r="F133" i="13"/>
  <c r="R132" i="13"/>
  <c r="H132" i="13" s="1"/>
  <c r="G132" i="13"/>
  <c r="F132" i="13"/>
  <c r="R131" i="13"/>
  <c r="H131" i="13"/>
  <c r="G131" i="13"/>
  <c r="F131" i="13"/>
  <c r="R130" i="13"/>
  <c r="H130" i="13" s="1"/>
  <c r="G130" i="13"/>
  <c r="F130" i="13"/>
  <c r="R129" i="13"/>
  <c r="H129" i="13"/>
  <c r="G129" i="13"/>
  <c r="F129" i="13"/>
  <c r="R128" i="13"/>
  <c r="H128" i="13" s="1"/>
  <c r="G128" i="13"/>
  <c r="F128" i="13"/>
  <c r="R127" i="13"/>
  <c r="H127" i="13"/>
  <c r="G127" i="13"/>
  <c r="F127" i="13"/>
  <c r="R126" i="13"/>
  <c r="H126" i="13" s="1"/>
  <c r="G126" i="13"/>
  <c r="F126" i="13"/>
  <c r="R125" i="13"/>
  <c r="H125" i="13"/>
  <c r="G125" i="13"/>
  <c r="F125" i="13"/>
  <c r="R124" i="13"/>
  <c r="H124" i="13" s="1"/>
  <c r="G124" i="13"/>
  <c r="F124" i="13"/>
  <c r="R123" i="13"/>
  <c r="H123" i="13"/>
  <c r="G123" i="13"/>
  <c r="F123" i="13"/>
  <c r="R122" i="13"/>
  <c r="H122" i="13" s="1"/>
  <c r="G122" i="13"/>
  <c r="F122" i="13"/>
  <c r="R121" i="13"/>
  <c r="H121" i="13"/>
  <c r="G121" i="13"/>
  <c r="F121" i="13"/>
  <c r="R120" i="13"/>
  <c r="H120" i="13" s="1"/>
  <c r="G120" i="13"/>
  <c r="F120" i="13"/>
  <c r="R119" i="13"/>
  <c r="H119" i="13"/>
  <c r="G119" i="13"/>
  <c r="F119" i="13"/>
  <c r="R118" i="13"/>
  <c r="H118" i="13" s="1"/>
  <c r="G118" i="13"/>
  <c r="F118" i="13"/>
  <c r="R117" i="13"/>
  <c r="H117" i="13"/>
  <c r="G117" i="13"/>
  <c r="F117" i="13"/>
  <c r="R116" i="13"/>
  <c r="H116" i="13" s="1"/>
  <c r="G116" i="13"/>
  <c r="F116" i="13"/>
  <c r="R115" i="13"/>
  <c r="H115" i="13"/>
  <c r="G115" i="13"/>
  <c r="F115" i="13"/>
  <c r="R114" i="13"/>
  <c r="H114" i="13" s="1"/>
  <c r="G114" i="13"/>
  <c r="F114" i="13"/>
  <c r="R113" i="13"/>
  <c r="H113" i="13"/>
  <c r="G113" i="13"/>
  <c r="F113" i="13"/>
  <c r="R112" i="13"/>
  <c r="H112" i="13" s="1"/>
  <c r="G112" i="13"/>
  <c r="F112" i="13"/>
  <c r="H111" i="13"/>
  <c r="G111" i="13"/>
  <c r="F111" i="13"/>
  <c r="H110" i="13"/>
  <c r="G110" i="13"/>
  <c r="F110" i="13"/>
  <c r="H109" i="13"/>
  <c r="G109" i="13"/>
  <c r="F109" i="13"/>
  <c r="H108" i="13"/>
  <c r="G108" i="13"/>
  <c r="F108" i="13"/>
  <c r="H107" i="13"/>
  <c r="G107" i="13"/>
  <c r="F107" i="13"/>
  <c r="H106" i="13"/>
  <c r="G106" i="13"/>
  <c r="F106" i="13"/>
  <c r="H105" i="13"/>
  <c r="G105" i="13"/>
  <c r="F105" i="13"/>
  <c r="H104" i="13"/>
  <c r="G104" i="13"/>
  <c r="F104" i="13"/>
  <c r="H103" i="13"/>
  <c r="G103" i="13"/>
  <c r="F103" i="13"/>
  <c r="H102" i="13"/>
  <c r="G102" i="13"/>
  <c r="F102" i="13"/>
  <c r="H101" i="13"/>
  <c r="G101" i="13"/>
  <c r="F101" i="13"/>
  <c r="H100" i="13"/>
  <c r="G100" i="13"/>
  <c r="F100" i="13"/>
  <c r="H99" i="13"/>
  <c r="G99" i="13"/>
  <c r="F99" i="13"/>
  <c r="H98" i="13"/>
  <c r="G98" i="13"/>
  <c r="F98" i="13"/>
  <c r="H97" i="13"/>
  <c r="G97" i="13"/>
  <c r="F97" i="13"/>
  <c r="H96" i="13"/>
  <c r="G96" i="13"/>
  <c r="F96" i="13"/>
  <c r="H95" i="13"/>
  <c r="G95" i="13"/>
  <c r="F95" i="13"/>
  <c r="H94" i="13"/>
  <c r="G94" i="13"/>
  <c r="F94" i="13"/>
  <c r="R93" i="13"/>
  <c r="H93" i="13" s="1"/>
  <c r="G93" i="13"/>
  <c r="F93" i="13"/>
  <c r="R92" i="13"/>
  <c r="H92" i="13" s="1"/>
  <c r="G92" i="13"/>
  <c r="F92" i="13"/>
  <c r="R91" i="13"/>
  <c r="H91" i="13" s="1"/>
  <c r="G91" i="13"/>
  <c r="F91" i="13"/>
  <c r="R90" i="13"/>
  <c r="H90" i="13" s="1"/>
  <c r="G90" i="13"/>
  <c r="F90" i="13"/>
  <c r="R89" i="13"/>
  <c r="H89" i="13" s="1"/>
  <c r="G89" i="13"/>
  <c r="F89" i="13"/>
  <c r="R88" i="13"/>
  <c r="O88" i="13" s="1"/>
  <c r="G88" i="13"/>
  <c r="F88" i="13"/>
  <c r="R87" i="13"/>
  <c r="O87" i="13"/>
  <c r="H87" i="13"/>
  <c r="G87" i="13"/>
  <c r="F87" i="13"/>
  <c r="R86" i="13"/>
  <c r="O86" i="13" s="1"/>
  <c r="G86" i="13"/>
  <c r="F86" i="13"/>
  <c r="R85" i="13"/>
  <c r="H85" i="13"/>
  <c r="G85" i="13"/>
  <c r="F85" i="13"/>
  <c r="R84" i="13"/>
  <c r="H84" i="13"/>
  <c r="G84" i="13"/>
  <c r="F84" i="13"/>
  <c r="R83" i="13"/>
  <c r="H83" i="13" s="1"/>
  <c r="O83" i="13"/>
  <c r="G83" i="13"/>
  <c r="F83" i="13"/>
  <c r="R82" i="13"/>
  <c r="O82" i="13" s="1"/>
  <c r="H82" i="13"/>
  <c r="G82" i="13"/>
  <c r="F82" i="13"/>
  <c r="R81" i="13"/>
  <c r="H81" i="13"/>
  <c r="G81" i="13"/>
  <c r="F81" i="13"/>
  <c r="H80" i="13"/>
  <c r="G80" i="13"/>
  <c r="F80" i="13"/>
  <c r="H79" i="13"/>
  <c r="G79" i="13"/>
  <c r="F79" i="13"/>
  <c r="R78" i="13"/>
  <c r="H78" i="13"/>
  <c r="G78" i="13"/>
  <c r="F78" i="13"/>
  <c r="O77" i="13"/>
  <c r="H77" i="13"/>
  <c r="G77" i="13"/>
  <c r="F77" i="13"/>
  <c r="O76" i="13"/>
  <c r="H76" i="13"/>
  <c r="G76" i="13"/>
  <c r="F76" i="13"/>
  <c r="O75" i="13"/>
  <c r="H75" i="13"/>
  <c r="G75" i="13"/>
  <c r="F75" i="13"/>
  <c r="O74" i="13"/>
  <c r="H74" i="13"/>
  <c r="G74" i="13"/>
  <c r="F74" i="13"/>
  <c r="O73" i="13"/>
  <c r="H73" i="13"/>
  <c r="G73" i="13"/>
  <c r="F73" i="13"/>
  <c r="O72" i="13"/>
  <c r="H72" i="13"/>
  <c r="G72" i="13"/>
  <c r="F72" i="13"/>
  <c r="R71" i="13"/>
  <c r="H71" i="13"/>
  <c r="G71" i="13"/>
  <c r="F71" i="13"/>
  <c r="R70" i="13"/>
  <c r="H70" i="13"/>
  <c r="G70" i="13"/>
  <c r="F70" i="13"/>
  <c r="O69" i="13"/>
  <c r="H69" i="13"/>
  <c r="G69" i="13"/>
  <c r="F69" i="13"/>
  <c r="R68" i="13"/>
  <c r="H68" i="13"/>
  <c r="G68" i="13"/>
  <c r="F68" i="13"/>
  <c r="O67" i="13"/>
  <c r="H67" i="13"/>
  <c r="G67" i="13"/>
  <c r="F67" i="13"/>
  <c r="O66" i="13"/>
  <c r="H66" i="13"/>
  <c r="G66" i="13"/>
  <c r="F66" i="13"/>
  <c r="O65" i="13"/>
  <c r="H65" i="13"/>
  <c r="G65" i="13"/>
  <c r="F65" i="13"/>
  <c r="R64" i="13"/>
  <c r="H64" i="13" s="1"/>
  <c r="O64" i="13"/>
  <c r="G64" i="13"/>
  <c r="F64" i="13"/>
  <c r="R63" i="13"/>
  <c r="H63" i="13" s="1"/>
  <c r="G63" i="13"/>
  <c r="F63" i="13"/>
  <c r="R62" i="13"/>
  <c r="H62" i="13" s="1"/>
  <c r="G62" i="13"/>
  <c r="F62" i="13"/>
  <c r="R61" i="13"/>
  <c r="H61" i="13" s="1"/>
  <c r="G61" i="13"/>
  <c r="F61" i="13"/>
  <c r="R60" i="13"/>
  <c r="H60" i="13" s="1"/>
  <c r="G60" i="13"/>
  <c r="F60" i="13"/>
  <c r="R59" i="13"/>
  <c r="H59" i="13" s="1"/>
  <c r="G59" i="13"/>
  <c r="F59" i="13"/>
  <c r="R58" i="13"/>
  <c r="H58" i="13" s="1"/>
  <c r="G58" i="13"/>
  <c r="F58" i="13"/>
  <c r="R57" i="13"/>
  <c r="H57" i="13" s="1"/>
  <c r="G57" i="13"/>
  <c r="F57" i="13"/>
  <c r="R56" i="13"/>
  <c r="H56" i="13" s="1"/>
  <c r="G56" i="13"/>
  <c r="F56" i="13"/>
  <c r="R55" i="13"/>
  <c r="H55" i="13" s="1"/>
  <c r="G55" i="13"/>
  <c r="F55" i="13"/>
  <c r="R54" i="13"/>
  <c r="H54" i="13" s="1"/>
  <c r="G54" i="13"/>
  <c r="F54" i="13"/>
  <c r="R53" i="13"/>
  <c r="H53" i="13" s="1"/>
  <c r="G53" i="13"/>
  <c r="F53" i="13"/>
  <c r="R52" i="13"/>
  <c r="H52" i="13" s="1"/>
  <c r="G52" i="13"/>
  <c r="F52" i="13"/>
  <c r="R51" i="13"/>
  <c r="H51" i="13" s="1"/>
  <c r="G51" i="13"/>
  <c r="F51" i="13"/>
  <c r="R50" i="13"/>
  <c r="H50" i="13" s="1"/>
  <c r="G50" i="13"/>
  <c r="F50" i="13"/>
  <c r="R49" i="13"/>
  <c r="H49" i="13" s="1"/>
  <c r="G49" i="13"/>
  <c r="F49" i="13"/>
  <c r="R48" i="13"/>
  <c r="H48" i="13" s="1"/>
  <c r="G48" i="13"/>
  <c r="F48" i="13"/>
  <c r="R47" i="13"/>
  <c r="H47" i="13" s="1"/>
  <c r="G47" i="13"/>
  <c r="F47" i="13"/>
  <c r="R46" i="13"/>
  <c r="H46" i="13" s="1"/>
  <c r="G46" i="13"/>
  <c r="F46" i="13"/>
  <c r="R45" i="13"/>
  <c r="H45" i="13" s="1"/>
  <c r="G45" i="13"/>
  <c r="F45" i="13"/>
  <c r="R44" i="13"/>
  <c r="H44" i="13" s="1"/>
  <c r="G44" i="13"/>
  <c r="F44" i="13"/>
  <c r="R43" i="13"/>
  <c r="H43" i="13" s="1"/>
  <c r="G43" i="13"/>
  <c r="F43" i="13"/>
  <c r="R42" i="13"/>
  <c r="H42" i="13" s="1"/>
  <c r="G42" i="13"/>
  <c r="F42" i="13"/>
  <c r="R41" i="13"/>
  <c r="H41" i="13" s="1"/>
  <c r="M41" i="13"/>
  <c r="G41" i="13" s="1"/>
  <c r="F41" i="13"/>
  <c r="R40" i="13"/>
  <c r="H40" i="13"/>
  <c r="G40" i="13"/>
  <c r="F40" i="13"/>
  <c r="R39" i="13"/>
  <c r="H39" i="13"/>
  <c r="G39" i="13"/>
  <c r="F39" i="13"/>
  <c r="R38" i="13"/>
  <c r="H38" i="13"/>
  <c r="G38" i="13"/>
  <c r="F38" i="13"/>
  <c r="R37" i="13"/>
  <c r="H37" i="13"/>
  <c r="G37" i="13"/>
  <c r="F37" i="13"/>
  <c r="R36" i="13"/>
  <c r="H36" i="13"/>
  <c r="G36" i="13"/>
  <c r="F36" i="13"/>
  <c r="R35" i="13"/>
  <c r="H35" i="13"/>
  <c r="G35" i="13"/>
  <c r="F35" i="13"/>
  <c r="R34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H27" i="13"/>
  <c r="G27" i="13"/>
  <c r="F27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19" i="13"/>
  <c r="G19" i="13"/>
  <c r="F19" i="13"/>
  <c r="H18" i="13"/>
  <c r="G18" i="13"/>
  <c r="F18" i="13"/>
  <c r="H17" i="13"/>
  <c r="G17" i="13"/>
  <c r="F17" i="13"/>
  <c r="H16" i="13"/>
  <c r="G16" i="13"/>
  <c r="F16" i="13"/>
  <c r="H15" i="13"/>
  <c r="G15" i="13"/>
  <c r="F15" i="13"/>
  <c r="H14" i="13"/>
  <c r="G14" i="13"/>
  <c r="F14" i="13"/>
  <c r="R13" i="13"/>
  <c r="H13" i="13"/>
  <c r="G13" i="13"/>
  <c r="F13" i="13"/>
  <c r="R12" i="13"/>
  <c r="H12" i="13"/>
  <c r="G12" i="13"/>
  <c r="F12" i="13"/>
  <c r="R11" i="13"/>
  <c r="H11" i="13"/>
  <c r="G11" i="13"/>
  <c r="F11" i="13"/>
  <c r="R10" i="13"/>
  <c r="H10" i="13"/>
  <c r="G10" i="13"/>
  <c r="F10" i="13"/>
  <c r="R9" i="13"/>
  <c r="H9" i="13"/>
  <c r="G9" i="13"/>
  <c r="F9" i="13"/>
  <c r="R8" i="13"/>
  <c r="H8" i="13" s="1"/>
  <c r="O8" i="13"/>
  <c r="G8" i="13"/>
  <c r="F8" i="13"/>
  <c r="R7" i="13"/>
  <c r="O7" i="13"/>
  <c r="H7" i="13"/>
  <c r="G7" i="13"/>
  <c r="F7" i="13"/>
  <c r="R6" i="13"/>
  <c r="H6" i="13"/>
  <c r="G6" i="13"/>
  <c r="F6" i="13"/>
  <c r="R5" i="13"/>
  <c r="H5" i="13" s="1"/>
  <c r="O5" i="13"/>
  <c r="G5" i="13"/>
  <c r="F5" i="13"/>
  <c r="R4" i="13"/>
  <c r="O4" i="13" s="1"/>
  <c r="H4" i="13"/>
  <c r="G4" i="13"/>
  <c r="F4" i="13"/>
  <c r="R3" i="13"/>
  <c r="H3" i="13" s="1"/>
  <c r="O3" i="13"/>
  <c r="G3" i="13"/>
  <c r="F3" i="13"/>
  <c r="R2" i="13"/>
  <c r="O2" i="13"/>
  <c r="H2" i="13"/>
  <c r="G2" i="13"/>
  <c r="F2" i="13"/>
  <c r="P5" i="1"/>
  <c r="S66" i="1"/>
  <c r="P66" i="1" s="1"/>
  <c r="S146" i="1"/>
  <c r="P146" i="1" s="1"/>
  <c r="S395" i="1"/>
  <c r="P395" i="1" s="1"/>
  <c r="S305" i="1"/>
  <c r="H305" i="1" s="1"/>
  <c r="S228" i="1"/>
  <c r="H228" i="1" s="1"/>
  <c r="S147" i="1"/>
  <c r="P147" i="1" s="1"/>
  <c r="S67" i="1"/>
  <c r="P67" i="1" s="1"/>
  <c r="S396" i="1"/>
  <c r="H396" i="1" s="1"/>
  <c r="S306" i="1"/>
  <c r="P306" i="1" s="1"/>
  <c r="S229" i="1"/>
  <c r="P229" i="1" s="1"/>
  <c r="S148" i="1"/>
  <c r="P148" i="1" s="1"/>
  <c r="S397" i="1"/>
  <c r="P397" i="1" s="1"/>
  <c r="S307" i="1"/>
  <c r="H307" i="1" s="1"/>
  <c r="S230" i="1"/>
  <c r="P230" i="1" s="1"/>
  <c r="P149" i="1"/>
  <c r="S149" i="1"/>
  <c r="S68" i="1"/>
  <c r="P68" i="1" s="1"/>
  <c r="S308" i="1"/>
  <c r="H308" i="1" s="1"/>
  <c r="S150" i="1"/>
  <c r="P150" i="1" s="1"/>
  <c r="S398" i="1"/>
  <c r="P398" i="1" s="1"/>
  <c r="S309" i="1"/>
  <c r="P309" i="1" s="1"/>
  <c r="S231" i="1"/>
  <c r="H231" i="1" s="1"/>
  <c r="P151" i="1"/>
  <c r="S151" i="1"/>
  <c r="S69" i="1"/>
  <c r="P69" i="1" s="1"/>
  <c r="S152" i="1"/>
  <c r="P152" i="1" s="1"/>
  <c r="S70" i="1"/>
  <c r="H70" i="1" s="1"/>
  <c r="P310" i="1"/>
  <c r="S310" i="1"/>
  <c r="H310" i="1" s="1"/>
  <c r="P232" i="1"/>
  <c r="S232" i="1"/>
  <c r="S399" i="1"/>
  <c r="H399" i="1" s="1"/>
  <c r="S311" i="1"/>
  <c r="H311" i="1" s="1"/>
  <c r="S400" i="1"/>
  <c r="H400" i="1" s="1"/>
  <c r="S312" i="1"/>
  <c r="P312" i="1" s="1"/>
  <c r="S233" i="1"/>
  <c r="P233" i="1" s="1"/>
  <c r="S153" i="1"/>
  <c r="P153" i="1" s="1"/>
  <c r="S71" i="1"/>
  <c r="H71" i="1" s="1"/>
  <c r="S401" i="1"/>
  <c r="P401" i="1" s="1"/>
  <c r="S313" i="1"/>
  <c r="H313" i="1" s="1"/>
  <c r="S234" i="1"/>
  <c r="H234" i="1" s="1"/>
  <c r="P154" i="1"/>
  <c r="S154" i="1"/>
  <c r="S72" i="1"/>
  <c r="P72" i="1" s="1"/>
  <c r="S402" i="1"/>
  <c r="H402" i="1" s="1"/>
  <c r="S403" i="1"/>
  <c r="H403" i="1" s="1"/>
  <c r="S314" i="1"/>
  <c r="P314" i="1" s="1"/>
  <c r="P404" i="1"/>
  <c r="S404" i="1"/>
  <c r="S315" i="1"/>
  <c r="P315" i="1" s="1"/>
  <c r="S235" i="1"/>
  <c r="H235" i="1" s="1"/>
  <c r="S155" i="1"/>
  <c r="P155" i="1" s="1"/>
  <c r="S73" i="1"/>
  <c r="P73" i="1" s="1"/>
  <c r="S74" i="1"/>
  <c r="P74" i="1" s="1"/>
  <c r="S405" i="1"/>
  <c r="H405" i="1" s="1"/>
  <c r="P316" i="1"/>
  <c r="S316" i="1"/>
  <c r="H316" i="1" s="1"/>
  <c r="S156" i="1"/>
  <c r="P156" i="1" s="1"/>
  <c r="S75" i="1"/>
  <c r="H75" i="1" s="1"/>
  <c r="S406" i="1"/>
  <c r="P406" i="1" s="1"/>
  <c r="S317" i="1"/>
  <c r="H317" i="1" s="1"/>
  <c r="P157" i="1"/>
  <c r="S157" i="1"/>
  <c r="S76" i="1"/>
  <c r="P76" i="1" s="1"/>
  <c r="S407" i="1"/>
  <c r="H407" i="1" s="1"/>
  <c r="S318" i="1"/>
  <c r="P318" i="1" s="1"/>
  <c r="S158" i="1"/>
  <c r="H158" i="1" s="1"/>
  <c r="S77" i="1"/>
  <c r="H77" i="1" s="1"/>
  <c r="S78" i="1"/>
  <c r="H78" i="1" s="1"/>
  <c r="S408" i="1"/>
  <c r="P408" i="1" s="1"/>
  <c r="P319" i="1"/>
  <c r="S319" i="1"/>
  <c r="S236" i="1"/>
  <c r="H236" i="1" s="1"/>
  <c r="S159" i="1"/>
  <c r="H159" i="1" s="1"/>
  <c r="P79" i="1"/>
  <c r="S79" i="1"/>
  <c r="I227" i="1"/>
  <c r="I289" i="1"/>
  <c r="I212" i="1"/>
  <c r="I131" i="1"/>
  <c r="I395" i="1"/>
  <c r="I305" i="1"/>
  <c r="I228" i="1"/>
  <c r="I147" i="1"/>
  <c r="I173" i="1"/>
  <c r="I95" i="1"/>
  <c r="I336" i="1"/>
  <c r="I251" i="1"/>
  <c r="I174" i="1"/>
  <c r="I96" i="1"/>
  <c r="I306" i="1"/>
  <c r="I229" i="1"/>
  <c r="I397" i="1"/>
  <c r="I307" i="1"/>
  <c r="I230" i="1"/>
  <c r="I149" i="1"/>
  <c r="I356" i="1"/>
  <c r="I271" i="1"/>
  <c r="I193" i="1"/>
  <c r="I113" i="1"/>
  <c r="I337" i="1"/>
  <c r="I252" i="1"/>
  <c r="I175" i="1"/>
  <c r="I97" i="1"/>
  <c r="I338" i="1"/>
  <c r="I253" i="1"/>
  <c r="I176" i="1"/>
  <c r="I98" i="1"/>
  <c r="I357" i="1"/>
  <c r="I272" i="1"/>
  <c r="I377" i="1"/>
  <c r="I290" i="1"/>
  <c r="I213" i="1"/>
  <c r="I132" i="1"/>
  <c r="I237" i="1"/>
  <c r="I160" i="1"/>
  <c r="I82" i="1"/>
  <c r="I321" i="1"/>
  <c r="I238" i="1"/>
  <c r="I161" i="1"/>
  <c r="I322" i="1"/>
  <c r="I239" i="1"/>
  <c r="I162" i="1"/>
  <c r="I84" i="1"/>
  <c r="I308" i="1"/>
  <c r="I398" i="1"/>
  <c r="I309" i="1"/>
  <c r="I231" i="1"/>
  <c r="I151" i="1"/>
  <c r="I378" i="1"/>
  <c r="I291" i="1"/>
  <c r="I214" i="1"/>
  <c r="I133" i="1"/>
  <c r="I195" i="1"/>
  <c r="I114" i="1"/>
  <c r="I359" i="1"/>
  <c r="I273" i="1"/>
  <c r="I196" i="1"/>
  <c r="I115" i="1"/>
  <c r="I360" i="1"/>
  <c r="I274" i="1"/>
  <c r="I197" i="1"/>
  <c r="I116" i="1"/>
  <c r="I152" i="1"/>
  <c r="I323" i="1"/>
  <c r="I99" i="1"/>
  <c r="I324" i="1"/>
  <c r="I241" i="1"/>
  <c r="I163" i="1"/>
  <c r="I85" i="1"/>
  <c r="I361" i="1"/>
  <c r="I275" i="1"/>
  <c r="I198" i="1"/>
  <c r="I117" i="1"/>
  <c r="I362" i="1"/>
  <c r="I276" i="1"/>
  <c r="I199" i="1"/>
  <c r="I118" i="1"/>
  <c r="I310" i="1"/>
  <c r="I254" i="1"/>
  <c r="I177" i="1"/>
  <c r="I100" i="1"/>
  <c r="I80" i="1"/>
  <c r="I325" i="1"/>
  <c r="I379" i="1"/>
  <c r="I326" i="1"/>
  <c r="I164" i="1"/>
  <c r="I86" i="1"/>
  <c r="I363" i="1"/>
  <c r="I277" i="1"/>
  <c r="I200" i="1"/>
  <c r="I119" i="1"/>
  <c r="I399" i="1"/>
  <c r="I400" i="1"/>
  <c r="I312" i="1"/>
  <c r="I233" i="1"/>
  <c r="I153" i="1"/>
  <c r="I380" i="1"/>
  <c r="I292" i="1"/>
  <c r="I215" i="1"/>
  <c r="I135" i="1"/>
  <c r="I278" i="1"/>
  <c r="I401" i="1"/>
  <c r="I313" i="1"/>
  <c r="I234" i="1"/>
  <c r="I154" i="1"/>
  <c r="I381" i="1"/>
  <c r="I293" i="1"/>
  <c r="I216" i="1"/>
  <c r="I136" i="1"/>
  <c r="I327" i="1"/>
  <c r="I244" i="1"/>
  <c r="I165" i="1"/>
  <c r="I87" i="1"/>
  <c r="I88" i="1"/>
  <c r="I340" i="1"/>
  <c r="I255" i="1"/>
  <c r="I178" i="1"/>
  <c r="I101" i="1"/>
  <c r="I403" i="1"/>
  <c r="I382" i="1"/>
  <c r="I294" i="1"/>
  <c r="I217" i="1"/>
  <c r="I137" i="1"/>
  <c r="I404" i="1"/>
  <c r="I315" i="1"/>
  <c r="I235" i="1"/>
  <c r="I155" i="1"/>
  <c r="I383" i="1"/>
  <c r="I295" i="1"/>
  <c r="I218" i="1"/>
  <c r="I138" i="1"/>
  <c r="I405" i="1"/>
  <c r="I316" i="1"/>
  <c r="I156" i="1"/>
  <c r="I406" i="1"/>
  <c r="I317" i="1"/>
  <c r="I157" i="1"/>
  <c r="I407" i="1"/>
  <c r="I318" i="1"/>
  <c r="I158" i="1"/>
  <c r="I384" i="1"/>
  <c r="I296" i="1"/>
  <c r="I219" i="1"/>
  <c r="I139" i="1"/>
  <c r="I364" i="1"/>
  <c r="I365" i="1"/>
  <c r="I280" i="1"/>
  <c r="I201" i="1"/>
  <c r="I121" i="1"/>
  <c r="I341" i="1"/>
  <c r="I256" i="1"/>
  <c r="I179" i="1"/>
  <c r="I102" i="1"/>
  <c r="I366" i="1"/>
  <c r="I281" i="1"/>
  <c r="I202" i="1"/>
  <c r="I122" i="1"/>
  <c r="I342" i="1"/>
  <c r="I328" i="1"/>
  <c r="I367" i="1"/>
  <c r="I282" i="1"/>
  <c r="I203" i="1"/>
  <c r="I123" i="1"/>
  <c r="I368" i="1"/>
  <c r="I283" i="1"/>
  <c r="I204" i="1"/>
  <c r="I124" i="1"/>
  <c r="I343" i="1"/>
  <c r="I258" i="1"/>
  <c r="I180" i="1"/>
  <c r="I344" i="1"/>
  <c r="I259" i="1"/>
  <c r="I181" i="1"/>
  <c r="I103" i="1"/>
  <c r="I345" i="1"/>
  <c r="I260" i="1"/>
  <c r="I182" i="1"/>
  <c r="I81" i="1"/>
  <c r="I385" i="1"/>
  <c r="I297" i="1"/>
  <c r="I221" i="1"/>
  <c r="I140" i="1"/>
  <c r="I369" i="1"/>
  <c r="I284" i="1"/>
  <c r="I205" i="1"/>
  <c r="I125" i="1"/>
  <c r="I261" i="1"/>
  <c r="I183" i="1"/>
  <c r="I370" i="1"/>
  <c r="I346" i="1"/>
  <c r="I262" i="1"/>
  <c r="I184" i="1"/>
  <c r="I105" i="1"/>
  <c r="I347" i="1"/>
  <c r="I263" i="1"/>
  <c r="I185" i="1"/>
  <c r="I106" i="1"/>
  <c r="I348" i="1"/>
  <c r="I264" i="1"/>
  <c r="I186" i="1"/>
  <c r="I107" i="1"/>
  <c r="I329" i="1"/>
  <c r="I245" i="1"/>
  <c r="I349" i="1"/>
  <c r="I265" i="1"/>
  <c r="I187" i="1"/>
  <c r="I108" i="1"/>
  <c r="I330" i="1"/>
  <c r="I350" i="1"/>
  <c r="I351" i="1"/>
  <c r="I267" i="1"/>
  <c r="I188" i="1"/>
  <c r="I109" i="1"/>
  <c r="I331" i="1"/>
  <c r="I246" i="1"/>
  <c r="I168" i="1"/>
  <c r="I90" i="1"/>
  <c r="I332" i="1"/>
  <c r="I247" i="1"/>
  <c r="I169" i="1"/>
  <c r="I91" i="1"/>
  <c r="I386" i="1"/>
  <c r="I298" i="1"/>
  <c r="I222" i="1"/>
  <c r="I141" i="1"/>
  <c r="I388" i="1"/>
  <c r="I299" i="1"/>
  <c r="I223" i="1"/>
  <c r="I142" i="1"/>
  <c r="I389" i="1"/>
  <c r="I300" i="1"/>
  <c r="I224" i="1"/>
  <c r="I143" i="1"/>
  <c r="I333" i="1"/>
  <c r="I248" i="1"/>
  <c r="I170" i="1"/>
  <c r="I92" i="1"/>
  <c r="I371" i="1"/>
  <c r="I285" i="1"/>
  <c r="I207" i="1"/>
  <c r="I126" i="1"/>
  <c r="I390" i="1"/>
  <c r="I352" i="1"/>
  <c r="I268" i="1"/>
  <c r="I353" i="1"/>
  <c r="I269" i="1"/>
  <c r="I190" i="1"/>
  <c r="I354" i="1"/>
  <c r="I270" i="1"/>
  <c r="I191" i="1"/>
  <c r="I111" i="1"/>
  <c r="I391" i="1"/>
  <c r="I302" i="1"/>
  <c r="I225" i="1"/>
  <c r="I144" i="1"/>
  <c r="I372" i="1"/>
  <c r="I286" i="1"/>
  <c r="I208" i="1"/>
  <c r="I127" i="1"/>
  <c r="I192" i="1"/>
  <c r="I112" i="1"/>
  <c r="I408" i="1"/>
  <c r="I319" i="1"/>
  <c r="I236" i="1"/>
  <c r="I159" i="1"/>
  <c r="I355" i="1"/>
  <c r="I392" i="1"/>
  <c r="I303" i="1"/>
  <c r="I226" i="1"/>
  <c r="I145" i="1"/>
  <c r="I334" i="1"/>
  <c r="I249" i="1"/>
  <c r="I171" i="1"/>
  <c r="I93" i="1"/>
  <c r="I393" i="1"/>
  <c r="I304" i="1"/>
  <c r="I335" i="1"/>
  <c r="I250" i="1"/>
  <c r="I172" i="1"/>
  <c r="I94" i="1"/>
  <c r="I373" i="1"/>
  <c r="I209" i="1"/>
  <c r="I128" i="1"/>
  <c r="I374" i="1"/>
  <c r="I287" i="1"/>
  <c r="I210" i="1"/>
  <c r="I129" i="1"/>
  <c r="I375" i="1"/>
  <c r="I288" i="1"/>
  <c r="I211" i="1"/>
  <c r="I376" i="1"/>
  <c r="H374" i="9"/>
  <c r="G374" i="9"/>
  <c r="F374" i="9"/>
  <c r="H366" i="9"/>
  <c r="G366" i="9"/>
  <c r="F366" i="9"/>
  <c r="H351" i="9"/>
  <c r="G351" i="9"/>
  <c r="F351" i="9"/>
  <c r="H301" i="9"/>
  <c r="G301" i="9"/>
  <c r="F301" i="9"/>
  <c r="H292" i="9"/>
  <c r="G292" i="9"/>
  <c r="F292" i="9"/>
  <c r="H283" i="9"/>
  <c r="G283" i="9"/>
  <c r="F283" i="9"/>
  <c r="H278" i="9"/>
  <c r="G278" i="9"/>
  <c r="F278" i="9"/>
  <c r="H273" i="9"/>
  <c r="G273" i="9"/>
  <c r="F273" i="9"/>
  <c r="H253" i="9"/>
  <c r="G253" i="9"/>
  <c r="F253" i="9"/>
  <c r="H248" i="9"/>
  <c r="G248" i="9"/>
  <c r="F248" i="9"/>
  <c r="H244" i="9"/>
  <c r="G244" i="9"/>
  <c r="F244" i="9"/>
  <c r="H220" i="9"/>
  <c r="G220" i="9"/>
  <c r="F220" i="9"/>
  <c r="H124" i="9"/>
  <c r="G124" i="9"/>
  <c r="F124" i="9"/>
  <c r="H172" i="9"/>
  <c r="G172" i="9"/>
  <c r="F172" i="9"/>
  <c r="H120" i="9"/>
  <c r="G120" i="9"/>
  <c r="F120" i="9"/>
  <c r="H100" i="9"/>
  <c r="G100" i="9"/>
  <c r="F100" i="9"/>
  <c r="H42" i="9"/>
  <c r="G42" i="9"/>
  <c r="F42" i="9"/>
  <c r="H37" i="9"/>
  <c r="G37" i="9"/>
  <c r="F37" i="9"/>
  <c r="H19" i="9"/>
  <c r="G19" i="9"/>
  <c r="F19" i="9"/>
  <c r="H16" i="9"/>
  <c r="G16" i="9"/>
  <c r="F16" i="9"/>
  <c r="T369" i="9"/>
  <c r="H369" i="9" s="1"/>
  <c r="G369" i="9"/>
  <c r="F369" i="9"/>
  <c r="Q291" i="9"/>
  <c r="H291" i="9"/>
  <c r="G291" i="9"/>
  <c r="F291" i="9"/>
  <c r="Q203" i="9"/>
  <c r="H203" i="9"/>
  <c r="G203" i="9"/>
  <c r="F203" i="9"/>
  <c r="Q199" i="9"/>
  <c r="H199" i="9"/>
  <c r="G199" i="9"/>
  <c r="F199" i="9"/>
  <c r="Q195" i="9"/>
  <c r="H195" i="9"/>
  <c r="G195" i="9"/>
  <c r="F195" i="9"/>
  <c r="Q194" i="9"/>
  <c r="H194" i="9"/>
  <c r="G194" i="9"/>
  <c r="F194" i="9"/>
  <c r="Q184" i="9"/>
  <c r="H184" i="9"/>
  <c r="G184" i="9"/>
  <c r="F184" i="9"/>
  <c r="T154" i="9"/>
  <c r="H154" i="9" s="1"/>
  <c r="G154" i="9"/>
  <c r="F154" i="9"/>
  <c r="T142" i="9"/>
  <c r="H142" i="9" s="1"/>
  <c r="G142" i="9"/>
  <c r="F142" i="9"/>
  <c r="Q96" i="9"/>
  <c r="H96" i="9"/>
  <c r="G96" i="9"/>
  <c r="F96" i="9"/>
  <c r="T72" i="9"/>
  <c r="H72" i="9" s="1"/>
  <c r="G72" i="9"/>
  <c r="F72" i="9"/>
  <c r="Q27" i="9"/>
  <c r="H27" i="9"/>
  <c r="G27" i="9"/>
  <c r="F27" i="9"/>
  <c r="Q10" i="9"/>
  <c r="H10" i="9"/>
  <c r="G10" i="9"/>
  <c r="F10" i="9"/>
  <c r="Q8" i="9"/>
  <c r="H8" i="9"/>
  <c r="G8" i="9"/>
  <c r="F8" i="9"/>
  <c r="T386" i="9"/>
  <c r="H386" i="9" s="1"/>
  <c r="Q386" i="9"/>
  <c r="G386" i="9"/>
  <c r="F386" i="9"/>
  <c r="T376" i="9"/>
  <c r="H376" i="9" s="1"/>
  <c r="G376" i="9"/>
  <c r="F376" i="9"/>
  <c r="T356" i="9"/>
  <c r="H356" i="9" s="1"/>
  <c r="G356" i="9"/>
  <c r="F356" i="9"/>
  <c r="T327" i="9"/>
  <c r="H327" i="9" s="1"/>
  <c r="G327" i="9"/>
  <c r="F327" i="9"/>
  <c r="T322" i="9"/>
  <c r="H322" i="9" s="1"/>
  <c r="G322" i="9"/>
  <c r="F322" i="9"/>
  <c r="T316" i="9"/>
  <c r="H316" i="9" s="1"/>
  <c r="G316" i="9"/>
  <c r="F316" i="9"/>
  <c r="T258" i="9"/>
  <c r="H258" i="9" s="1"/>
  <c r="G258" i="9"/>
  <c r="F258" i="9"/>
  <c r="T207" i="9"/>
  <c r="H207" i="9" s="1"/>
  <c r="G207" i="9"/>
  <c r="F207" i="9"/>
  <c r="T189" i="9"/>
  <c r="H189" i="9" s="1"/>
  <c r="G189" i="9"/>
  <c r="F189" i="9"/>
  <c r="T179" i="9"/>
  <c r="H179" i="9" s="1"/>
  <c r="G179" i="9"/>
  <c r="F179" i="9"/>
  <c r="T159" i="9"/>
  <c r="H159" i="9" s="1"/>
  <c r="G159" i="9"/>
  <c r="F159" i="9"/>
  <c r="T147" i="9"/>
  <c r="H147" i="9" s="1"/>
  <c r="G147" i="9"/>
  <c r="F147" i="9"/>
  <c r="T77" i="9"/>
  <c r="H77" i="9" s="1"/>
  <c r="G77" i="9"/>
  <c r="F77" i="9"/>
  <c r="T50" i="9"/>
  <c r="H50" i="9"/>
  <c r="G50" i="9"/>
  <c r="F50" i="9"/>
  <c r="T2" i="9"/>
  <c r="H2" i="9" s="1"/>
  <c r="G2" i="9"/>
  <c r="F2" i="9"/>
  <c r="T390" i="9"/>
  <c r="H390" i="9" s="1"/>
  <c r="G390" i="9"/>
  <c r="F390" i="9"/>
  <c r="T381" i="9"/>
  <c r="H381" i="9" s="1"/>
  <c r="G381" i="9"/>
  <c r="F381" i="9"/>
  <c r="T332" i="9"/>
  <c r="H332" i="9" s="1"/>
  <c r="G332" i="9"/>
  <c r="F332" i="9"/>
  <c r="T311" i="9"/>
  <c r="H311" i="9" s="1"/>
  <c r="G311" i="9"/>
  <c r="F311" i="9"/>
  <c r="T306" i="9"/>
  <c r="H306" i="9" s="1"/>
  <c r="G306" i="9"/>
  <c r="F306" i="9"/>
  <c r="T170" i="9"/>
  <c r="H170" i="9" s="1"/>
  <c r="G170" i="9"/>
  <c r="F170" i="9"/>
  <c r="T164" i="9"/>
  <c r="H164" i="9" s="1"/>
  <c r="Q164" i="9"/>
  <c r="G164" i="9"/>
  <c r="F164" i="9"/>
  <c r="T131" i="9"/>
  <c r="H131" i="9" s="1"/>
  <c r="G131" i="9"/>
  <c r="F131" i="9"/>
  <c r="T102" i="9"/>
  <c r="Q102" i="9" s="1"/>
  <c r="G102" i="9"/>
  <c r="F102" i="9"/>
  <c r="T65" i="9"/>
  <c r="Q65" i="9" s="1"/>
  <c r="G65" i="9"/>
  <c r="F65" i="9"/>
  <c r="T60" i="9"/>
  <c r="H60" i="9" s="1"/>
  <c r="G60" i="9"/>
  <c r="F60" i="9"/>
  <c r="T55" i="9"/>
  <c r="H55" i="9" s="1"/>
  <c r="G55" i="9"/>
  <c r="F55" i="9"/>
  <c r="T399" i="9"/>
  <c r="H399" i="9" s="1"/>
  <c r="G399" i="9"/>
  <c r="F399" i="9"/>
  <c r="T395" i="9"/>
  <c r="H395" i="9" s="1"/>
  <c r="G395" i="9"/>
  <c r="F395" i="9"/>
  <c r="T361" i="9"/>
  <c r="H361" i="9" s="1"/>
  <c r="G361" i="9"/>
  <c r="F361" i="9"/>
  <c r="T337" i="9"/>
  <c r="H337" i="9" s="1"/>
  <c r="G337" i="9"/>
  <c r="F337" i="9"/>
  <c r="T263" i="9"/>
  <c r="H263" i="9" s="1"/>
  <c r="G263" i="9"/>
  <c r="F263" i="9"/>
  <c r="T239" i="9"/>
  <c r="H239" i="9" s="1"/>
  <c r="G239" i="9"/>
  <c r="F239" i="9"/>
  <c r="T234" i="9"/>
  <c r="H234" i="9" s="1"/>
  <c r="G234" i="9"/>
  <c r="F234" i="9"/>
  <c r="T225" i="9"/>
  <c r="H225" i="9" s="1"/>
  <c r="G225" i="9"/>
  <c r="F225" i="9"/>
  <c r="T215" i="9"/>
  <c r="O215" i="9"/>
  <c r="G215" i="9" s="1"/>
  <c r="F215" i="9"/>
  <c r="T135" i="9"/>
  <c r="H135" i="9" s="1"/>
  <c r="G135" i="9"/>
  <c r="F135" i="9"/>
  <c r="T113" i="9"/>
  <c r="H113" i="9" s="1"/>
  <c r="G113" i="9"/>
  <c r="F113" i="9"/>
  <c r="T107" i="9"/>
  <c r="H107" i="9" s="1"/>
  <c r="G107" i="9"/>
  <c r="F107" i="9"/>
  <c r="T91" i="9"/>
  <c r="H91" i="9" s="1"/>
  <c r="G91" i="9"/>
  <c r="F91" i="9"/>
  <c r="T86" i="9"/>
  <c r="H86" i="9" s="1"/>
  <c r="G86" i="9"/>
  <c r="F86" i="9"/>
  <c r="T82" i="9"/>
  <c r="H82" i="9" s="1"/>
  <c r="G82" i="9"/>
  <c r="F82" i="9"/>
  <c r="T32" i="9"/>
  <c r="H32" i="9"/>
  <c r="G32" i="9"/>
  <c r="F32" i="9"/>
  <c r="H367" i="9"/>
  <c r="G367" i="9"/>
  <c r="F367" i="9"/>
  <c r="H352" i="9"/>
  <c r="G352" i="9"/>
  <c r="F352" i="9"/>
  <c r="H347" i="9"/>
  <c r="G347" i="9"/>
  <c r="F347" i="9"/>
  <c r="H302" i="9"/>
  <c r="G302" i="9"/>
  <c r="F302" i="9"/>
  <c r="H293" i="9"/>
  <c r="G293" i="9"/>
  <c r="F293" i="9"/>
  <c r="H284" i="9"/>
  <c r="G284" i="9"/>
  <c r="F284" i="9"/>
  <c r="H279" i="9"/>
  <c r="G279" i="9"/>
  <c r="F279" i="9"/>
  <c r="H274" i="9"/>
  <c r="G274" i="9"/>
  <c r="F274" i="9"/>
  <c r="H268" i="9"/>
  <c r="G268" i="9"/>
  <c r="F268" i="9"/>
  <c r="H254" i="9"/>
  <c r="G254" i="9"/>
  <c r="F254" i="9"/>
  <c r="H249" i="9"/>
  <c r="G249" i="9"/>
  <c r="F249" i="9"/>
  <c r="H221" i="9"/>
  <c r="G221" i="9"/>
  <c r="F221" i="9"/>
  <c r="H173" i="9"/>
  <c r="G173" i="9"/>
  <c r="F173" i="9"/>
  <c r="H125" i="9"/>
  <c r="G125" i="9"/>
  <c r="F125" i="9"/>
  <c r="H121" i="9"/>
  <c r="G121" i="9"/>
  <c r="F121" i="9"/>
  <c r="H101" i="9"/>
  <c r="G101" i="9"/>
  <c r="F101" i="9"/>
  <c r="H43" i="9"/>
  <c r="G43" i="9"/>
  <c r="F43" i="9"/>
  <c r="H38" i="9"/>
  <c r="G38" i="9"/>
  <c r="F38" i="9"/>
  <c r="H20" i="9"/>
  <c r="G20" i="9"/>
  <c r="F20" i="9"/>
  <c r="H17" i="9"/>
  <c r="G17" i="9"/>
  <c r="F17" i="9"/>
  <c r="T370" i="9"/>
  <c r="H370" i="9" s="1"/>
  <c r="G370" i="9"/>
  <c r="F370" i="9"/>
  <c r="Q204" i="9"/>
  <c r="H204" i="9"/>
  <c r="G204" i="9"/>
  <c r="F204" i="9"/>
  <c r="Q200" i="9"/>
  <c r="H200" i="9"/>
  <c r="G200" i="9"/>
  <c r="F200" i="9"/>
  <c r="Q196" i="9"/>
  <c r="H196" i="9"/>
  <c r="G196" i="9"/>
  <c r="F196" i="9"/>
  <c r="Q185" i="9"/>
  <c r="H185" i="9"/>
  <c r="G185" i="9"/>
  <c r="F185" i="9"/>
  <c r="T155" i="9"/>
  <c r="H155" i="9" s="1"/>
  <c r="G155" i="9"/>
  <c r="F155" i="9"/>
  <c r="T143" i="9"/>
  <c r="H143" i="9" s="1"/>
  <c r="G143" i="9"/>
  <c r="F143" i="9"/>
  <c r="Q97" i="9"/>
  <c r="H97" i="9"/>
  <c r="G97" i="9"/>
  <c r="F97" i="9"/>
  <c r="T73" i="9"/>
  <c r="H73" i="9" s="1"/>
  <c r="G73" i="9"/>
  <c r="F73" i="9"/>
  <c r="Q70" i="9"/>
  <c r="H70" i="9"/>
  <c r="G70" i="9"/>
  <c r="F70" i="9"/>
  <c r="Q28" i="9"/>
  <c r="H28" i="9"/>
  <c r="G28" i="9"/>
  <c r="F28" i="9"/>
  <c r="Q24" i="9"/>
  <c r="H24" i="9"/>
  <c r="G24" i="9"/>
  <c r="F24" i="9"/>
  <c r="Q11" i="9"/>
  <c r="H11" i="9"/>
  <c r="G11" i="9"/>
  <c r="F11" i="9"/>
  <c r="T9" i="9"/>
  <c r="Q9" i="9" s="1"/>
  <c r="G9" i="9"/>
  <c r="F9" i="9"/>
  <c r="T377" i="9"/>
  <c r="H377" i="9" s="1"/>
  <c r="G377" i="9"/>
  <c r="F377" i="9"/>
  <c r="T357" i="9"/>
  <c r="H357" i="9" s="1"/>
  <c r="G357" i="9"/>
  <c r="F357" i="9"/>
  <c r="T328" i="9"/>
  <c r="H328" i="9" s="1"/>
  <c r="G328" i="9"/>
  <c r="F328" i="9"/>
  <c r="T323" i="9"/>
  <c r="H323" i="9" s="1"/>
  <c r="G323" i="9"/>
  <c r="F323" i="9"/>
  <c r="T317" i="9"/>
  <c r="H317" i="9" s="1"/>
  <c r="G317" i="9"/>
  <c r="F317" i="9"/>
  <c r="T259" i="9"/>
  <c r="H259" i="9" s="1"/>
  <c r="G259" i="9"/>
  <c r="F259" i="9"/>
  <c r="T208" i="9"/>
  <c r="H208" i="9" s="1"/>
  <c r="G208" i="9"/>
  <c r="F208" i="9"/>
  <c r="T190" i="9"/>
  <c r="H190" i="9"/>
  <c r="G190" i="9"/>
  <c r="F190" i="9"/>
  <c r="T180" i="9"/>
  <c r="H180" i="9" s="1"/>
  <c r="G180" i="9"/>
  <c r="F180" i="9"/>
  <c r="T160" i="9"/>
  <c r="H160" i="9"/>
  <c r="G160" i="9"/>
  <c r="F160" i="9"/>
  <c r="T148" i="9"/>
  <c r="H148" i="9" s="1"/>
  <c r="G148" i="9"/>
  <c r="F148" i="9"/>
  <c r="T129" i="9"/>
  <c r="H129" i="9" s="1"/>
  <c r="G129" i="9"/>
  <c r="F129" i="9"/>
  <c r="T78" i="9"/>
  <c r="H78" i="9" s="1"/>
  <c r="G78" i="9"/>
  <c r="F78" i="9"/>
  <c r="T51" i="9"/>
  <c r="H51" i="9" s="1"/>
  <c r="G51" i="9"/>
  <c r="F51" i="9"/>
  <c r="T3" i="9"/>
  <c r="H3" i="9" s="1"/>
  <c r="G3" i="9"/>
  <c r="F3" i="9"/>
  <c r="T391" i="9"/>
  <c r="H391" i="9" s="1"/>
  <c r="G391" i="9"/>
  <c r="F391" i="9"/>
  <c r="T382" i="9"/>
  <c r="H382" i="9" s="1"/>
  <c r="G382" i="9"/>
  <c r="F382" i="9"/>
  <c r="T333" i="9"/>
  <c r="H333" i="9" s="1"/>
  <c r="G333" i="9"/>
  <c r="F333" i="9"/>
  <c r="T312" i="9"/>
  <c r="H312" i="9" s="1"/>
  <c r="G312" i="9"/>
  <c r="F312" i="9"/>
  <c r="T307" i="9"/>
  <c r="H307" i="9" s="1"/>
  <c r="G307" i="9"/>
  <c r="F307" i="9"/>
  <c r="T297" i="9"/>
  <c r="H297" i="9" s="1"/>
  <c r="G297" i="9"/>
  <c r="F297" i="9"/>
  <c r="T171" i="9"/>
  <c r="Q171" i="9" s="1"/>
  <c r="G171" i="9"/>
  <c r="F171" i="9"/>
  <c r="T165" i="9"/>
  <c r="H165" i="9" s="1"/>
  <c r="G165" i="9"/>
  <c r="F165" i="9"/>
  <c r="T66" i="9"/>
  <c r="H66" i="9" s="1"/>
  <c r="G66" i="9"/>
  <c r="F66" i="9"/>
  <c r="T132" i="9"/>
  <c r="H132" i="9" s="1"/>
  <c r="G132" i="9"/>
  <c r="F132" i="9"/>
  <c r="T103" i="9"/>
  <c r="H103" i="9" s="1"/>
  <c r="G103" i="9"/>
  <c r="F103" i="9"/>
  <c r="T61" i="9"/>
  <c r="Q61" i="9" s="1"/>
  <c r="G61" i="9"/>
  <c r="F61" i="9"/>
  <c r="T56" i="9"/>
  <c r="H56" i="9" s="1"/>
  <c r="G56" i="9"/>
  <c r="F56" i="9"/>
  <c r="T404" i="9"/>
  <c r="H404" i="9" s="1"/>
  <c r="G404" i="9"/>
  <c r="F404" i="9"/>
  <c r="T400" i="9"/>
  <c r="H400" i="9" s="1"/>
  <c r="G400" i="9"/>
  <c r="F400" i="9"/>
  <c r="T396" i="9"/>
  <c r="H396" i="9" s="1"/>
  <c r="G396" i="9"/>
  <c r="F396" i="9"/>
  <c r="T362" i="9"/>
  <c r="H362" i="9" s="1"/>
  <c r="G362" i="9"/>
  <c r="F362" i="9"/>
  <c r="T338" i="9"/>
  <c r="H338" i="9" s="1"/>
  <c r="G338" i="9"/>
  <c r="F338" i="9"/>
  <c r="T264" i="9"/>
  <c r="H264" i="9" s="1"/>
  <c r="G264" i="9"/>
  <c r="F264" i="9"/>
  <c r="T240" i="9"/>
  <c r="H240" i="9" s="1"/>
  <c r="G240" i="9"/>
  <c r="F240" i="9"/>
  <c r="T235" i="9"/>
  <c r="H235" i="9" s="1"/>
  <c r="G235" i="9"/>
  <c r="F235" i="9"/>
  <c r="T226" i="9"/>
  <c r="H226" i="9" s="1"/>
  <c r="G226" i="9"/>
  <c r="F226" i="9"/>
  <c r="T216" i="9"/>
  <c r="H216" i="9" s="1"/>
  <c r="G216" i="9"/>
  <c r="F216" i="9"/>
  <c r="T152" i="9"/>
  <c r="H152" i="9" s="1"/>
  <c r="G152" i="9"/>
  <c r="F152" i="9"/>
  <c r="T136" i="9"/>
  <c r="H136" i="9" s="1"/>
  <c r="G136" i="9"/>
  <c r="F136" i="9"/>
  <c r="T114" i="9"/>
  <c r="H114" i="9" s="1"/>
  <c r="G114" i="9"/>
  <c r="F114" i="9"/>
  <c r="T108" i="9"/>
  <c r="H108" i="9" s="1"/>
  <c r="G108" i="9"/>
  <c r="F108" i="9"/>
  <c r="T92" i="9"/>
  <c r="H92" i="9" s="1"/>
  <c r="G92" i="9"/>
  <c r="F92" i="9"/>
  <c r="T87" i="9"/>
  <c r="H87" i="9" s="1"/>
  <c r="G87" i="9"/>
  <c r="F87" i="9"/>
  <c r="T83" i="9"/>
  <c r="H83" i="9" s="1"/>
  <c r="G83" i="9"/>
  <c r="F83" i="9"/>
  <c r="T33" i="9"/>
  <c r="H33" i="9" s="1"/>
  <c r="G33" i="9"/>
  <c r="F33" i="9"/>
  <c r="H368" i="9"/>
  <c r="G368" i="9"/>
  <c r="F368" i="9"/>
  <c r="H353" i="9"/>
  <c r="G353" i="9"/>
  <c r="F353" i="9"/>
  <c r="H348" i="9"/>
  <c r="G348" i="9"/>
  <c r="F348" i="9"/>
  <c r="H344" i="9"/>
  <c r="G344" i="9"/>
  <c r="F344" i="9"/>
  <c r="H303" i="9"/>
  <c r="G303" i="9"/>
  <c r="F303" i="9"/>
  <c r="H294" i="9"/>
  <c r="G294" i="9"/>
  <c r="F294" i="9"/>
  <c r="H285" i="9"/>
  <c r="G285" i="9"/>
  <c r="F285" i="9"/>
  <c r="H280" i="9"/>
  <c r="G280" i="9"/>
  <c r="F280" i="9"/>
  <c r="H275" i="9"/>
  <c r="G275" i="9"/>
  <c r="F275" i="9"/>
  <c r="H269" i="9"/>
  <c r="G269" i="9"/>
  <c r="F269" i="9"/>
  <c r="H255" i="9"/>
  <c r="G255" i="9"/>
  <c r="F255" i="9"/>
  <c r="H250" i="9"/>
  <c r="G250" i="9"/>
  <c r="F250" i="9"/>
  <c r="H245" i="9"/>
  <c r="G245" i="9"/>
  <c r="F245" i="9"/>
  <c r="H222" i="9"/>
  <c r="G222" i="9"/>
  <c r="F222" i="9"/>
  <c r="H174" i="9"/>
  <c r="G174" i="9"/>
  <c r="F174" i="9"/>
  <c r="H122" i="9"/>
  <c r="G122" i="9"/>
  <c r="F122" i="9"/>
  <c r="H44" i="9"/>
  <c r="G44" i="9"/>
  <c r="F44" i="9"/>
  <c r="H39" i="9"/>
  <c r="G39" i="9"/>
  <c r="F39" i="9"/>
  <c r="H21" i="9"/>
  <c r="G21" i="9"/>
  <c r="F21" i="9"/>
  <c r="H18" i="9"/>
  <c r="G18" i="9"/>
  <c r="F18" i="9"/>
  <c r="T371" i="9"/>
  <c r="H371" i="9" s="1"/>
  <c r="G371" i="9"/>
  <c r="F371" i="9"/>
  <c r="Q186" i="9"/>
  <c r="H186" i="9"/>
  <c r="G186" i="9"/>
  <c r="F186" i="9"/>
  <c r="T156" i="9"/>
  <c r="H156" i="9" s="1"/>
  <c r="G156" i="9"/>
  <c r="F156" i="9"/>
  <c r="T144" i="9"/>
  <c r="H144" i="9" s="1"/>
  <c r="G144" i="9"/>
  <c r="F144" i="9"/>
  <c r="Q118" i="9"/>
  <c r="H118" i="9"/>
  <c r="G118" i="9"/>
  <c r="F118" i="9"/>
  <c r="T74" i="9"/>
  <c r="H74" i="9" s="1"/>
  <c r="G74" i="9"/>
  <c r="F74" i="9"/>
  <c r="Q29" i="9"/>
  <c r="H29" i="9"/>
  <c r="G29" i="9"/>
  <c r="F29" i="9"/>
  <c r="Q25" i="9"/>
  <c r="H25" i="9"/>
  <c r="G25" i="9"/>
  <c r="F25" i="9"/>
  <c r="Q12" i="9"/>
  <c r="H12" i="9"/>
  <c r="G12" i="9"/>
  <c r="F12" i="9"/>
  <c r="T387" i="9"/>
  <c r="Q387" i="9" s="1"/>
  <c r="G387" i="9"/>
  <c r="F387" i="9"/>
  <c r="T378" i="9"/>
  <c r="H378" i="9" s="1"/>
  <c r="G378" i="9"/>
  <c r="F378" i="9"/>
  <c r="T358" i="9"/>
  <c r="H358" i="9" s="1"/>
  <c r="G358" i="9"/>
  <c r="F358" i="9"/>
  <c r="T329" i="9"/>
  <c r="H329" i="9" s="1"/>
  <c r="G329" i="9"/>
  <c r="F329" i="9"/>
  <c r="T324" i="9"/>
  <c r="H324" i="9" s="1"/>
  <c r="G324" i="9"/>
  <c r="F324" i="9"/>
  <c r="T318" i="9"/>
  <c r="H318" i="9" s="1"/>
  <c r="G318" i="9"/>
  <c r="F318" i="9"/>
  <c r="T260" i="9"/>
  <c r="H260" i="9" s="1"/>
  <c r="G260" i="9"/>
  <c r="F260" i="9"/>
  <c r="T212" i="9"/>
  <c r="H212" i="9" s="1"/>
  <c r="G212" i="9"/>
  <c r="F212" i="9"/>
  <c r="T209" i="9"/>
  <c r="H209" i="9" s="1"/>
  <c r="G209" i="9"/>
  <c r="F209" i="9"/>
  <c r="T191" i="9"/>
  <c r="H191" i="9" s="1"/>
  <c r="G191" i="9"/>
  <c r="F191" i="9"/>
  <c r="T181" i="9"/>
  <c r="H181" i="9" s="1"/>
  <c r="G181" i="9"/>
  <c r="F181" i="9"/>
  <c r="T161" i="9"/>
  <c r="H161" i="9" s="1"/>
  <c r="G161" i="9"/>
  <c r="F161" i="9"/>
  <c r="T149" i="9"/>
  <c r="H149" i="9" s="1"/>
  <c r="G149" i="9"/>
  <c r="F149" i="9"/>
  <c r="T79" i="9"/>
  <c r="H79" i="9" s="1"/>
  <c r="G79" i="9"/>
  <c r="F79" i="9"/>
  <c r="T52" i="9"/>
  <c r="H52" i="9" s="1"/>
  <c r="G52" i="9"/>
  <c r="F52" i="9"/>
  <c r="T4" i="9"/>
  <c r="H4" i="9" s="1"/>
  <c r="G4" i="9"/>
  <c r="F4" i="9"/>
  <c r="T392" i="9"/>
  <c r="H392" i="9" s="1"/>
  <c r="G392" i="9"/>
  <c r="F392" i="9"/>
  <c r="T383" i="9"/>
  <c r="H383" i="9" s="1"/>
  <c r="G383" i="9"/>
  <c r="F383" i="9"/>
  <c r="T334" i="9"/>
  <c r="H334" i="9" s="1"/>
  <c r="G334" i="9"/>
  <c r="F334" i="9"/>
  <c r="T313" i="9"/>
  <c r="H313" i="9" s="1"/>
  <c r="G313" i="9"/>
  <c r="F313" i="9"/>
  <c r="T308" i="9"/>
  <c r="H308" i="9" s="1"/>
  <c r="G308" i="9"/>
  <c r="F308" i="9"/>
  <c r="T288" i="9"/>
  <c r="H288" i="9" s="1"/>
  <c r="G288" i="9"/>
  <c r="F288" i="9"/>
  <c r="T232" i="9"/>
  <c r="Q232" i="9" s="1"/>
  <c r="G232" i="9"/>
  <c r="F232" i="9"/>
  <c r="T166" i="9"/>
  <c r="Q166" i="9" s="1"/>
  <c r="G166" i="9"/>
  <c r="F166" i="9"/>
  <c r="T133" i="9"/>
  <c r="H133" i="9" s="1"/>
  <c r="G133" i="9"/>
  <c r="F133" i="9"/>
  <c r="T104" i="9"/>
  <c r="H104" i="9" s="1"/>
  <c r="G104" i="9"/>
  <c r="F104" i="9"/>
  <c r="T67" i="9"/>
  <c r="H67" i="9" s="1"/>
  <c r="G67" i="9"/>
  <c r="F67" i="9"/>
  <c r="T62" i="9"/>
  <c r="H62" i="9" s="1"/>
  <c r="G62" i="9"/>
  <c r="F62" i="9"/>
  <c r="T57" i="9"/>
  <c r="H57" i="9" s="1"/>
  <c r="G57" i="9"/>
  <c r="F57" i="9"/>
  <c r="T405" i="9"/>
  <c r="H405" i="9" s="1"/>
  <c r="G405" i="9"/>
  <c r="F405" i="9"/>
  <c r="T401" i="9"/>
  <c r="H401" i="9" s="1"/>
  <c r="G401" i="9"/>
  <c r="F401" i="9"/>
  <c r="T397" i="9"/>
  <c r="H397" i="9" s="1"/>
  <c r="G397" i="9"/>
  <c r="F397" i="9"/>
  <c r="T363" i="9"/>
  <c r="H363" i="9" s="1"/>
  <c r="G363" i="9"/>
  <c r="F363" i="9"/>
  <c r="T339" i="9"/>
  <c r="H339" i="9" s="1"/>
  <c r="G339" i="9"/>
  <c r="F339" i="9"/>
  <c r="T271" i="9"/>
  <c r="H271" i="9" s="1"/>
  <c r="G271" i="9"/>
  <c r="F271" i="9"/>
  <c r="T265" i="9"/>
  <c r="H265" i="9" s="1"/>
  <c r="G265" i="9"/>
  <c r="F265" i="9"/>
  <c r="T241" i="9"/>
  <c r="H241" i="9" s="1"/>
  <c r="G241" i="9"/>
  <c r="F241" i="9"/>
  <c r="T236" i="9"/>
  <c r="H236" i="9" s="1"/>
  <c r="G236" i="9"/>
  <c r="F236" i="9"/>
  <c r="T227" i="9"/>
  <c r="H227" i="9" s="1"/>
  <c r="G227" i="9"/>
  <c r="F227" i="9"/>
  <c r="T217" i="9"/>
  <c r="H217" i="9" s="1"/>
  <c r="G217" i="9"/>
  <c r="F217" i="9"/>
  <c r="T137" i="9"/>
  <c r="H137" i="9" s="1"/>
  <c r="G137" i="9"/>
  <c r="F137" i="9"/>
  <c r="T115" i="9"/>
  <c r="H115" i="9" s="1"/>
  <c r="G115" i="9"/>
  <c r="F115" i="9"/>
  <c r="T109" i="9"/>
  <c r="H109" i="9" s="1"/>
  <c r="G109" i="9"/>
  <c r="F109" i="9"/>
  <c r="T93" i="9"/>
  <c r="H93" i="9" s="1"/>
  <c r="G93" i="9"/>
  <c r="F93" i="9"/>
  <c r="T88" i="9"/>
  <c r="H88" i="9" s="1"/>
  <c r="G88" i="9"/>
  <c r="F88" i="9"/>
  <c r="T84" i="9"/>
  <c r="H84" i="9" s="1"/>
  <c r="G84" i="9"/>
  <c r="F84" i="9"/>
  <c r="T47" i="9"/>
  <c r="H47" i="9" s="1"/>
  <c r="G47" i="9"/>
  <c r="F47" i="9"/>
  <c r="T34" i="9"/>
  <c r="H34" i="9" s="1"/>
  <c r="G34" i="9"/>
  <c r="F34" i="9"/>
  <c r="H354" i="9"/>
  <c r="G354" i="9"/>
  <c r="F354" i="9"/>
  <c r="H349" i="9"/>
  <c r="G349" i="9"/>
  <c r="F349" i="9"/>
  <c r="H345" i="9"/>
  <c r="G345" i="9"/>
  <c r="F345" i="9"/>
  <c r="H304" i="9"/>
  <c r="G304" i="9"/>
  <c r="F304" i="9"/>
  <c r="H299" i="9"/>
  <c r="G299" i="9"/>
  <c r="F299" i="9"/>
  <c r="H295" i="9"/>
  <c r="G295" i="9"/>
  <c r="F295" i="9"/>
  <c r="H286" i="9"/>
  <c r="G286" i="9"/>
  <c r="F286" i="9"/>
  <c r="H281" i="9"/>
  <c r="G281" i="9"/>
  <c r="F281" i="9"/>
  <c r="H276" i="9"/>
  <c r="G276" i="9"/>
  <c r="F276" i="9"/>
  <c r="H270" i="9"/>
  <c r="G270" i="9"/>
  <c r="F270" i="9"/>
  <c r="H256" i="9"/>
  <c r="G256" i="9"/>
  <c r="F256" i="9"/>
  <c r="H251" i="9"/>
  <c r="G251" i="9"/>
  <c r="F251" i="9"/>
  <c r="H246" i="9"/>
  <c r="G246" i="9"/>
  <c r="F246" i="9"/>
  <c r="H230" i="9"/>
  <c r="G230" i="9"/>
  <c r="F230" i="9"/>
  <c r="H223" i="9"/>
  <c r="G223" i="9"/>
  <c r="F223" i="9"/>
  <c r="H175" i="9"/>
  <c r="G175" i="9"/>
  <c r="F175" i="9"/>
  <c r="H123" i="9"/>
  <c r="G123" i="9"/>
  <c r="F123" i="9"/>
  <c r="H45" i="9"/>
  <c r="G45" i="9"/>
  <c r="F45" i="9"/>
  <c r="H40" i="9"/>
  <c r="G40" i="9"/>
  <c r="F40" i="9"/>
  <c r="H22" i="9"/>
  <c r="G22" i="9"/>
  <c r="F22" i="9"/>
  <c r="T372" i="9"/>
  <c r="H372" i="9" s="1"/>
  <c r="G372" i="9"/>
  <c r="F372" i="9"/>
  <c r="Q205" i="9"/>
  <c r="H205" i="9"/>
  <c r="G205" i="9"/>
  <c r="F205" i="9"/>
  <c r="Q201" i="9"/>
  <c r="H201" i="9"/>
  <c r="G201" i="9"/>
  <c r="F201" i="9"/>
  <c r="Q197" i="9"/>
  <c r="H197" i="9"/>
  <c r="G197" i="9"/>
  <c r="F197" i="9"/>
  <c r="Q187" i="9"/>
  <c r="H187" i="9"/>
  <c r="G187" i="9"/>
  <c r="F187" i="9"/>
  <c r="Q177" i="9"/>
  <c r="H177" i="9"/>
  <c r="G177" i="9"/>
  <c r="F177" i="9"/>
  <c r="T157" i="9"/>
  <c r="H157" i="9" s="1"/>
  <c r="G157" i="9"/>
  <c r="F157" i="9"/>
  <c r="T145" i="9"/>
  <c r="H145" i="9" s="1"/>
  <c r="G145" i="9"/>
  <c r="F145" i="9"/>
  <c r="Q140" i="9"/>
  <c r="H140" i="9"/>
  <c r="G140" i="9"/>
  <c r="F140" i="9"/>
  <c r="Q119" i="9"/>
  <c r="H119" i="9"/>
  <c r="G119" i="9"/>
  <c r="F119" i="9"/>
  <c r="T75" i="9"/>
  <c r="H75" i="9" s="1"/>
  <c r="G75" i="9"/>
  <c r="F75" i="9"/>
  <c r="Q71" i="9"/>
  <c r="H71" i="9"/>
  <c r="G71" i="9"/>
  <c r="F71" i="9"/>
  <c r="Q30" i="9"/>
  <c r="H30" i="9"/>
  <c r="G30" i="9"/>
  <c r="F30" i="9"/>
  <c r="Q26" i="9"/>
  <c r="H26" i="9"/>
  <c r="G26" i="9"/>
  <c r="F26" i="9"/>
  <c r="Q13" i="9"/>
  <c r="H13" i="9"/>
  <c r="G13" i="9"/>
  <c r="F13" i="9"/>
  <c r="T388" i="9"/>
  <c r="H388" i="9" s="1"/>
  <c r="G388" i="9"/>
  <c r="F388" i="9"/>
  <c r="T379" i="9"/>
  <c r="H379" i="9" s="1"/>
  <c r="G379" i="9"/>
  <c r="F379" i="9"/>
  <c r="T359" i="9"/>
  <c r="H359" i="9" s="1"/>
  <c r="G359" i="9"/>
  <c r="F359" i="9"/>
  <c r="T342" i="9"/>
  <c r="H342" i="9" s="1"/>
  <c r="G342" i="9"/>
  <c r="F342" i="9"/>
  <c r="T330" i="9"/>
  <c r="H330" i="9" s="1"/>
  <c r="G330" i="9"/>
  <c r="F330" i="9"/>
  <c r="T325" i="9"/>
  <c r="Q325" i="9" s="1"/>
  <c r="G325" i="9"/>
  <c r="F325" i="9"/>
  <c r="T319" i="9"/>
  <c r="H319" i="9" s="1"/>
  <c r="G319" i="9"/>
  <c r="F319" i="9"/>
  <c r="T261" i="9"/>
  <c r="H261" i="9" s="1"/>
  <c r="G261" i="9"/>
  <c r="F261" i="9"/>
  <c r="T210" i="9"/>
  <c r="H210" i="9" s="1"/>
  <c r="G210" i="9"/>
  <c r="F210" i="9"/>
  <c r="T192" i="9"/>
  <c r="H192" i="9" s="1"/>
  <c r="G192" i="9"/>
  <c r="F192" i="9"/>
  <c r="T182" i="9"/>
  <c r="H182" i="9" s="1"/>
  <c r="G182" i="9"/>
  <c r="F182" i="9"/>
  <c r="T162" i="9"/>
  <c r="H162" i="9" s="1"/>
  <c r="G162" i="9"/>
  <c r="F162" i="9"/>
  <c r="T150" i="9"/>
  <c r="H150" i="9" s="1"/>
  <c r="G150" i="9"/>
  <c r="F150" i="9"/>
  <c r="T80" i="9"/>
  <c r="H80" i="9" s="1"/>
  <c r="G80" i="9"/>
  <c r="F80" i="9"/>
  <c r="T53" i="9"/>
  <c r="H53" i="9" s="1"/>
  <c r="G53" i="9"/>
  <c r="F53" i="9"/>
  <c r="T5" i="9"/>
  <c r="H5" i="9" s="1"/>
  <c r="G5" i="9"/>
  <c r="F5" i="9"/>
  <c r="T393" i="9"/>
  <c r="H393" i="9" s="1"/>
  <c r="G393" i="9"/>
  <c r="F393" i="9"/>
  <c r="T384" i="9"/>
  <c r="H384" i="9" s="1"/>
  <c r="G384" i="9"/>
  <c r="F384" i="9"/>
  <c r="T335" i="9"/>
  <c r="H335" i="9" s="1"/>
  <c r="G335" i="9"/>
  <c r="F335" i="9"/>
  <c r="T314" i="9"/>
  <c r="H314" i="9" s="1"/>
  <c r="G314" i="9"/>
  <c r="F314" i="9"/>
  <c r="T309" i="9"/>
  <c r="H309" i="9" s="1"/>
  <c r="G309" i="9"/>
  <c r="F309" i="9"/>
  <c r="T289" i="9"/>
  <c r="H289" i="9" s="1"/>
  <c r="G289" i="9"/>
  <c r="F289" i="9"/>
  <c r="T167" i="9"/>
  <c r="H167" i="9" s="1"/>
  <c r="G167" i="9"/>
  <c r="F167" i="9"/>
  <c r="T127" i="9"/>
  <c r="H127" i="9" s="1"/>
  <c r="G127" i="9"/>
  <c r="F127" i="9"/>
  <c r="T126" i="9"/>
  <c r="H126" i="9" s="1"/>
  <c r="G126" i="9"/>
  <c r="F126" i="9"/>
  <c r="T105" i="9"/>
  <c r="H105" i="9" s="1"/>
  <c r="G105" i="9"/>
  <c r="F105" i="9"/>
  <c r="T98" i="9"/>
  <c r="Q98" i="9" s="1"/>
  <c r="G98" i="9"/>
  <c r="F98" i="9"/>
  <c r="T68" i="9"/>
  <c r="H68" i="9" s="1"/>
  <c r="G68" i="9"/>
  <c r="F68" i="9"/>
  <c r="T63" i="9"/>
  <c r="H63" i="9" s="1"/>
  <c r="G63" i="9"/>
  <c r="F63" i="9"/>
  <c r="T58" i="9"/>
  <c r="H58" i="9" s="1"/>
  <c r="G58" i="9"/>
  <c r="F58" i="9"/>
  <c r="T406" i="9"/>
  <c r="H406" i="9" s="1"/>
  <c r="G406" i="9"/>
  <c r="F406" i="9"/>
  <c r="T402" i="9"/>
  <c r="H402" i="9" s="1"/>
  <c r="G402" i="9"/>
  <c r="F402" i="9"/>
  <c r="T364" i="9"/>
  <c r="H364" i="9" s="1"/>
  <c r="G364" i="9"/>
  <c r="F364" i="9"/>
  <c r="T340" i="9"/>
  <c r="H340" i="9" s="1"/>
  <c r="G340" i="9"/>
  <c r="F340" i="9"/>
  <c r="T266" i="9"/>
  <c r="H266" i="9" s="1"/>
  <c r="G266" i="9"/>
  <c r="F266" i="9"/>
  <c r="T242" i="9"/>
  <c r="H242" i="9" s="1"/>
  <c r="G242" i="9"/>
  <c r="F242" i="9"/>
  <c r="T237" i="9"/>
  <c r="H237" i="9" s="1"/>
  <c r="G237" i="9"/>
  <c r="F237" i="9"/>
  <c r="T228" i="9"/>
  <c r="H228" i="9" s="1"/>
  <c r="G228" i="9"/>
  <c r="F228" i="9"/>
  <c r="T218" i="9"/>
  <c r="H218" i="9" s="1"/>
  <c r="G218" i="9"/>
  <c r="F218" i="9"/>
  <c r="T213" i="9"/>
  <c r="H213" i="9" s="1"/>
  <c r="G213" i="9"/>
  <c r="F213" i="9"/>
  <c r="T153" i="9"/>
  <c r="H153" i="9" s="1"/>
  <c r="G153" i="9"/>
  <c r="F153" i="9"/>
  <c r="T138" i="9"/>
  <c r="H138" i="9" s="1"/>
  <c r="G138" i="9"/>
  <c r="F138" i="9"/>
  <c r="T116" i="9"/>
  <c r="H116" i="9" s="1"/>
  <c r="G116" i="9"/>
  <c r="F116" i="9"/>
  <c r="T110" i="9"/>
  <c r="H110" i="9" s="1"/>
  <c r="G110" i="9"/>
  <c r="F110" i="9"/>
  <c r="T94" i="9"/>
  <c r="H94" i="9" s="1"/>
  <c r="G94" i="9"/>
  <c r="F94" i="9"/>
  <c r="T89" i="9"/>
  <c r="H89" i="9" s="1"/>
  <c r="G89" i="9"/>
  <c r="F89" i="9"/>
  <c r="T48" i="9"/>
  <c r="H48" i="9" s="1"/>
  <c r="G48" i="9"/>
  <c r="F48" i="9"/>
  <c r="H35" i="9"/>
  <c r="G35" i="9"/>
  <c r="F35" i="9"/>
  <c r="H375" i="9"/>
  <c r="G375" i="9"/>
  <c r="F375" i="9"/>
  <c r="H355" i="9"/>
  <c r="G355" i="9"/>
  <c r="F355" i="9"/>
  <c r="H350" i="9"/>
  <c r="G350" i="9"/>
  <c r="F350" i="9"/>
  <c r="H346" i="9"/>
  <c r="G346" i="9"/>
  <c r="F346" i="9"/>
  <c r="H305" i="9"/>
  <c r="G305" i="9"/>
  <c r="F305" i="9"/>
  <c r="H300" i="9"/>
  <c r="G300" i="9"/>
  <c r="F300" i="9"/>
  <c r="H296" i="9"/>
  <c r="G296" i="9"/>
  <c r="F296" i="9"/>
  <c r="H287" i="9"/>
  <c r="G287" i="9"/>
  <c r="F287" i="9"/>
  <c r="H282" i="9"/>
  <c r="G282" i="9"/>
  <c r="F282" i="9"/>
  <c r="H277" i="9"/>
  <c r="G277" i="9"/>
  <c r="F277" i="9"/>
  <c r="H252" i="9"/>
  <c r="G252" i="9"/>
  <c r="F252" i="9"/>
  <c r="H231" i="9"/>
  <c r="G231" i="9"/>
  <c r="F231" i="9"/>
  <c r="H224" i="9"/>
  <c r="G224" i="9"/>
  <c r="F224" i="9"/>
  <c r="H176" i="9"/>
  <c r="G176" i="9"/>
  <c r="F176" i="9"/>
  <c r="H257" i="9"/>
  <c r="G257" i="9"/>
  <c r="F257" i="9"/>
  <c r="H247" i="9"/>
  <c r="G247" i="9"/>
  <c r="F247" i="9"/>
  <c r="H112" i="9"/>
  <c r="G112" i="9"/>
  <c r="F112" i="9"/>
  <c r="H46" i="9"/>
  <c r="G46" i="9"/>
  <c r="F46" i="9"/>
  <c r="H41" i="9"/>
  <c r="G41" i="9"/>
  <c r="F41" i="9"/>
  <c r="H23" i="9"/>
  <c r="G23" i="9"/>
  <c r="F23" i="9"/>
  <c r="T373" i="9"/>
  <c r="H373" i="9" s="1"/>
  <c r="G373" i="9"/>
  <c r="F373" i="9"/>
  <c r="Q206" i="9"/>
  <c r="H206" i="9"/>
  <c r="G206" i="9"/>
  <c r="F206" i="9"/>
  <c r="Q202" i="9"/>
  <c r="H202" i="9"/>
  <c r="G202" i="9"/>
  <c r="F202" i="9"/>
  <c r="Q198" i="9"/>
  <c r="H198" i="9"/>
  <c r="G198" i="9"/>
  <c r="F198" i="9"/>
  <c r="Q188" i="9"/>
  <c r="H188" i="9"/>
  <c r="G188" i="9"/>
  <c r="F188" i="9"/>
  <c r="Q178" i="9"/>
  <c r="H178" i="9"/>
  <c r="G178" i="9"/>
  <c r="F178" i="9"/>
  <c r="T169" i="9"/>
  <c r="H169" i="9" s="1"/>
  <c r="G169" i="9"/>
  <c r="F169" i="9"/>
  <c r="T158" i="9"/>
  <c r="H158" i="9" s="1"/>
  <c r="G158" i="9"/>
  <c r="F158" i="9"/>
  <c r="T146" i="9"/>
  <c r="H146" i="9" s="1"/>
  <c r="G146" i="9"/>
  <c r="F146" i="9"/>
  <c r="Q141" i="9"/>
  <c r="H141" i="9"/>
  <c r="G141" i="9"/>
  <c r="F141" i="9"/>
  <c r="T76" i="9"/>
  <c r="H76" i="9" s="1"/>
  <c r="G76" i="9"/>
  <c r="F76" i="9"/>
  <c r="Q31" i="9"/>
  <c r="H31" i="9"/>
  <c r="G31" i="9"/>
  <c r="F31" i="9"/>
  <c r="T15" i="9"/>
  <c r="H15" i="9" s="1"/>
  <c r="G15" i="9"/>
  <c r="F15" i="9"/>
  <c r="Q14" i="9"/>
  <c r="H14" i="9"/>
  <c r="G14" i="9"/>
  <c r="F14" i="9"/>
  <c r="T7" i="9"/>
  <c r="H7" i="9" s="1"/>
  <c r="G7" i="9"/>
  <c r="F7" i="9"/>
  <c r="T389" i="9"/>
  <c r="Q389" i="9" s="1"/>
  <c r="G389" i="9"/>
  <c r="F389" i="9"/>
  <c r="T380" i="9"/>
  <c r="H380" i="9" s="1"/>
  <c r="G380" i="9"/>
  <c r="F380" i="9"/>
  <c r="T360" i="9"/>
  <c r="H360" i="9" s="1"/>
  <c r="G360" i="9"/>
  <c r="F360" i="9"/>
  <c r="T343" i="9"/>
  <c r="Q343" i="9" s="1"/>
  <c r="G343" i="9"/>
  <c r="F343" i="9"/>
  <c r="T331" i="9"/>
  <c r="H331" i="9" s="1"/>
  <c r="G331" i="9"/>
  <c r="F331" i="9"/>
  <c r="T326" i="9"/>
  <c r="H326" i="9" s="1"/>
  <c r="G326" i="9"/>
  <c r="F326" i="9"/>
  <c r="T321" i="9"/>
  <c r="H321" i="9" s="1"/>
  <c r="G321" i="9"/>
  <c r="F321" i="9"/>
  <c r="T320" i="9"/>
  <c r="H320" i="9" s="1"/>
  <c r="G320" i="9"/>
  <c r="F320" i="9"/>
  <c r="T262" i="9"/>
  <c r="H262" i="9" s="1"/>
  <c r="G262" i="9"/>
  <c r="F262" i="9"/>
  <c r="T211" i="9"/>
  <c r="H211" i="9" s="1"/>
  <c r="G211" i="9"/>
  <c r="F211" i="9"/>
  <c r="T193" i="9"/>
  <c r="H193" i="9" s="1"/>
  <c r="G193" i="9"/>
  <c r="F193" i="9"/>
  <c r="T183" i="9"/>
  <c r="H183" i="9" s="1"/>
  <c r="G183" i="9"/>
  <c r="F183" i="9"/>
  <c r="T163" i="9"/>
  <c r="H163" i="9" s="1"/>
  <c r="G163" i="9"/>
  <c r="F163" i="9"/>
  <c r="T151" i="9"/>
  <c r="H151" i="9" s="1"/>
  <c r="G151" i="9"/>
  <c r="F151" i="9"/>
  <c r="T130" i="9"/>
  <c r="H130" i="9" s="1"/>
  <c r="G130" i="9"/>
  <c r="F130" i="9"/>
  <c r="T81" i="9"/>
  <c r="H81" i="9" s="1"/>
  <c r="G81" i="9"/>
  <c r="F81" i="9"/>
  <c r="T54" i="9"/>
  <c r="H54" i="9" s="1"/>
  <c r="G54" i="9"/>
  <c r="F54" i="9"/>
  <c r="T6" i="9"/>
  <c r="H6" i="9" s="1"/>
  <c r="G6" i="9"/>
  <c r="F6" i="9"/>
  <c r="T394" i="9"/>
  <c r="H394" i="9" s="1"/>
  <c r="G394" i="9"/>
  <c r="F394" i="9"/>
  <c r="T385" i="9"/>
  <c r="H385" i="9" s="1"/>
  <c r="G385" i="9"/>
  <c r="F385" i="9"/>
  <c r="T336" i="9"/>
  <c r="Q336" i="9" s="1"/>
  <c r="G336" i="9"/>
  <c r="F336" i="9"/>
  <c r="T315" i="9"/>
  <c r="H315" i="9" s="1"/>
  <c r="G315" i="9"/>
  <c r="F315" i="9"/>
  <c r="T310" i="9"/>
  <c r="H310" i="9" s="1"/>
  <c r="G310" i="9"/>
  <c r="F310" i="9"/>
  <c r="T298" i="9"/>
  <c r="Q298" i="9" s="1"/>
  <c r="G298" i="9"/>
  <c r="F298" i="9"/>
  <c r="T290" i="9"/>
  <c r="Q290" i="9" s="1"/>
  <c r="G290" i="9"/>
  <c r="F290" i="9"/>
  <c r="T233" i="9"/>
  <c r="H233" i="9" s="1"/>
  <c r="G233" i="9"/>
  <c r="F233" i="9"/>
  <c r="T168" i="9"/>
  <c r="H168" i="9" s="1"/>
  <c r="G168" i="9"/>
  <c r="F168" i="9"/>
  <c r="T134" i="9"/>
  <c r="Q134" i="9" s="1"/>
  <c r="G134" i="9"/>
  <c r="F134" i="9"/>
  <c r="T128" i="9"/>
  <c r="Q128" i="9" s="1"/>
  <c r="G128" i="9"/>
  <c r="F128" i="9"/>
  <c r="T106" i="9"/>
  <c r="H106" i="9" s="1"/>
  <c r="Q106" i="9"/>
  <c r="G106" i="9"/>
  <c r="F106" i="9"/>
  <c r="T99" i="9"/>
  <c r="H99" i="9" s="1"/>
  <c r="G99" i="9"/>
  <c r="F99" i="9"/>
  <c r="T69" i="9"/>
  <c r="H69" i="9" s="1"/>
  <c r="G69" i="9"/>
  <c r="F69" i="9"/>
  <c r="T64" i="9"/>
  <c r="H64" i="9" s="1"/>
  <c r="G64" i="9"/>
  <c r="F64" i="9"/>
  <c r="T59" i="9"/>
  <c r="H59" i="9" s="1"/>
  <c r="P59" i="9"/>
  <c r="F59" i="9" s="1"/>
  <c r="G59" i="9"/>
  <c r="T407" i="9"/>
  <c r="H407" i="9" s="1"/>
  <c r="G407" i="9"/>
  <c r="F407" i="9"/>
  <c r="T403" i="9"/>
  <c r="H403" i="9" s="1"/>
  <c r="G403" i="9"/>
  <c r="F403" i="9"/>
  <c r="T398" i="9"/>
  <c r="H398" i="9" s="1"/>
  <c r="G398" i="9"/>
  <c r="F398" i="9"/>
  <c r="T365" i="9"/>
  <c r="H365" i="9" s="1"/>
  <c r="G365" i="9"/>
  <c r="F365" i="9"/>
  <c r="T341" i="9"/>
  <c r="H341" i="9" s="1"/>
  <c r="G341" i="9"/>
  <c r="F341" i="9"/>
  <c r="T272" i="9"/>
  <c r="H272" i="9" s="1"/>
  <c r="G272" i="9"/>
  <c r="F272" i="9"/>
  <c r="T267" i="9"/>
  <c r="H267" i="9" s="1"/>
  <c r="G267" i="9"/>
  <c r="F267" i="9"/>
  <c r="T243" i="9"/>
  <c r="H243" i="9" s="1"/>
  <c r="G243" i="9"/>
  <c r="F243" i="9"/>
  <c r="T238" i="9"/>
  <c r="H238" i="9" s="1"/>
  <c r="G238" i="9"/>
  <c r="F238" i="9"/>
  <c r="T229" i="9"/>
  <c r="H229" i="9" s="1"/>
  <c r="G229" i="9"/>
  <c r="F229" i="9"/>
  <c r="T219" i="9"/>
  <c r="H219" i="9" s="1"/>
  <c r="G219" i="9"/>
  <c r="F219" i="9"/>
  <c r="T214" i="9"/>
  <c r="H214" i="9" s="1"/>
  <c r="G214" i="9"/>
  <c r="F214" i="9"/>
  <c r="T139" i="9"/>
  <c r="H139" i="9" s="1"/>
  <c r="G139" i="9"/>
  <c r="F139" i="9"/>
  <c r="T117" i="9"/>
  <c r="H117" i="9" s="1"/>
  <c r="G117" i="9"/>
  <c r="F117" i="9"/>
  <c r="T111" i="9"/>
  <c r="H111" i="9" s="1"/>
  <c r="G111" i="9"/>
  <c r="F111" i="9"/>
  <c r="T95" i="9"/>
  <c r="H95" i="9" s="1"/>
  <c r="G95" i="9"/>
  <c r="F95" i="9"/>
  <c r="T90" i="9"/>
  <c r="H90" i="9" s="1"/>
  <c r="G90" i="9"/>
  <c r="F90" i="9"/>
  <c r="T85" i="9"/>
  <c r="H85" i="9" s="1"/>
  <c r="G85" i="9"/>
  <c r="F85" i="9"/>
  <c r="T49" i="9"/>
  <c r="H49" i="9" s="1"/>
  <c r="G49" i="9"/>
  <c r="F49" i="9"/>
  <c r="T36" i="9"/>
  <c r="H36" i="9" s="1"/>
  <c r="G36" i="9"/>
  <c r="F36" i="9"/>
  <c r="F325" i="1"/>
  <c r="G325" i="1"/>
  <c r="S325" i="1"/>
  <c r="H325" i="1" s="1"/>
  <c r="F326" i="1"/>
  <c r="G326" i="1"/>
  <c r="S326" i="1"/>
  <c r="P326" i="1" s="1"/>
  <c r="F327" i="1"/>
  <c r="G327" i="1"/>
  <c r="S327" i="1"/>
  <c r="H327" i="1" s="1"/>
  <c r="F328" i="1"/>
  <c r="G328" i="1"/>
  <c r="S328" i="1"/>
  <c r="H328" i="1" s="1"/>
  <c r="F329" i="1"/>
  <c r="G329" i="1"/>
  <c r="S329" i="1"/>
  <c r="H329" i="1" s="1"/>
  <c r="F330" i="1"/>
  <c r="G330" i="1"/>
  <c r="S330" i="1"/>
  <c r="H330" i="1" s="1"/>
  <c r="F331" i="1"/>
  <c r="G331" i="1"/>
  <c r="S331" i="1"/>
  <c r="H331" i="1" s="1"/>
  <c r="F332" i="1"/>
  <c r="G332" i="1"/>
  <c r="S332" i="1"/>
  <c r="H332" i="1" s="1"/>
  <c r="F333" i="1"/>
  <c r="G333" i="1"/>
  <c r="S333" i="1"/>
  <c r="P333" i="1" s="1"/>
  <c r="F334" i="1"/>
  <c r="G334" i="1"/>
  <c r="S334" i="1"/>
  <c r="H334" i="1" s="1"/>
  <c r="F335" i="1"/>
  <c r="G335" i="1"/>
  <c r="S335" i="1"/>
  <c r="H335" i="1" s="1"/>
  <c r="F376" i="1"/>
  <c r="G376" i="1"/>
  <c r="S376" i="1"/>
  <c r="H376" i="1" s="1"/>
  <c r="F377" i="1"/>
  <c r="G377" i="1"/>
  <c r="S377" i="1"/>
  <c r="H377" i="1" s="1"/>
  <c r="F378" i="1"/>
  <c r="G378" i="1"/>
  <c r="S378" i="1"/>
  <c r="H378" i="1" s="1"/>
  <c r="F379" i="1"/>
  <c r="G379" i="1"/>
  <c r="S379" i="1"/>
  <c r="H379" i="1" s="1"/>
  <c r="F380" i="1"/>
  <c r="G380" i="1"/>
  <c r="S380" i="1"/>
  <c r="H380" i="1" s="1"/>
  <c r="F381" i="1"/>
  <c r="G381" i="1"/>
  <c r="S381" i="1"/>
  <c r="H381" i="1" s="1"/>
  <c r="F382" i="1"/>
  <c r="G382" i="1"/>
  <c r="S382" i="1"/>
  <c r="H382" i="1" s="1"/>
  <c r="F383" i="1"/>
  <c r="G383" i="1"/>
  <c r="S383" i="1"/>
  <c r="H383" i="1" s="1"/>
  <c r="F384" i="1"/>
  <c r="G384" i="1"/>
  <c r="S384" i="1"/>
  <c r="H384" i="1" s="1"/>
  <c r="F385" i="1"/>
  <c r="G385" i="1"/>
  <c r="S385" i="1"/>
  <c r="H385" i="1" s="1"/>
  <c r="F386" i="1"/>
  <c r="G386" i="1"/>
  <c r="S386" i="1"/>
  <c r="H386" i="1" s="1"/>
  <c r="F387" i="1"/>
  <c r="G387" i="1"/>
  <c r="S387" i="1"/>
  <c r="H387" i="1" s="1"/>
  <c r="F388" i="1"/>
  <c r="G388" i="1"/>
  <c r="S388" i="1"/>
  <c r="H388" i="1" s="1"/>
  <c r="F389" i="1"/>
  <c r="G389" i="1"/>
  <c r="S389" i="1"/>
  <c r="H389" i="1" s="1"/>
  <c r="F390" i="1"/>
  <c r="G390" i="1"/>
  <c r="S390" i="1"/>
  <c r="H390" i="1" s="1"/>
  <c r="F391" i="1"/>
  <c r="G391" i="1"/>
  <c r="S391" i="1"/>
  <c r="H391" i="1" s="1"/>
  <c r="F392" i="1"/>
  <c r="G392" i="1"/>
  <c r="S392" i="1"/>
  <c r="H392" i="1" s="1"/>
  <c r="F393" i="1"/>
  <c r="G393" i="1"/>
  <c r="S393" i="1"/>
  <c r="P393" i="1" s="1"/>
  <c r="F394" i="1"/>
  <c r="G394" i="1"/>
  <c r="S394" i="1"/>
  <c r="H394" i="1" s="1"/>
  <c r="F395" i="1"/>
  <c r="G395" i="1"/>
  <c r="H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H401" i="1"/>
  <c r="F402" i="1"/>
  <c r="G402" i="1"/>
  <c r="F403" i="1"/>
  <c r="G403" i="1"/>
  <c r="F404" i="1"/>
  <c r="G404" i="1"/>
  <c r="H404" i="1"/>
  <c r="F405" i="1"/>
  <c r="G405" i="1"/>
  <c r="F406" i="1"/>
  <c r="G406" i="1"/>
  <c r="F407" i="1"/>
  <c r="G407" i="1"/>
  <c r="F408" i="1"/>
  <c r="G408" i="1"/>
  <c r="H408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3" i="1"/>
  <c r="G343" i="1"/>
  <c r="H343" i="1"/>
  <c r="F345" i="1"/>
  <c r="G345" i="1"/>
  <c r="H345" i="1"/>
  <c r="F340" i="1"/>
  <c r="G340" i="1"/>
  <c r="H340" i="1"/>
  <c r="F341" i="1"/>
  <c r="G341" i="1"/>
  <c r="H341" i="1"/>
  <c r="F342" i="1"/>
  <c r="G342" i="1"/>
  <c r="H342" i="1"/>
  <c r="F344" i="1"/>
  <c r="G344" i="1"/>
  <c r="H344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271" i="1"/>
  <c r="G271" i="1"/>
  <c r="H271" i="1"/>
  <c r="F272" i="1"/>
  <c r="G272" i="1"/>
  <c r="S272" i="1"/>
  <c r="H272" i="1" s="1"/>
  <c r="F273" i="1"/>
  <c r="G273" i="1"/>
  <c r="S273" i="1"/>
  <c r="H273" i="1" s="1"/>
  <c r="F274" i="1"/>
  <c r="G274" i="1"/>
  <c r="S274" i="1"/>
  <c r="H274" i="1" s="1"/>
  <c r="F275" i="1"/>
  <c r="G275" i="1"/>
  <c r="S275" i="1"/>
  <c r="H275" i="1" s="1"/>
  <c r="F276" i="1"/>
  <c r="G276" i="1"/>
  <c r="S276" i="1"/>
  <c r="H276" i="1" s="1"/>
  <c r="F277" i="1"/>
  <c r="G277" i="1"/>
  <c r="S277" i="1"/>
  <c r="H277" i="1" s="1"/>
  <c r="F278" i="1"/>
  <c r="G278" i="1"/>
  <c r="S278" i="1"/>
  <c r="H278" i="1" s="1"/>
  <c r="F279" i="1"/>
  <c r="G279" i="1"/>
  <c r="S279" i="1"/>
  <c r="H279" i="1" s="1"/>
  <c r="F280" i="1"/>
  <c r="G280" i="1"/>
  <c r="S280" i="1"/>
  <c r="H280" i="1" s="1"/>
  <c r="F281" i="1"/>
  <c r="G281" i="1"/>
  <c r="S281" i="1"/>
  <c r="H281" i="1" s="1"/>
  <c r="F282" i="1"/>
  <c r="G282" i="1"/>
  <c r="S282" i="1"/>
  <c r="H282" i="1" s="1"/>
  <c r="F283" i="1"/>
  <c r="G283" i="1"/>
  <c r="S283" i="1"/>
  <c r="H283" i="1" s="1"/>
  <c r="F284" i="1"/>
  <c r="G284" i="1"/>
  <c r="S284" i="1"/>
  <c r="H284" i="1" s="1"/>
  <c r="F285" i="1"/>
  <c r="G285" i="1"/>
  <c r="S285" i="1"/>
  <c r="H285" i="1" s="1"/>
  <c r="F286" i="1"/>
  <c r="G286" i="1"/>
  <c r="S286" i="1"/>
  <c r="H286" i="1" s="1"/>
  <c r="F287" i="1"/>
  <c r="G287" i="1"/>
  <c r="S287" i="1"/>
  <c r="H287" i="1" s="1"/>
  <c r="F288" i="1"/>
  <c r="G288" i="1"/>
  <c r="S288" i="1"/>
  <c r="H288" i="1" s="1"/>
  <c r="F237" i="1"/>
  <c r="G237" i="1"/>
  <c r="S237" i="1"/>
  <c r="H237" i="1" s="1"/>
  <c r="F238" i="1"/>
  <c r="G238" i="1"/>
  <c r="S238" i="1"/>
  <c r="H238" i="1" s="1"/>
  <c r="F239" i="1"/>
  <c r="G239" i="1"/>
  <c r="S239" i="1"/>
  <c r="H239" i="1" s="1"/>
  <c r="F240" i="1"/>
  <c r="G240" i="1"/>
  <c r="S240" i="1"/>
  <c r="H240" i="1" s="1"/>
  <c r="F241" i="1"/>
  <c r="G241" i="1"/>
  <c r="S241" i="1"/>
  <c r="H241" i="1" s="1"/>
  <c r="F242" i="1"/>
  <c r="G242" i="1"/>
  <c r="S242" i="1"/>
  <c r="H242" i="1" s="1"/>
  <c r="F243" i="1"/>
  <c r="G243" i="1"/>
  <c r="S243" i="1"/>
  <c r="H243" i="1" s="1"/>
  <c r="F244" i="1"/>
  <c r="G244" i="1"/>
  <c r="S244" i="1"/>
  <c r="H244" i="1" s="1"/>
  <c r="F245" i="1"/>
  <c r="G245" i="1"/>
  <c r="S245" i="1"/>
  <c r="H245" i="1" s="1"/>
  <c r="F246" i="1"/>
  <c r="G246" i="1"/>
  <c r="S246" i="1"/>
  <c r="H246" i="1" s="1"/>
  <c r="F247" i="1"/>
  <c r="G247" i="1"/>
  <c r="S247" i="1"/>
  <c r="H247" i="1" s="1"/>
  <c r="F248" i="1"/>
  <c r="G248" i="1"/>
  <c r="S248" i="1"/>
  <c r="H248" i="1" s="1"/>
  <c r="F249" i="1"/>
  <c r="G249" i="1"/>
  <c r="S249" i="1"/>
  <c r="H249" i="1" s="1"/>
  <c r="F250" i="1"/>
  <c r="G250" i="1"/>
  <c r="S250" i="1"/>
  <c r="H250" i="1" s="1"/>
  <c r="F289" i="1"/>
  <c r="G289" i="1"/>
  <c r="S289" i="1"/>
  <c r="H289" i="1" s="1"/>
  <c r="F290" i="1"/>
  <c r="G290" i="1"/>
  <c r="S290" i="1"/>
  <c r="H290" i="1" s="1"/>
  <c r="F291" i="1"/>
  <c r="G291" i="1"/>
  <c r="S291" i="1"/>
  <c r="H291" i="1" s="1"/>
  <c r="F292" i="1"/>
  <c r="G292" i="1"/>
  <c r="S292" i="1"/>
  <c r="H292" i="1" s="1"/>
  <c r="F293" i="1"/>
  <c r="G293" i="1"/>
  <c r="S293" i="1"/>
  <c r="H293" i="1" s="1"/>
  <c r="F294" i="1"/>
  <c r="G294" i="1"/>
  <c r="S294" i="1"/>
  <c r="H294" i="1" s="1"/>
  <c r="F295" i="1"/>
  <c r="G295" i="1"/>
  <c r="S295" i="1"/>
  <c r="H295" i="1" s="1"/>
  <c r="F296" i="1"/>
  <c r="G296" i="1"/>
  <c r="S296" i="1"/>
  <c r="H296" i="1" s="1"/>
  <c r="F297" i="1"/>
  <c r="G297" i="1"/>
  <c r="S297" i="1"/>
  <c r="H297" i="1" s="1"/>
  <c r="F298" i="1"/>
  <c r="G298" i="1"/>
  <c r="S298" i="1"/>
  <c r="H298" i="1" s="1"/>
  <c r="F299" i="1"/>
  <c r="G299" i="1"/>
  <c r="S299" i="1"/>
  <c r="P299" i="1" s="1"/>
  <c r="F300" i="1"/>
  <c r="G300" i="1"/>
  <c r="S300" i="1"/>
  <c r="H300" i="1" s="1"/>
  <c r="F301" i="1"/>
  <c r="G301" i="1"/>
  <c r="S301" i="1"/>
  <c r="H301" i="1" s="1"/>
  <c r="F302" i="1"/>
  <c r="G302" i="1"/>
  <c r="S302" i="1"/>
  <c r="H302" i="1" s="1"/>
  <c r="F303" i="1"/>
  <c r="G303" i="1"/>
  <c r="S303" i="1"/>
  <c r="H303" i="1" s="1"/>
  <c r="F304" i="1"/>
  <c r="G304" i="1"/>
  <c r="S304" i="1"/>
  <c r="H304" i="1" s="1"/>
  <c r="F305" i="1"/>
  <c r="G305" i="1"/>
  <c r="F306" i="1"/>
  <c r="G306" i="1"/>
  <c r="F307" i="1"/>
  <c r="G307" i="1"/>
  <c r="F308" i="1"/>
  <c r="G308" i="1"/>
  <c r="F309" i="1"/>
  <c r="G309" i="1"/>
  <c r="H309" i="1"/>
  <c r="F310" i="1"/>
  <c r="G310" i="1"/>
  <c r="F311" i="1"/>
  <c r="G311" i="1"/>
  <c r="F312" i="1"/>
  <c r="G312" i="1"/>
  <c r="H312" i="1"/>
  <c r="F313" i="1"/>
  <c r="G313" i="1"/>
  <c r="F314" i="1"/>
  <c r="G314" i="1"/>
  <c r="H314" i="1"/>
  <c r="F315" i="1"/>
  <c r="G315" i="1"/>
  <c r="H315" i="1"/>
  <c r="F316" i="1"/>
  <c r="G316" i="1"/>
  <c r="F317" i="1"/>
  <c r="G317" i="1"/>
  <c r="F318" i="1"/>
  <c r="G318" i="1"/>
  <c r="H318" i="1"/>
  <c r="F319" i="1"/>
  <c r="G319" i="1"/>
  <c r="H319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193" i="1"/>
  <c r="G193" i="1"/>
  <c r="S193" i="1"/>
  <c r="H193" i="1" s="1"/>
  <c r="F194" i="1"/>
  <c r="G194" i="1"/>
  <c r="S194" i="1"/>
  <c r="H194" i="1" s="1"/>
  <c r="F195" i="1"/>
  <c r="G195" i="1"/>
  <c r="S195" i="1"/>
  <c r="H195" i="1" s="1"/>
  <c r="F196" i="1"/>
  <c r="G196" i="1"/>
  <c r="S196" i="1"/>
  <c r="H196" i="1" s="1"/>
  <c r="F197" i="1"/>
  <c r="G197" i="1"/>
  <c r="S197" i="1"/>
  <c r="H197" i="1" s="1"/>
  <c r="F198" i="1"/>
  <c r="G198" i="1"/>
  <c r="S198" i="1"/>
  <c r="H198" i="1" s="1"/>
  <c r="F199" i="1"/>
  <c r="G199" i="1"/>
  <c r="S199" i="1"/>
  <c r="H199" i="1" s="1"/>
  <c r="F200" i="1"/>
  <c r="G200" i="1"/>
  <c r="S200" i="1"/>
  <c r="H200" i="1" s="1"/>
  <c r="F201" i="1"/>
  <c r="G201" i="1"/>
  <c r="S201" i="1"/>
  <c r="H201" i="1" s="1"/>
  <c r="F202" i="1"/>
  <c r="G202" i="1"/>
  <c r="S202" i="1"/>
  <c r="H202" i="1" s="1"/>
  <c r="F203" i="1"/>
  <c r="G203" i="1"/>
  <c r="S203" i="1"/>
  <c r="H203" i="1" s="1"/>
  <c r="F204" i="1"/>
  <c r="G204" i="1"/>
  <c r="S204" i="1"/>
  <c r="H204" i="1" s="1"/>
  <c r="F205" i="1"/>
  <c r="G205" i="1"/>
  <c r="S205" i="1"/>
  <c r="H205" i="1" s="1"/>
  <c r="F206" i="1"/>
  <c r="G206" i="1"/>
  <c r="S206" i="1"/>
  <c r="H206" i="1" s="1"/>
  <c r="F207" i="1"/>
  <c r="G207" i="1"/>
  <c r="S207" i="1"/>
  <c r="H207" i="1" s="1"/>
  <c r="F208" i="1"/>
  <c r="G208" i="1"/>
  <c r="S208" i="1"/>
  <c r="H208" i="1" s="1"/>
  <c r="F209" i="1"/>
  <c r="G209" i="1"/>
  <c r="S209" i="1"/>
  <c r="H209" i="1" s="1"/>
  <c r="F210" i="1"/>
  <c r="G210" i="1"/>
  <c r="S210" i="1"/>
  <c r="H210" i="1" s="1"/>
  <c r="F211" i="1"/>
  <c r="G211" i="1"/>
  <c r="S211" i="1"/>
  <c r="H211" i="1" s="1"/>
  <c r="F160" i="1"/>
  <c r="G160" i="1"/>
  <c r="S160" i="1"/>
  <c r="H160" i="1" s="1"/>
  <c r="F161" i="1"/>
  <c r="G161" i="1"/>
  <c r="S161" i="1"/>
  <c r="H161" i="1" s="1"/>
  <c r="F162" i="1"/>
  <c r="G162" i="1"/>
  <c r="S162" i="1"/>
  <c r="H162" i="1" s="1"/>
  <c r="F163" i="1"/>
  <c r="G163" i="1"/>
  <c r="S163" i="1"/>
  <c r="H163" i="1" s="1"/>
  <c r="F164" i="1"/>
  <c r="G164" i="1"/>
  <c r="S164" i="1"/>
  <c r="H164" i="1" s="1"/>
  <c r="F165" i="1"/>
  <c r="G165" i="1"/>
  <c r="S165" i="1"/>
  <c r="H165" i="1" s="1"/>
  <c r="F166" i="1"/>
  <c r="G166" i="1"/>
  <c r="S166" i="1"/>
  <c r="H166" i="1" s="1"/>
  <c r="F167" i="1"/>
  <c r="G167" i="1"/>
  <c r="S167" i="1"/>
  <c r="H167" i="1" s="1"/>
  <c r="F168" i="1"/>
  <c r="G168" i="1"/>
  <c r="S168" i="1"/>
  <c r="H168" i="1" s="1"/>
  <c r="F169" i="1"/>
  <c r="G169" i="1"/>
  <c r="S169" i="1"/>
  <c r="P169" i="1" s="1"/>
  <c r="F170" i="1"/>
  <c r="G170" i="1"/>
  <c r="S170" i="1"/>
  <c r="H170" i="1" s="1"/>
  <c r="F171" i="1"/>
  <c r="G171" i="1"/>
  <c r="S171" i="1"/>
  <c r="H171" i="1" s="1"/>
  <c r="F172" i="1"/>
  <c r="G172" i="1"/>
  <c r="S172" i="1"/>
  <c r="H172" i="1" s="1"/>
  <c r="F212" i="1"/>
  <c r="G212" i="1"/>
  <c r="S212" i="1"/>
  <c r="H212" i="1" s="1"/>
  <c r="F213" i="1"/>
  <c r="G213" i="1"/>
  <c r="S213" i="1"/>
  <c r="H213" i="1" s="1"/>
  <c r="F214" i="1"/>
  <c r="G214" i="1"/>
  <c r="S214" i="1"/>
  <c r="H214" i="1" s="1"/>
  <c r="F215" i="1"/>
  <c r="G215" i="1"/>
  <c r="S215" i="1"/>
  <c r="H215" i="1" s="1"/>
  <c r="F216" i="1"/>
  <c r="G216" i="1"/>
  <c r="S216" i="1"/>
  <c r="H216" i="1" s="1"/>
  <c r="F217" i="1"/>
  <c r="G217" i="1"/>
  <c r="S217" i="1"/>
  <c r="H217" i="1" s="1"/>
  <c r="F218" i="1"/>
  <c r="G218" i="1"/>
  <c r="S218" i="1"/>
  <c r="H218" i="1" s="1"/>
  <c r="F219" i="1"/>
  <c r="G219" i="1"/>
  <c r="S219" i="1"/>
  <c r="H219" i="1" s="1"/>
  <c r="F220" i="1"/>
  <c r="G220" i="1"/>
  <c r="S220" i="1"/>
  <c r="H220" i="1" s="1"/>
  <c r="F221" i="1"/>
  <c r="G221" i="1"/>
  <c r="S221" i="1"/>
  <c r="H221" i="1" s="1"/>
  <c r="F222" i="1"/>
  <c r="G222" i="1"/>
  <c r="S222" i="1"/>
  <c r="H222" i="1" s="1"/>
  <c r="F223" i="1"/>
  <c r="G223" i="1"/>
  <c r="S223" i="1"/>
  <c r="H223" i="1" s="1"/>
  <c r="F224" i="1"/>
  <c r="G224" i="1"/>
  <c r="S224" i="1"/>
  <c r="H224" i="1" s="1"/>
  <c r="F225" i="1"/>
  <c r="G225" i="1"/>
  <c r="S225" i="1"/>
  <c r="H225" i="1" s="1"/>
  <c r="F226" i="1"/>
  <c r="G226" i="1"/>
  <c r="S226" i="1"/>
  <c r="H226" i="1" s="1"/>
  <c r="F227" i="1"/>
  <c r="G227" i="1"/>
  <c r="S227" i="1"/>
  <c r="P227" i="1" s="1"/>
  <c r="F228" i="1"/>
  <c r="G228" i="1"/>
  <c r="F229" i="1"/>
  <c r="G229" i="1"/>
  <c r="H229" i="1"/>
  <c r="F230" i="1"/>
  <c r="G230" i="1"/>
  <c r="H230" i="1"/>
  <c r="F231" i="1"/>
  <c r="G231" i="1"/>
  <c r="F232" i="1"/>
  <c r="G232" i="1"/>
  <c r="H232" i="1"/>
  <c r="F233" i="1"/>
  <c r="G233" i="1"/>
  <c r="H233" i="1"/>
  <c r="F234" i="1"/>
  <c r="G234" i="1"/>
  <c r="F235" i="1"/>
  <c r="G235" i="1"/>
  <c r="F236" i="1"/>
  <c r="G236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13" i="1"/>
  <c r="G113" i="1"/>
  <c r="S113" i="1"/>
  <c r="H113" i="1" s="1"/>
  <c r="F114" i="1"/>
  <c r="G114" i="1"/>
  <c r="S114" i="1"/>
  <c r="H114" i="1" s="1"/>
  <c r="F115" i="1"/>
  <c r="G115" i="1"/>
  <c r="S115" i="1"/>
  <c r="H115" i="1" s="1"/>
  <c r="F116" i="1"/>
  <c r="G116" i="1"/>
  <c r="S116" i="1"/>
  <c r="H116" i="1" s="1"/>
  <c r="F117" i="1"/>
  <c r="G117" i="1"/>
  <c r="S117" i="1"/>
  <c r="H117" i="1" s="1"/>
  <c r="F118" i="1"/>
  <c r="G118" i="1"/>
  <c r="S118" i="1"/>
  <c r="H118" i="1" s="1"/>
  <c r="F119" i="1"/>
  <c r="G119" i="1"/>
  <c r="S119" i="1"/>
  <c r="H119" i="1" s="1"/>
  <c r="F120" i="1"/>
  <c r="G120" i="1"/>
  <c r="S120" i="1"/>
  <c r="H120" i="1" s="1"/>
  <c r="F121" i="1"/>
  <c r="G121" i="1"/>
  <c r="S121" i="1"/>
  <c r="H121" i="1" s="1"/>
  <c r="F122" i="1"/>
  <c r="G122" i="1"/>
  <c r="S122" i="1"/>
  <c r="H122" i="1" s="1"/>
  <c r="F123" i="1"/>
  <c r="G123" i="1"/>
  <c r="S123" i="1"/>
  <c r="H123" i="1" s="1"/>
  <c r="F124" i="1"/>
  <c r="G124" i="1"/>
  <c r="S124" i="1"/>
  <c r="H124" i="1" s="1"/>
  <c r="F125" i="1"/>
  <c r="G125" i="1"/>
  <c r="S125" i="1"/>
  <c r="H125" i="1" s="1"/>
  <c r="F126" i="1"/>
  <c r="G126" i="1"/>
  <c r="S126" i="1"/>
  <c r="H126" i="1" s="1"/>
  <c r="F127" i="1"/>
  <c r="G127" i="1"/>
  <c r="S127" i="1"/>
  <c r="H127" i="1" s="1"/>
  <c r="F128" i="1"/>
  <c r="G128" i="1"/>
  <c r="S128" i="1"/>
  <c r="H128" i="1" s="1"/>
  <c r="F129" i="1"/>
  <c r="G129" i="1"/>
  <c r="S129" i="1"/>
  <c r="H129" i="1" s="1"/>
  <c r="F130" i="1"/>
  <c r="G130" i="1"/>
  <c r="S130" i="1"/>
  <c r="H130" i="1" s="1"/>
  <c r="F82" i="1"/>
  <c r="G82" i="1"/>
  <c r="S82" i="1"/>
  <c r="H82" i="1" s="1"/>
  <c r="F83" i="1"/>
  <c r="G83" i="1"/>
  <c r="S83" i="1"/>
  <c r="H83" i="1" s="1"/>
  <c r="F85" i="1"/>
  <c r="G85" i="1"/>
  <c r="S85" i="1"/>
  <c r="H85" i="1" s="1"/>
  <c r="F86" i="1"/>
  <c r="G86" i="1"/>
  <c r="S86" i="1"/>
  <c r="H86" i="1" s="1"/>
  <c r="F84" i="1"/>
  <c r="G84" i="1"/>
  <c r="S84" i="1"/>
  <c r="H84" i="1" s="1"/>
  <c r="F87" i="1"/>
  <c r="G87" i="1"/>
  <c r="S87" i="1"/>
  <c r="P87" i="1" s="1"/>
  <c r="F88" i="1"/>
  <c r="G88" i="1"/>
  <c r="S88" i="1"/>
  <c r="H88" i="1" s="1"/>
  <c r="F89" i="1"/>
  <c r="G89" i="1"/>
  <c r="S89" i="1"/>
  <c r="H89" i="1" s="1"/>
  <c r="F90" i="1"/>
  <c r="G90" i="1"/>
  <c r="S90" i="1"/>
  <c r="H90" i="1" s="1"/>
  <c r="F91" i="1"/>
  <c r="G91" i="1"/>
  <c r="S91" i="1"/>
  <c r="H91" i="1" s="1"/>
  <c r="F92" i="1"/>
  <c r="G92" i="1"/>
  <c r="S92" i="1"/>
  <c r="H92" i="1" s="1"/>
  <c r="F93" i="1"/>
  <c r="G93" i="1"/>
  <c r="S93" i="1"/>
  <c r="H93" i="1" s="1"/>
  <c r="F94" i="1"/>
  <c r="G94" i="1"/>
  <c r="S94" i="1"/>
  <c r="H94" i="1" s="1"/>
  <c r="F131" i="1"/>
  <c r="G131" i="1"/>
  <c r="S131" i="1"/>
  <c r="H131" i="1" s="1"/>
  <c r="F132" i="1"/>
  <c r="G132" i="1"/>
  <c r="S132" i="1"/>
  <c r="H132" i="1" s="1"/>
  <c r="F133" i="1"/>
  <c r="G133" i="1"/>
  <c r="S133" i="1"/>
  <c r="H133" i="1" s="1"/>
  <c r="F134" i="1"/>
  <c r="G134" i="1"/>
  <c r="S134" i="1"/>
  <c r="H134" i="1" s="1"/>
  <c r="F135" i="1"/>
  <c r="G135" i="1"/>
  <c r="S135" i="1"/>
  <c r="H135" i="1" s="1"/>
  <c r="F136" i="1"/>
  <c r="G136" i="1"/>
  <c r="S136" i="1"/>
  <c r="H136" i="1" s="1"/>
  <c r="F137" i="1"/>
  <c r="G137" i="1"/>
  <c r="S137" i="1"/>
  <c r="H137" i="1" s="1"/>
  <c r="F138" i="1"/>
  <c r="G138" i="1"/>
  <c r="S138" i="1"/>
  <c r="H138" i="1" s="1"/>
  <c r="F139" i="1"/>
  <c r="G139" i="1"/>
  <c r="S139" i="1"/>
  <c r="H139" i="1" s="1"/>
  <c r="F140" i="1"/>
  <c r="G140" i="1"/>
  <c r="S140" i="1"/>
  <c r="H140" i="1" s="1"/>
  <c r="F141" i="1"/>
  <c r="G141" i="1"/>
  <c r="S141" i="1"/>
  <c r="H141" i="1" s="1"/>
  <c r="F142" i="1"/>
  <c r="G142" i="1"/>
  <c r="S142" i="1"/>
  <c r="H142" i="1" s="1"/>
  <c r="F143" i="1"/>
  <c r="G143" i="1"/>
  <c r="S143" i="1"/>
  <c r="H143" i="1" s="1"/>
  <c r="F144" i="1"/>
  <c r="G144" i="1"/>
  <c r="S144" i="1"/>
  <c r="H144" i="1" s="1"/>
  <c r="F145" i="1"/>
  <c r="G145" i="1"/>
  <c r="S145" i="1"/>
  <c r="H145" i="1" s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F159" i="1"/>
  <c r="G159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80" i="1"/>
  <c r="G80" i="1"/>
  <c r="H80" i="1"/>
  <c r="F101" i="1"/>
  <c r="G101" i="1"/>
  <c r="H101" i="1"/>
  <c r="F102" i="1"/>
  <c r="G102" i="1"/>
  <c r="H102" i="1"/>
  <c r="F103" i="1"/>
  <c r="G103" i="1"/>
  <c r="H103" i="1"/>
  <c r="F81" i="1"/>
  <c r="G81" i="1"/>
  <c r="H81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35" i="1"/>
  <c r="G35" i="1"/>
  <c r="S35" i="1"/>
  <c r="H35" i="1" s="1"/>
  <c r="F36" i="1"/>
  <c r="G36" i="1"/>
  <c r="S36" i="1"/>
  <c r="H36" i="1" s="1"/>
  <c r="F37" i="1"/>
  <c r="G37" i="1"/>
  <c r="S37" i="1"/>
  <c r="H37" i="1" s="1"/>
  <c r="F38" i="1"/>
  <c r="G38" i="1"/>
  <c r="S38" i="1"/>
  <c r="H38" i="1" s="1"/>
  <c r="F39" i="1"/>
  <c r="G39" i="1"/>
  <c r="S39" i="1"/>
  <c r="H39" i="1" s="1"/>
  <c r="F40" i="1"/>
  <c r="G40" i="1"/>
  <c r="S40" i="1"/>
  <c r="H40" i="1" s="1"/>
  <c r="F41" i="1"/>
  <c r="G41" i="1"/>
  <c r="S41" i="1"/>
  <c r="H41" i="1" s="1"/>
  <c r="F42" i="1"/>
  <c r="N42" i="1"/>
  <c r="G42" i="1" s="1"/>
  <c r="S42" i="1"/>
  <c r="F43" i="1"/>
  <c r="G43" i="1"/>
  <c r="S43" i="1"/>
  <c r="H43" i="1" s="1"/>
  <c r="F44" i="1"/>
  <c r="G44" i="1"/>
  <c r="S44" i="1"/>
  <c r="H44" i="1" s="1"/>
  <c r="F45" i="1"/>
  <c r="G45" i="1"/>
  <c r="S45" i="1"/>
  <c r="H45" i="1" s="1"/>
  <c r="F46" i="1"/>
  <c r="G46" i="1"/>
  <c r="S46" i="1"/>
  <c r="H46" i="1" s="1"/>
  <c r="F47" i="1"/>
  <c r="G47" i="1"/>
  <c r="S47" i="1"/>
  <c r="H47" i="1" s="1"/>
  <c r="F48" i="1"/>
  <c r="G48" i="1"/>
  <c r="S48" i="1"/>
  <c r="H48" i="1" s="1"/>
  <c r="F49" i="1"/>
  <c r="G49" i="1"/>
  <c r="S49" i="1"/>
  <c r="H49" i="1" s="1"/>
  <c r="F50" i="1"/>
  <c r="G50" i="1"/>
  <c r="S50" i="1"/>
  <c r="H50" i="1" s="1"/>
  <c r="F3" i="1"/>
  <c r="G3" i="1"/>
  <c r="S3" i="1"/>
  <c r="P3" i="1" s="1"/>
  <c r="F4" i="1"/>
  <c r="G4" i="1"/>
  <c r="S4" i="1"/>
  <c r="P4" i="1" s="1"/>
  <c r="F5" i="1"/>
  <c r="G5" i="1"/>
  <c r="S5" i="1"/>
  <c r="F6" i="1"/>
  <c r="G6" i="1"/>
  <c r="S6" i="1"/>
  <c r="P6" i="1" s="1"/>
  <c r="F7" i="1"/>
  <c r="G7" i="1"/>
  <c r="S7" i="1"/>
  <c r="H7" i="1" s="1"/>
  <c r="F8" i="1"/>
  <c r="G8" i="1"/>
  <c r="S8" i="1"/>
  <c r="P8" i="1" s="1"/>
  <c r="F9" i="1"/>
  <c r="G9" i="1"/>
  <c r="S9" i="1"/>
  <c r="P9" i="1" s="1"/>
  <c r="F10" i="1"/>
  <c r="G10" i="1"/>
  <c r="S10" i="1"/>
  <c r="H10" i="1" s="1"/>
  <c r="F11" i="1"/>
  <c r="G11" i="1"/>
  <c r="S11" i="1"/>
  <c r="H11" i="1" s="1"/>
  <c r="F12" i="1"/>
  <c r="G12" i="1"/>
  <c r="S12" i="1"/>
  <c r="H12" i="1" s="1"/>
  <c r="F13" i="1"/>
  <c r="G13" i="1"/>
  <c r="S13" i="1"/>
  <c r="H13" i="1" s="1"/>
  <c r="F14" i="1"/>
  <c r="G14" i="1"/>
  <c r="S14" i="1"/>
  <c r="H14" i="1" s="1"/>
  <c r="F51" i="1"/>
  <c r="G51" i="1"/>
  <c r="S51" i="1"/>
  <c r="H51" i="1" s="1"/>
  <c r="F52" i="1"/>
  <c r="G52" i="1"/>
  <c r="S52" i="1"/>
  <c r="H52" i="1" s="1"/>
  <c r="F53" i="1"/>
  <c r="G53" i="1"/>
  <c r="S53" i="1"/>
  <c r="H53" i="1" s="1"/>
  <c r="F54" i="1"/>
  <c r="G54" i="1"/>
  <c r="S54" i="1"/>
  <c r="H54" i="1" s="1"/>
  <c r="F55" i="1"/>
  <c r="G55" i="1"/>
  <c r="S55" i="1"/>
  <c r="H55" i="1" s="1"/>
  <c r="F56" i="1"/>
  <c r="G56" i="1"/>
  <c r="S56" i="1"/>
  <c r="H56" i="1" s="1"/>
  <c r="F57" i="1"/>
  <c r="G57" i="1"/>
  <c r="S57" i="1"/>
  <c r="H57" i="1" s="1"/>
  <c r="F58" i="1"/>
  <c r="G58" i="1"/>
  <c r="S58" i="1"/>
  <c r="H58" i="1" s="1"/>
  <c r="F59" i="1"/>
  <c r="G59" i="1"/>
  <c r="S59" i="1"/>
  <c r="H59" i="1" s="1"/>
  <c r="F60" i="1"/>
  <c r="G60" i="1"/>
  <c r="S60" i="1"/>
  <c r="H60" i="1" s="1"/>
  <c r="F61" i="1"/>
  <c r="G61" i="1"/>
  <c r="S61" i="1"/>
  <c r="H61" i="1" s="1"/>
  <c r="F62" i="1"/>
  <c r="G62" i="1"/>
  <c r="S62" i="1"/>
  <c r="H62" i="1" s="1"/>
  <c r="F63" i="1"/>
  <c r="G63" i="1"/>
  <c r="S63" i="1"/>
  <c r="H63" i="1" s="1"/>
  <c r="F64" i="1"/>
  <c r="G64" i="1"/>
  <c r="S64" i="1"/>
  <c r="H64" i="1" s="1"/>
  <c r="F65" i="1"/>
  <c r="G65" i="1"/>
  <c r="S65" i="1"/>
  <c r="H65" i="1" s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F71" i="1"/>
  <c r="G71" i="1"/>
  <c r="F72" i="1"/>
  <c r="G72" i="1"/>
  <c r="H72" i="1"/>
  <c r="F73" i="1"/>
  <c r="G73" i="1"/>
  <c r="H73" i="1"/>
  <c r="F74" i="1"/>
  <c r="G74" i="1"/>
  <c r="F75" i="1"/>
  <c r="G75" i="1"/>
  <c r="F76" i="1"/>
  <c r="G76" i="1"/>
  <c r="H76" i="1"/>
  <c r="F77" i="1"/>
  <c r="G77" i="1"/>
  <c r="F78" i="1"/>
  <c r="G78" i="1"/>
  <c r="F79" i="1"/>
  <c r="G79" i="1"/>
  <c r="H79" i="1"/>
  <c r="D5" i="5"/>
  <c r="D4" i="5"/>
  <c r="H15" i="1"/>
  <c r="H16" i="1"/>
  <c r="H17" i="1"/>
  <c r="H18" i="1"/>
  <c r="H19" i="1"/>
  <c r="H20" i="1"/>
  <c r="H22" i="1"/>
  <c r="H21" i="1"/>
  <c r="H23" i="1"/>
  <c r="H24" i="1"/>
  <c r="H25" i="1"/>
  <c r="H26" i="1"/>
  <c r="H27" i="1"/>
  <c r="H28" i="1"/>
  <c r="H29" i="1"/>
  <c r="H30" i="1"/>
  <c r="H31" i="1"/>
  <c r="H32" i="1"/>
  <c r="H33" i="1"/>
  <c r="H34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20" i="1"/>
  <c r="G321" i="1"/>
  <c r="G322" i="1"/>
  <c r="G323" i="1"/>
  <c r="G324" i="1"/>
  <c r="G15" i="1"/>
  <c r="G16" i="1"/>
  <c r="G17" i="1"/>
  <c r="G18" i="1"/>
  <c r="G19" i="1"/>
  <c r="G20" i="1"/>
  <c r="G22" i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6" i="1"/>
  <c r="F15" i="1"/>
  <c r="F16" i="1"/>
  <c r="F17" i="1"/>
  <c r="F18" i="1"/>
  <c r="F19" i="1"/>
  <c r="F20" i="1"/>
  <c r="F22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21" i="1"/>
  <c r="F322" i="1"/>
  <c r="F323" i="1"/>
  <c r="F324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56" i="1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K76" i="4"/>
  <c r="N75" i="4"/>
  <c r="N74" i="4"/>
  <c r="N73" i="4"/>
  <c r="K72" i="4"/>
  <c r="K71" i="4"/>
  <c r="N70" i="4"/>
  <c r="N69" i="4"/>
  <c r="N68" i="4"/>
  <c r="N67" i="4"/>
  <c r="N66" i="4"/>
  <c r="N65" i="4"/>
  <c r="K64" i="4"/>
  <c r="K63" i="4"/>
  <c r="K62" i="4"/>
  <c r="N61" i="4"/>
  <c r="K61" i="4" s="1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N1" i="4"/>
  <c r="E8" i="3"/>
  <c r="E7" i="3"/>
  <c r="E6" i="3"/>
  <c r="E5" i="3"/>
  <c r="W4" i="1"/>
  <c r="V7" i="1"/>
  <c r="W8" i="1"/>
  <c r="W7" i="1"/>
  <c r="E9" i="3"/>
  <c r="O320" i="1"/>
  <c r="F320" i="1" s="1"/>
  <c r="S324" i="1"/>
  <c r="P324" i="1" s="1"/>
  <c r="S323" i="1"/>
  <c r="P323" i="1" s="1"/>
  <c r="S322" i="1"/>
  <c r="H322" i="1" s="1"/>
  <c r="S321" i="1"/>
  <c r="H321" i="1" s="1"/>
  <c r="S320" i="1"/>
  <c r="H320" i="1" s="1"/>
  <c r="S375" i="1"/>
  <c r="H375" i="1" s="1"/>
  <c r="S374" i="1"/>
  <c r="H374" i="1" s="1"/>
  <c r="S373" i="1"/>
  <c r="H373" i="1" s="1"/>
  <c r="S372" i="1"/>
  <c r="H372" i="1" s="1"/>
  <c r="S371" i="1"/>
  <c r="H371" i="1" s="1"/>
  <c r="S370" i="1"/>
  <c r="H370" i="1" s="1"/>
  <c r="S369" i="1"/>
  <c r="H369" i="1" s="1"/>
  <c r="S368" i="1"/>
  <c r="H368" i="1" s="1"/>
  <c r="S367" i="1"/>
  <c r="H367" i="1" s="1"/>
  <c r="S366" i="1"/>
  <c r="H366" i="1" s="1"/>
  <c r="S365" i="1"/>
  <c r="H365" i="1" s="1"/>
  <c r="S364" i="1"/>
  <c r="H364" i="1" s="1"/>
  <c r="S363" i="1"/>
  <c r="H363" i="1" s="1"/>
  <c r="S362" i="1"/>
  <c r="H362" i="1" s="1"/>
  <c r="S361" i="1"/>
  <c r="H361" i="1" s="1"/>
  <c r="S360" i="1"/>
  <c r="H360" i="1" s="1"/>
  <c r="S359" i="1"/>
  <c r="H359" i="1" s="1"/>
  <c r="S358" i="1"/>
  <c r="H358" i="1" s="1"/>
  <c r="S357" i="1"/>
  <c r="H357" i="1" s="1"/>
  <c r="S356" i="1"/>
  <c r="H356" i="1" s="1"/>
  <c r="N10" i="3"/>
  <c r="I4" i="3" a="1"/>
  <c r="I4" i="3" s="1"/>
  <c r="J4" i="3" s="1"/>
  <c r="H134" i="19" l="1"/>
  <c r="H171" i="19"/>
  <c r="H290" i="19"/>
  <c r="F59" i="19"/>
  <c r="Q98" i="19"/>
  <c r="H102" i="19"/>
  <c r="Q103" i="19"/>
  <c r="Q129" i="19"/>
  <c r="H164" i="19"/>
  <c r="Q165" i="19"/>
  <c r="Q232" i="19"/>
  <c r="H342" i="19"/>
  <c r="H387" i="19"/>
  <c r="H105" i="19"/>
  <c r="H104" i="19"/>
  <c r="H166" i="19"/>
  <c r="H212" i="19"/>
  <c r="H394" i="19"/>
  <c r="Q321" i="9"/>
  <c r="H336" i="9"/>
  <c r="Q103" i="9"/>
  <c r="H171" i="9"/>
  <c r="H102" i="9"/>
  <c r="Q212" i="9"/>
  <c r="Q55" i="9"/>
  <c r="H98" i="9"/>
  <c r="Q393" i="9"/>
  <c r="H215" i="9"/>
  <c r="Q60" i="9"/>
  <c r="Q169" i="9"/>
  <c r="Q170" i="9"/>
  <c r="H239" i="13"/>
  <c r="H88" i="13"/>
  <c r="H86" i="13"/>
  <c r="H219" i="13"/>
  <c r="H242" i="13"/>
  <c r="H325" i="13"/>
  <c r="H332" i="13"/>
  <c r="H392" i="13"/>
  <c r="H325" i="9"/>
  <c r="Q129" i="9"/>
  <c r="H298" i="9"/>
  <c r="H389" i="9"/>
  <c r="H61" i="9"/>
  <c r="Q105" i="9"/>
  <c r="Q127" i="9"/>
  <c r="Q289" i="9"/>
  <c r="Q104" i="9"/>
  <c r="H166" i="9"/>
  <c r="Q288" i="9"/>
  <c r="Q313" i="9"/>
  <c r="Q165" i="9"/>
  <c r="H128" i="9"/>
  <c r="H290" i="9"/>
  <c r="H343" i="9"/>
  <c r="H387" i="9"/>
  <c r="H9" i="9"/>
  <c r="Q15" i="9"/>
  <c r="H232" i="9"/>
  <c r="H134" i="9"/>
  <c r="P158" i="1"/>
  <c r="H74" i="1"/>
  <c r="H150" i="1"/>
  <c r="P317" i="1"/>
  <c r="H398" i="1"/>
  <c r="P71" i="1"/>
  <c r="P400" i="1"/>
  <c r="H306" i="1"/>
  <c r="H406" i="1"/>
  <c r="P159" i="1"/>
  <c r="P78" i="1"/>
  <c r="P407" i="1"/>
  <c r="P405" i="1"/>
  <c r="P235" i="1"/>
  <c r="P403" i="1"/>
  <c r="P234" i="1"/>
  <c r="P311" i="1"/>
  <c r="P70" i="1"/>
  <c r="P231" i="1"/>
  <c r="P308" i="1"/>
  <c r="P307" i="1"/>
  <c r="P228" i="1"/>
  <c r="H397" i="1"/>
  <c r="P236" i="1"/>
  <c r="P77" i="1"/>
  <c r="P75" i="1"/>
  <c r="P402" i="1"/>
  <c r="P313" i="1"/>
  <c r="P399" i="1"/>
  <c r="P396" i="1"/>
  <c r="P305" i="1"/>
  <c r="I320" i="1"/>
  <c r="Q99" i="9"/>
  <c r="Q233" i="9"/>
  <c r="Q394" i="9"/>
  <c r="Q7" i="9"/>
  <c r="Q342" i="9"/>
  <c r="Q297" i="9"/>
  <c r="H65" i="9"/>
  <c r="P166" i="1"/>
  <c r="H393" i="1"/>
  <c r="H6" i="1"/>
  <c r="H42" i="1"/>
  <c r="P301" i="1"/>
  <c r="H299" i="1"/>
  <c r="P220" i="1"/>
  <c r="P325" i="1"/>
  <c r="H9" i="1"/>
  <c r="P83" i="1"/>
  <c r="P390" i="1"/>
  <c r="P88" i="1"/>
  <c r="H4" i="1"/>
  <c r="H227" i="1"/>
  <c r="P165" i="1"/>
  <c r="P240" i="1"/>
  <c r="H3" i="1"/>
  <c r="H87" i="1"/>
  <c r="P250" i="1"/>
  <c r="P243" i="1"/>
  <c r="P241" i="1"/>
  <c r="H333" i="1"/>
  <c r="P330" i="1"/>
  <c r="P328" i="1"/>
  <c r="H326" i="1"/>
  <c r="H8" i="1"/>
  <c r="P65" i="1"/>
  <c r="P163" i="1"/>
  <c r="P387" i="1"/>
  <c r="P329" i="1"/>
  <c r="P134" i="1"/>
  <c r="P85" i="1"/>
  <c r="P245" i="1"/>
  <c r="H5" i="1"/>
  <c r="P89" i="1"/>
  <c r="H169" i="1"/>
  <c r="P167" i="1"/>
  <c r="P394" i="1"/>
  <c r="P335" i="1"/>
  <c r="H323" i="1"/>
  <c r="H3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<sst xmlns="http://schemas.openxmlformats.org/spreadsheetml/2006/main" count="6443" uniqueCount="264">
  <si>
    <t>League</t>
  </si>
  <si>
    <t>Row Labels</t>
  </si>
  <si>
    <t>Count of Season</t>
  </si>
  <si>
    <t>AC Milan</t>
  </si>
  <si>
    <t>UEFA national association members</t>
  </si>
  <si>
    <t>Adana Demirspor</t>
  </si>
  <si>
    <t>Total number of professional football clubs in europe</t>
  </si>
  <si>
    <t>Adanaspor</t>
  </si>
  <si>
    <t>Total number of teams registered under UEFA</t>
  </si>
  <si>
    <t>Akhisar Belediyespor</t>
  </si>
  <si>
    <t>No. of leagues chosen in the sample</t>
  </si>
  <si>
    <t>Akhisarspor</t>
  </si>
  <si>
    <t>No. of clubs chosen in the sample</t>
  </si>
  <si>
    <t>Alanyaspor</t>
  </si>
  <si>
    <t>Less clubs with insufficient financial data</t>
  </si>
  <si>
    <t>Alavés</t>
  </si>
  <si>
    <t>Final sample of clubs</t>
  </si>
  <si>
    <t>Amiens SC</t>
  </si>
  <si>
    <t>Angers SCO</t>
  </si>
  <si>
    <t>Ankaragücü</t>
  </si>
  <si>
    <t>Antalyaspor</t>
  </si>
  <si>
    <t>Arsenal</t>
  </si>
  <si>
    <t>AS Monaco</t>
  </si>
  <si>
    <t>AS Saint-Étienne</t>
  </si>
  <si>
    <t>Aston Villa</t>
  </si>
  <si>
    <t>Atalanta</t>
  </si>
  <si>
    <t>Athletic Bilbao</t>
  </si>
  <si>
    <t>Atlético Madrid</t>
  </si>
  <si>
    <t>Barcelona</t>
  </si>
  <si>
    <t>BB Erzurumspor</t>
  </si>
  <si>
    <t>Benevento</t>
  </si>
  <si>
    <t>Beşiktaş</t>
  </si>
  <si>
    <t>Bologna</t>
  </si>
  <si>
    <t>Bournemouth</t>
  </si>
  <si>
    <t>Brentford FC</t>
  </si>
  <si>
    <t>Brescia</t>
  </si>
  <si>
    <t>Brighton &amp; Hove Albion</t>
  </si>
  <si>
    <t>Burnley</t>
  </si>
  <si>
    <t>Bursaspor</t>
  </si>
  <si>
    <t>Cádiz</t>
  </si>
  <si>
    <t>Caen</t>
  </si>
  <si>
    <t>Cagliari</t>
  </si>
  <si>
    <t>Cardiff City</t>
  </si>
  <si>
    <t>Celta Vigo</t>
  </si>
  <si>
    <t>Chelsea</t>
  </si>
  <si>
    <t>Clermont Foot</t>
  </si>
  <si>
    <t>Crotone</t>
  </si>
  <si>
    <t>Crystal Palace</t>
  </si>
  <si>
    <t>Denizlispor</t>
  </si>
  <si>
    <t>Deportivo Alavés</t>
  </si>
  <si>
    <t>Deportivo La Coruña</t>
  </si>
  <si>
    <t>Dijon FCO</t>
  </si>
  <si>
    <t>EA Guingamp</t>
  </si>
  <si>
    <t>Eibar</t>
  </si>
  <si>
    <t>Elche</t>
  </si>
  <si>
    <t>Empoli</t>
  </si>
  <si>
    <t>Espanyol</t>
  </si>
  <si>
    <t>Everton</t>
  </si>
  <si>
    <t>Fenerbahçe</t>
  </si>
  <si>
    <t>Fiorentina</t>
  </si>
  <si>
    <t>Frosinone</t>
  </si>
  <si>
    <t>Fulham</t>
  </si>
  <si>
    <t>Galatasaray</t>
  </si>
  <si>
    <t>Gaziantep FK</t>
  </si>
  <si>
    <t>Gençlerbirliği</t>
  </si>
  <si>
    <t>Genoa</t>
  </si>
  <si>
    <t>Getafe</t>
  </si>
  <si>
    <t>Girona</t>
  </si>
  <si>
    <t>Girondins de Bordeaux</t>
  </si>
  <si>
    <t>Göztepe</t>
  </si>
  <si>
    <t>Granada</t>
  </si>
  <si>
    <t>Hatayspor</t>
  </si>
  <si>
    <t>Huddersfield Town</t>
  </si>
  <si>
    <t>Huesca</t>
  </si>
  <si>
    <t>Hull City</t>
  </si>
  <si>
    <t>Inter Milan</t>
  </si>
  <si>
    <t>Istanbul Başakşehir</t>
  </si>
  <si>
    <t>Juventus</t>
  </si>
  <si>
    <t>Karabükspor</t>
  </si>
  <si>
    <t>Kasımpaşa</t>
  </si>
  <si>
    <t>Kayserispor</t>
  </si>
  <si>
    <t>Konyaspor</t>
  </si>
  <si>
    <t>Las Palmas</t>
  </si>
  <si>
    <t>Lazio</t>
  </si>
  <si>
    <t>Lecce</t>
  </si>
  <si>
    <t>Leeds United</t>
  </si>
  <si>
    <t>Leganés</t>
  </si>
  <si>
    <t>Leicester City</t>
  </si>
  <si>
    <t>Levante</t>
  </si>
  <si>
    <t>Lille OSC</t>
  </si>
  <si>
    <t>Liverpool</t>
  </si>
  <si>
    <t>Lorient</t>
  </si>
  <si>
    <t>Málaga</t>
  </si>
  <si>
    <t>Mallorca</t>
  </si>
  <si>
    <t>Manchester City</t>
  </si>
  <si>
    <t>Manchester United</t>
  </si>
  <si>
    <t>Metz</t>
  </si>
  <si>
    <t>Middlesbrough</t>
  </si>
  <si>
    <t>Montpellier HSC</t>
  </si>
  <si>
    <t>Nancy Lorraine</t>
  </si>
  <si>
    <t>Nantes</t>
  </si>
  <si>
    <t>Napoli</t>
  </si>
  <si>
    <t>Newcastle United</t>
  </si>
  <si>
    <t>Nîmes Olympique</t>
  </si>
  <si>
    <t>Norwich City</t>
  </si>
  <si>
    <t>OGC Nice</t>
  </si>
  <si>
    <t>Olympique de Marseille</t>
  </si>
  <si>
    <t>Olympique Lyonnais (Lyon)</t>
  </si>
  <si>
    <t>Osasuna</t>
  </si>
  <si>
    <t>Osmanlispor</t>
  </si>
  <si>
    <t>Palermo</t>
  </si>
  <si>
    <t>Paris Saint-Germain (PSG)</t>
  </si>
  <si>
    <t>Parma</t>
  </si>
  <si>
    <t>Pescara</t>
  </si>
  <si>
    <t>Rayo Vallecano</t>
  </si>
  <si>
    <t>RC Lens</t>
  </si>
  <si>
    <t>RC Strasbourg Alsace</t>
  </si>
  <si>
    <t>Real Betis</t>
  </si>
  <si>
    <t>Real Madrid</t>
  </si>
  <si>
    <t>Real Sociedad</t>
  </si>
  <si>
    <t>Rizespor</t>
  </si>
  <si>
    <t>Roma</t>
  </si>
  <si>
    <t>Salernitana</t>
  </si>
  <si>
    <t>Sampdoria</t>
  </si>
  <si>
    <t>Sassuolo</t>
  </si>
  <si>
    <t>SC Bastia</t>
  </si>
  <si>
    <t>Sevilla</t>
  </si>
  <si>
    <t>Sheffield United</t>
  </si>
  <si>
    <t>Sivasspor</t>
  </si>
  <si>
    <t>Southampton</t>
  </si>
  <si>
    <t>SPAL</t>
  </si>
  <si>
    <t>Spezia</t>
  </si>
  <si>
    <t>Sporting Gijón</t>
  </si>
  <si>
    <t>Stade Brestois</t>
  </si>
  <si>
    <t>Stade de Reims</t>
  </si>
  <si>
    <t>Stade Rennais</t>
  </si>
  <si>
    <t>Stoke City</t>
  </si>
  <si>
    <t>Sunderland</t>
  </si>
  <si>
    <t>Swansea City</t>
  </si>
  <si>
    <t>Torino</t>
  </si>
  <si>
    <t>Tottenham Hotspur</t>
  </si>
  <si>
    <t>Toulouse</t>
  </si>
  <si>
    <t>Trabzonspor</t>
  </si>
  <si>
    <t>Troyes AC</t>
  </si>
  <si>
    <t>Udinese</t>
  </si>
  <si>
    <t>Valencia</t>
  </si>
  <si>
    <t>Valladolid</t>
  </si>
  <si>
    <t>Villarreal</t>
  </si>
  <si>
    <t>Watford</t>
  </si>
  <si>
    <t>West Bromwich Albion</t>
  </si>
  <si>
    <t>West Ham United</t>
  </si>
  <si>
    <t>Wolverhampton Wanderers</t>
  </si>
  <si>
    <t>Yeni Malatyaspor</t>
  </si>
  <si>
    <t>Giresunspor</t>
  </si>
  <si>
    <t>Valeria</t>
  </si>
  <si>
    <t>Verona</t>
  </si>
  <si>
    <t>Chievo</t>
  </si>
  <si>
    <t>Altay</t>
  </si>
  <si>
    <t>Fatih Karagumruk</t>
  </si>
  <si>
    <t>Grand Total</t>
  </si>
  <si>
    <t>Independent Variable</t>
  </si>
  <si>
    <t>Control Variable 1</t>
  </si>
  <si>
    <t>Control Variable 2</t>
  </si>
  <si>
    <t>Control Variable 3</t>
  </si>
  <si>
    <t>Control Variables</t>
  </si>
  <si>
    <t>Dependent Variables:</t>
  </si>
  <si>
    <t>Team Name</t>
  </si>
  <si>
    <t>Season</t>
  </si>
  <si>
    <t>Financial Irregularities(1=yes,0=no)</t>
  </si>
  <si>
    <t>League Standing</t>
  </si>
  <si>
    <t>Number of employees</t>
  </si>
  <si>
    <t>Firm Size(Total Assets)</t>
  </si>
  <si>
    <t>Premier League(England)</t>
  </si>
  <si>
    <t>21/22</t>
  </si>
  <si>
    <t>Profitability</t>
  </si>
  <si>
    <t>Geographical location</t>
  </si>
  <si>
    <t>League Standings</t>
  </si>
  <si>
    <t>Ownership structure</t>
  </si>
  <si>
    <t>Fan Engagement</t>
  </si>
  <si>
    <t>Team budget</t>
  </si>
  <si>
    <t>Fan Sentiment and Trust (indirectly, as influenced by financial irregularities)</t>
  </si>
  <si>
    <t>Independent Variable:</t>
  </si>
  <si>
    <t>Financial Irregularities</t>
  </si>
  <si>
    <t>Control Variables:</t>
  </si>
  <si>
    <t>Financial Health Indicators (e.g., revenue, expenses, debt levels)</t>
  </si>
  <si>
    <t>Club Size and History (e.g., age, fanbase size)</t>
  </si>
  <si>
    <t>Governance and Compliance (e.g., board structure, regulatory compliance)</t>
  </si>
  <si>
    <t>Player Salaries and Transfers (e.g., total salaries, transfer fees)</t>
  </si>
  <si>
    <t>Market Size</t>
  </si>
  <si>
    <t>Sponsorship and Commercial Deals</t>
  </si>
  <si>
    <t>Economic Factors (e.g., inflation rates, GDP growth)</t>
  </si>
  <si>
    <t>Regulatory Changes</t>
  </si>
  <si>
    <t>Competitive Balance</t>
  </si>
  <si>
    <t>La Liga(Spain)</t>
  </si>
  <si>
    <t>Legal and Ethical Factors</t>
  </si>
  <si>
    <t>Time Period</t>
  </si>
  <si>
    <t>Geographic Location</t>
  </si>
  <si>
    <t>n.a.</t>
  </si>
  <si>
    <t>Serie A(Italy)</t>
  </si>
  <si>
    <t>Süper Lig(Turkey)</t>
  </si>
  <si>
    <t>Ligue 1(France)</t>
  </si>
  <si>
    <t>20/21</t>
  </si>
  <si>
    <t>19/20</t>
  </si>
  <si>
    <t xml:space="preserve">18/19 </t>
  </si>
  <si>
    <t>18/19</t>
  </si>
  <si>
    <t>17/18</t>
  </si>
  <si>
    <t>16/17</t>
  </si>
  <si>
    <t>Net profit(000,000s)</t>
  </si>
  <si>
    <t>Debt(Loans and short term debt)(000,000s)</t>
  </si>
  <si>
    <t>Total Assets(000,000s)</t>
  </si>
  <si>
    <t>Operating Revenue(000,000s)</t>
  </si>
  <si>
    <t>Total Equity(Shareholders funds)(000,000s)</t>
  </si>
  <si>
    <t>Non Current Liabilities(000,000s)</t>
  </si>
  <si>
    <t>Current liabilities(000,000s)</t>
  </si>
  <si>
    <t>Total Liabilities(000,000s)</t>
  </si>
  <si>
    <t>For 2022: 224,714,775.13 euros​​.</t>
  </si>
  <si>
    <t>For 2021: 245,480,671.35 euros​​.</t>
  </si>
  <si>
    <t>For 2022: 103,403,624.71 euros​​.</t>
  </si>
  <si>
    <t>For 2021: 112,454,553.27 euros​​.</t>
  </si>
  <si>
    <t>For 2022: Long-term provisions and debts combined are 60,877,251.07 euros​​.</t>
  </si>
  <si>
    <t>For 2021: Long-term provisions and debts combined are 82,172,657.39 euros​​.</t>
  </si>
  <si>
    <t>For 2022: The total current liabilities amount to 60,433,899.35 euros​​.</t>
  </si>
  <si>
    <t>For 2021: The total current liabilities amount to 50,853,460.69 euros​​.</t>
  </si>
  <si>
    <t>Debt</t>
  </si>
  <si>
    <t>Levereage(Debt to Equity ratio)</t>
  </si>
  <si>
    <t>(blank)</t>
  </si>
  <si>
    <t>(All)</t>
  </si>
  <si>
    <t>Leverage</t>
  </si>
  <si>
    <t>Count of Financial Irregularities(1=yes,0=no)</t>
  </si>
  <si>
    <t>Count of Financial Irregularities</t>
  </si>
  <si>
    <t>Count of Net profit(000,000s)</t>
  </si>
  <si>
    <t>Leverage(Total Liabilities/Total assets)</t>
  </si>
  <si>
    <t>Firm Size(Natural log of total assets)</t>
  </si>
  <si>
    <t>Net Profit Margin(Net profit/operating revenue)</t>
  </si>
  <si>
    <t>Team name</t>
  </si>
  <si>
    <t>Mean</t>
  </si>
  <si>
    <t>Standard Error</t>
  </si>
  <si>
    <t>Median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</si>
  <si>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</si>
  <si>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</si>
  <si>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</si>
  <si>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</si>
  <si>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</si>
  <si>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</si>
  <si>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</si>
  <si>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</si>
  <si>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Confidence Level(95.0%)</t>
  </si>
  <si>
    <t>Growth</t>
  </si>
  <si>
    <t>Total Debt:</t>
  </si>
  <si>
    <t>Total Assets:</t>
  </si>
  <si>
    <t>Total Equity:</t>
  </si>
  <si>
    <t>Non-Current Liabilities:</t>
  </si>
  <si>
    <t>Current Liabilities:</t>
  </si>
  <si>
    <r>
      <t>P/L for period...</t>
    </r>
    <r>
      <rPr>
        <sz val="12"/>
        <color theme="1"/>
        <rFont val="Arial"/>
        <family val="2"/>
      </rPr>
      <t>th EUR 2018</t>
    </r>
  </si>
  <si>
    <r>
      <t>Shareholders funds</t>
    </r>
    <r>
      <rPr>
        <sz val="12"/>
        <color theme="1"/>
        <rFont val="Arial"/>
        <family val="2"/>
      </rPr>
      <t>th EUR 2018</t>
    </r>
  </si>
  <si>
    <t>Dependent Variable 1</t>
  </si>
  <si>
    <t>Dependent Variable 2</t>
  </si>
  <si>
    <t>Count of League</t>
  </si>
  <si>
    <t>Turkey=6</t>
  </si>
  <si>
    <t>Italy=4</t>
  </si>
  <si>
    <t>England=4</t>
  </si>
  <si>
    <t>France=4</t>
  </si>
  <si>
    <t>Spain=3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</si>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</sst>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\ &quot;M&quot;"/>
    <numFmt numFmtId="165" formatCode="0.00,&quot;M&quot;"/>
  </numFmts>
  <fonts count="30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8"/>
      <color rgb="FF374151"/>
      <name val="Arial"/>
      <family val="2"/>
    </font>
    <font>
      <sz val="14"/>
      <color rgb="FF000000"/>
      <name val="Inherit"/>
    </font>
    <font>
      <sz val="14"/>
      <color theme="1"/>
      <name val="Inherit"/>
    </font>
    <font>
      <sz val="13"/>
      <color rgb="FF555555"/>
      <name val="Arial"/>
      <family val="2"/>
    </font>
    <font>
      <sz val="13"/>
      <color rgb="FF555555"/>
      <name val="Inherit"/>
    </font>
    <font>
      <sz val="12"/>
      <color theme="1"/>
      <name val="Aptos Narrow"/>
      <scheme val="minor"/>
    </font>
    <font>
      <sz val="11"/>
      <color rgb="FF000000"/>
      <name val="Barlow-Medium"/>
      <charset val="1"/>
    </font>
    <font>
      <sz val="11"/>
      <color rgb="FF000000"/>
      <name val="Arial"/>
      <family val="2"/>
    </font>
    <font>
      <sz val="12"/>
      <color theme="1" tint="4.9989318521683403E-2"/>
      <name val="Aptos Narrow"/>
      <family val="2"/>
      <scheme val="minor"/>
    </font>
    <font>
      <sz val="12"/>
      <color theme="1" tint="4.9989318521683403E-2"/>
      <name val="Arial"/>
      <family val="2"/>
    </font>
    <font>
      <sz val="13"/>
      <color theme="1" tint="4.9989318521683403E-2"/>
      <name val="Arial"/>
      <family val="2"/>
    </font>
    <font>
      <sz val="12"/>
      <color theme="1"/>
      <name val="Aptos Narrow"/>
      <family val="2"/>
      <scheme val="minor"/>
    </font>
    <font>
      <sz val="12"/>
      <color rgb="FF0D0D0D"/>
      <name val="Segoe UI"/>
      <family val="2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  <font>
      <sz val="18"/>
      <color theme="1"/>
      <name val="Arial"/>
      <family val="2"/>
    </font>
    <font>
      <sz val="13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87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A2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5" fillId="3" borderId="0" xfId="0" applyFont="1" applyFill="1"/>
    <xf numFmtId="0" fontId="4" fillId="3" borderId="0" xfId="0" applyFont="1" applyFill="1"/>
    <xf numFmtId="0" fontId="0" fillId="4" borderId="0" xfId="0" applyFill="1"/>
    <xf numFmtId="0" fontId="5" fillId="4" borderId="0" xfId="0" applyFont="1" applyFill="1"/>
    <xf numFmtId="0" fontId="4" fillId="4" borderId="0" xfId="0" applyFont="1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6" borderId="0" xfId="0" applyFont="1" applyFill="1"/>
    <xf numFmtId="0" fontId="1" fillId="6" borderId="0" xfId="1" applyFill="1"/>
    <xf numFmtId="0" fontId="4" fillId="6" borderId="0" xfId="0" applyFont="1" applyFill="1"/>
    <xf numFmtId="0" fontId="3" fillId="2" borderId="0" xfId="0" applyFont="1" applyFill="1"/>
    <xf numFmtId="0" fontId="4" fillId="2" borderId="0" xfId="0" applyFont="1" applyFill="1"/>
    <xf numFmtId="0" fontId="7" fillId="7" borderId="0" xfId="0" applyFont="1" applyFill="1"/>
    <xf numFmtId="0" fontId="8" fillId="2" borderId="0" xfId="0" applyFont="1" applyFill="1"/>
    <xf numFmtId="0" fontId="1" fillId="2" borderId="0" xfId="1" applyFill="1"/>
    <xf numFmtId="0" fontId="10" fillId="0" borderId="0" xfId="0" applyFont="1"/>
    <xf numFmtId="0" fontId="11" fillId="0" borderId="0" xfId="0" applyFont="1"/>
    <xf numFmtId="3" fontId="11" fillId="0" borderId="0" xfId="0" applyNumberFormat="1" applyFont="1"/>
    <xf numFmtId="0" fontId="10" fillId="3" borderId="0" xfId="0" applyFont="1" applyFill="1"/>
    <xf numFmtId="0" fontId="12" fillId="3" borderId="0" xfId="0" applyFont="1" applyFill="1"/>
    <xf numFmtId="0" fontId="0" fillId="8" borderId="0" xfId="0" applyFill="1"/>
    <xf numFmtId="0" fontId="3" fillId="8" borderId="0" xfId="0" applyFont="1" applyFill="1"/>
    <xf numFmtId="0" fontId="10" fillId="8" borderId="0" xfId="0" applyFont="1" applyFill="1"/>
    <xf numFmtId="0" fontId="5" fillId="8" borderId="0" xfId="0" applyFont="1" applyFill="1"/>
    <xf numFmtId="164" fontId="0" fillId="0" borderId="0" xfId="0" applyNumberFormat="1"/>
    <xf numFmtId="164" fontId="7" fillId="7" borderId="0" xfId="0" applyNumberFormat="1" applyFont="1" applyFill="1"/>
    <xf numFmtId="164" fontId="12" fillId="3" borderId="0" xfId="0" applyNumberFormat="1" applyFont="1" applyFill="1"/>
    <xf numFmtId="164" fontId="0" fillId="3" borderId="0" xfId="0" applyNumberFormat="1" applyFill="1"/>
    <xf numFmtId="164" fontId="0" fillId="8" borderId="0" xfId="0" applyNumberFormat="1" applyFill="1"/>
    <xf numFmtId="164" fontId="9" fillId="0" borderId="0" xfId="0" applyNumberFormat="1" applyFont="1"/>
    <xf numFmtId="164" fontId="11" fillId="0" borderId="0" xfId="0" applyNumberFormat="1" applyFont="1"/>
    <xf numFmtId="164" fontId="10" fillId="0" borderId="0" xfId="0" applyNumberFormat="1" applyFont="1"/>
    <xf numFmtId="164" fontId="8" fillId="0" borderId="0" xfId="0" applyNumberFormat="1" applyFont="1"/>
    <xf numFmtId="164" fontId="13" fillId="0" borderId="0" xfId="0" applyNumberFormat="1" applyFont="1"/>
    <xf numFmtId="164" fontId="0" fillId="5" borderId="0" xfId="0" applyNumberFormat="1" applyFill="1"/>
    <xf numFmtId="164" fontId="5" fillId="4" borderId="0" xfId="0" applyNumberFormat="1" applyFont="1" applyFill="1"/>
    <xf numFmtId="164" fontId="1" fillId="2" borderId="0" xfId="1" applyNumberFormat="1" applyFill="1"/>
    <xf numFmtId="164" fontId="8" fillId="2" borderId="0" xfId="0" applyNumberFormat="1" applyFont="1" applyFill="1"/>
    <xf numFmtId="164" fontId="0" fillId="6" borderId="0" xfId="0" applyNumberFormat="1" applyFill="1"/>
    <xf numFmtId="164" fontId="5" fillId="6" borderId="0" xfId="0" applyNumberFormat="1" applyFont="1" applyFill="1"/>
    <xf numFmtId="164" fontId="10" fillId="3" borderId="0" xfId="0" applyNumberFormat="1" applyFont="1" applyFill="1"/>
    <xf numFmtId="164" fontId="10" fillId="8" borderId="0" xfId="0" applyNumberFormat="1" applyFont="1" applyFill="1"/>
    <xf numFmtId="164" fontId="9" fillId="2" borderId="0" xfId="0" applyNumberFormat="1" applyFont="1" applyFill="1"/>
    <xf numFmtId="164" fontId="1" fillId="0" borderId="0" xfId="1" applyNumberFormat="1"/>
    <xf numFmtId="164" fontId="6" fillId="0" borderId="0" xfId="0" applyNumberFormat="1" applyFont="1"/>
    <xf numFmtId="164" fontId="1" fillId="6" borderId="0" xfId="1" applyNumberFormat="1" applyFill="1"/>
    <xf numFmtId="0" fontId="11" fillId="8" borderId="0" xfId="0" applyFont="1" applyFill="1"/>
    <xf numFmtId="0" fontId="1" fillId="8" borderId="0" xfId="1" applyFill="1"/>
    <xf numFmtId="164" fontId="5" fillId="8" borderId="0" xfId="0" applyNumberFormat="1" applyFont="1" applyFill="1"/>
    <xf numFmtId="164" fontId="11" fillId="8" borderId="0" xfId="0" applyNumberFormat="1" applyFont="1" applyFill="1"/>
    <xf numFmtId="0" fontId="16" fillId="4" borderId="0" xfId="0" applyFont="1" applyFill="1"/>
    <xf numFmtId="0" fontId="0" fillId="9" borderId="0" xfId="0" applyFill="1"/>
    <xf numFmtId="0" fontId="3" fillId="9" borderId="0" xfId="0" applyFont="1" applyFill="1"/>
    <xf numFmtId="0" fontId="5" fillId="9" borderId="0" xfId="0" applyFont="1" applyFill="1"/>
    <xf numFmtId="164" fontId="10" fillId="9" borderId="0" xfId="0" applyNumberFormat="1" applyFont="1" applyFill="1"/>
    <xf numFmtId="0" fontId="10" fillId="9" borderId="0" xfId="0" applyFont="1" applyFill="1"/>
    <xf numFmtId="164" fontId="0" fillId="9" borderId="0" xfId="0" applyNumberFormat="1" applyFill="1"/>
    <xf numFmtId="0" fontId="0" fillId="10" borderId="0" xfId="0" applyFill="1"/>
    <xf numFmtId="0" fontId="3" fillId="10" borderId="0" xfId="0" applyFont="1" applyFill="1"/>
    <xf numFmtId="0" fontId="5" fillId="10" borderId="0" xfId="0" applyFont="1" applyFill="1"/>
    <xf numFmtId="164" fontId="0" fillId="10" borderId="0" xfId="0" applyNumberFormat="1" applyFill="1"/>
    <xf numFmtId="165" fontId="0" fillId="0" borderId="0" xfId="0" applyNumberFormat="1"/>
    <xf numFmtId="165" fontId="7" fillId="7" borderId="0" xfId="0" applyNumberFormat="1" applyFont="1" applyFill="1"/>
    <xf numFmtId="165" fontId="12" fillId="3" borderId="0" xfId="0" applyNumberFormat="1" applyFont="1" applyFill="1"/>
    <xf numFmtId="165" fontId="11" fillId="0" borderId="0" xfId="0" applyNumberFormat="1" applyFont="1"/>
    <xf numFmtId="165" fontId="11" fillId="8" borderId="0" xfId="0" applyNumberFormat="1" applyFont="1" applyFill="1"/>
    <xf numFmtId="165" fontId="0" fillId="8" borderId="0" xfId="0" applyNumberFormat="1" applyFill="1"/>
    <xf numFmtId="165" fontId="0" fillId="5" borderId="0" xfId="0" applyNumberFormat="1" applyFill="1"/>
    <xf numFmtId="165" fontId="10" fillId="0" borderId="0" xfId="0" applyNumberFormat="1" applyFont="1"/>
    <xf numFmtId="165" fontId="1" fillId="2" borderId="0" xfId="1" applyNumberFormat="1" applyFill="1"/>
    <xf numFmtId="165" fontId="0" fillId="6" borderId="0" xfId="0" applyNumberFormat="1" applyFill="1"/>
    <xf numFmtId="165" fontId="10" fillId="3" borderId="0" xfId="0" applyNumberFormat="1" applyFont="1" applyFill="1"/>
    <xf numFmtId="165" fontId="10" fillId="8" borderId="0" xfId="0" applyNumberFormat="1" applyFont="1" applyFill="1"/>
    <xf numFmtId="165" fontId="0" fillId="9" borderId="0" xfId="0" applyNumberFormat="1" applyFill="1"/>
    <xf numFmtId="165" fontId="9" fillId="0" borderId="0" xfId="0" applyNumberFormat="1" applyFont="1"/>
    <xf numFmtId="165" fontId="0" fillId="3" borderId="0" xfId="0" applyNumberFormat="1" applyFill="1"/>
    <xf numFmtId="165" fontId="5" fillId="8" borderId="0" xfId="0" applyNumberFormat="1" applyFont="1" applyFill="1"/>
    <xf numFmtId="165" fontId="10" fillId="9" borderId="0" xfId="0" applyNumberFormat="1" applyFont="1" applyFill="1"/>
    <xf numFmtId="165" fontId="0" fillId="10" borderId="0" xfId="0" applyNumberFormat="1" applyFill="1"/>
    <xf numFmtId="165" fontId="8" fillId="0" borderId="0" xfId="0" applyNumberFormat="1" applyFont="1"/>
    <xf numFmtId="165" fontId="0" fillId="2" borderId="0" xfId="0" applyNumberFormat="1" applyFill="1"/>
    <xf numFmtId="165" fontId="1" fillId="0" borderId="0" xfId="1" applyNumberFormat="1"/>
    <xf numFmtId="164" fontId="18" fillId="4" borderId="0" xfId="1" applyNumberFormat="1" applyFont="1" applyFill="1"/>
    <xf numFmtId="165" fontId="14" fillId="5" borderId="0" xfId="0" applyNumberFormat="1" applyFont="1" applyFill="1"/>
    <xf numFmtId="0" fontId="12" fillId="5" borderId="0" xfId="0" applyFont="1" applyFill="1"/>
    <xf numFmtId="164" fontId="14" fillId="5" borderId="0" xfId="0" applyNumberFormat="1" applyFont="1" applyFill="1"/>
    <xf numFmtId="165" fontId="11" fillId="5" borderId="0" xfId="0" applyNumberFormat="1" applyFont="1" applyFill="1"/>
    <xf numFmtId="3" fontId="11" fillId="5" borderId="0" xfId="0" applyNumberFormat="1" applyFont="1" applyFill="1"/>
    <xf numFmtId="164" fontId="11" fillId="5" borderId="0" xfId="0" applyNumberFormat="1" applyFont="1" applyFill="1"/>
    <xf numFmtId="164" fontId="13" fillId="5" borderId="0" xfId="0" applyNumberFormat="1" applyFont="1" applyFill="1"/>
    <xf numFmtId="0" fontId="11" fillId="5" borderId="0" xfId="0" applyFont="1" applyFill="1"/>
    <xf numFmtId="165" fontId="10" fillId="4" borderId="0" xfId="0" applyNumberFormat="1" applyFont="1" applyFill="1"/>
    <xf numFmtId="0" fontId="10" fillId="4" borderId="0" xfId="0" applyFont="1" applyFill="1"/>
    <xf numFmtId="164" fontId="10" fillId="4" borderId="0" xfId="0" applyNumberFormat="1" applyFont="1" applyFill="1"/>
    <xf numFmtId="164" fontId="0" fillId="4" borderId="0" xfId="0" applyNumberFormat="1" applyFill="1"/>
    <xf numFmtId="165" fontId="0" fillId="4" borderId="0" xfId="0" applyNumberFormat="1" applyFill="1"/>
    <xf numFmtId="165" fontId="17" fillId="4" borderId="0" xfId="0" applyNumberFormat="1" applyFont="1" applyFill="1"/>
    <xf numFmtId="0" fontId="17" fillId="4" borderId="0" xfId="0" applyFont="1" applyFill="1"/>
    <xf numFmtId="164" fontId="17" fillId="4" borderId="0" xfId="0" applyNumberFormat="1" applyFont="1" applyFill="1"/>
    <xf numFmtId="164" fontId="15" fillId="4" borderId="0" xfId="0" applyNumberFormat="1" applyFont="1" applyFill="1"/>
    <xf numFmtId="0" fontId="19" fillId="5" borderId="0" xfId="0" applyFont="1" applyFill="1"/>
    <xf numFmtId="0" fontId="10" fillId="5" borderId="0" xfId="0" applyFont="1" applyFill="1"/>
    <xf numFmtId="164" fontId="10" fillId="5" borderId="0" xfId="0" applyNumberFormat="1" applyFont="1" applyFill="1"/>
    <xf numFmtId="165" fontId="11" fillId="3" borderId="0" xfId="0" applyNumberFormat="1" applyFont="1" applyFill="1"/>
    <xf numFmtId="0" fontId="11" fillId="3" borderId="0" xfId="0" applyFont="1" applyFill="1"/>
    <xf numFmtId="164" fontId="11" fillId="3" borderId="0" xfId="0" applyNumberFormat="1" applyFont="1" applyFill="1"/>
    <xf numFmtId="164" fontId="19" fillId="5" borderId="0" xfId="0" applyNumberFormat="1" applyFont="1" applyFill="1" applyAlignment="1">
      <alignment horizontal="left" vertical="center" indent="2"/>
    </xf>
    <xf numFmtId="0" fontId="14" fillId="5" borderId="0" xfId="0" applyFont="1" applyFill="1"/>
    <xf numFmtId="164" fontId="19" fillId="5" borderId="0" xfId="0" applyNumberFormat="1" applyFont="1" applyFill="1" applyAlignment="1">
      <alignment horizontal="right"/>
    </xf>
    <xf numFmtId="164" fontId="18" fillId="2" borderId="0" xfId="1" applyNumberFormat="1" applyFont="1" applyFill="1"/>
    <xf numFmtId="165" fontId="18" fillId="2" borderId="0" xfId="1" applyNumberFormat="1" applyFont="1" applyFill="1"/>
    <xf numFmtId="0" fontId="9" fillId="8" borderId="0" xfId="0" applyFont="1" applyFill="1"/>
    <xf numFmtId="0" fontId="20" fillId="8" borderId="0" xfId="1" applyFont="1" applyFill="1"/>
    <xf numFmtId="164" fontId="9" fillId="8" borderId="0" xfId="0" applyNumberFormat="1" applyFont="1" applyFill="1"/>
    <xf numFmtId="164" fontId="20" fillId="8" borderId="0" xfId="1" applyNumberFormat="1" applyFont="1" applyFill="1"/>
    <xf numFmtId="0" fontId="8" fillId="8" borderId="0" xfId="0" applyFont="1" applyFill="1"/>
    <xf numFmtId="164" fontId="8" fillId="8" borderId="0" xfId="0" applyNumberFormat="1" applyFont="1" applyFill="1"/>
    <xf numFmtId="164" fontId="1" fillId="8" borderId="0" xfId="1" applyNumberFormat="1" applyFill="1"/>
    <xf numFmtId="165" fontId="8" fillId="8" borderId="0" xfId="0" applyNumberFormat="1" applyFont="1" applyFill="1"/>
    <xf numFmtId="165" fontId="1" fillId="8" borderId="0" xfId="1" applyNumberFormat="1" applyFill="1"/>
    <xf numFmtId="165" fontId="9" fillId="8" borderId="0" xfId="0" applyNumberFormat="1" applyFont="1" applyFill="1"/>
    <xf numFmtId="164" fontId="6" fillId="8" borderId="0" xfId="0" applyNumberFormat="1" applyFont="1" applyFill="1"/>
    <xf numFmtId="0" fontId="6" fillId="3" borderId="0" xfId="0" applyFont="1" applyFill="1"/>
    <xf numFmtId="0" fontId="6" fillId="5" borderId="0" xfId="0" applyFont="1" applyFill="1"/>
    <xf numFmtId="0" fontId="6" fillId="4" borderId="0" xfId="0" applyFont="1" applyFill="1"/>
    <xf numFmtId="0" fontId="6" fillId="2" borderId="0" xfId="0" applyFont="1" applyFill="1"/>
    <xf numFmtId="0" fontId="6" fillId="6" borderId="0" xfId="0" applyFont="1" applyFill="1"/>
    <xf numFmtId="0" fontId="5" fillId="2" borderId="0" xfId="0" applyFont="1" applyFill="1"/>
    <xf numFmtId="0" fontId="0" fillId="0" borderId="2" xfId="0" applyBorder="1"/>
    <xf numFmtId="0" fontId="21" fillId="0" borderId="3" xfId="0" applyFont="1" applyBorder="1" applyAlignment="1">
      <alignment horizontal="center"/>
    </xf>
    <xf numFmtId="0" fontId="6" fillId="0" borderId="0" xfId="0" applyFont="1"/>
    <xf numFmtId="164" fontId="6" fillId="5" borderId="0" xfId="0" applyNumberFormat="1" applyFont="1" applyFill="1"/>
    <xf numFmtId="165" fontId="6" fillId="0" borderId="0" xfId="0" applyNumberFormat="1" applyFont="1"/>
    <xf numFmtId="0" fontId="23" fillId="0" borderId="0" xfId="0" applyFont="1"/>
    <xf numFmtId="0" fontId="6" fillId="7" borderId="0" xfId="0" applyFont="1" applyFill="1"/>
    <xf numFmtId="165" fontId="6" fillId="7" borderId="0" xfId="0" applyNumberFormat="1" applyFont="1" applyFill="1"/>
    <xf numFmtId="164" fontId="6" fillId="7" borderId="0" xfId="0" applyNumberFormat="1" applyFont="1" applyFill="1"/>
    <xf numFmtId="165" fontId="6" fillId="5" borderId="0" xfId="0" applyNumberFormat="1" applyFont="1" applyFill="1"/>
    <xf numFmtId="0" fontId="22" fillId="0" borderId="0" xfId="0" applyFont="1"/>
    <xf numFmtId="0" fontId="24" fillId="0" borderId="0" xfId="1" applyFont="1" applyAlignment="1"/>
    <xf numFmtId="164" fontId="6" fillId="3" borderId="0" xfId="0" applyNumberFormat="1" applyFont="1" applyFill="1"/>
    <xf numFmtId="3" fontId="6" fillId="0" borderId="0" xfId="0" applyNumberFormat="1" applyFont="1"/>
    <xf numFmtId="0" fontId="6" fillId="0" borderId="0" xfId="0" applyFont="1" applyAlignment="1">
      <alignment horizontal="left"/>
    </xf>
    <xf numFmtId="3" fontId="6" fillId="5" borderId="0" xfId="0" applyNumberFormat="1" applyFont="1" applyFill="1"/>
    <xf numFmtId="165" fontId="6" fillId="6" borderId="0" xfId="0" applyNumberFormat="1" applyFont="1" applyFill="1"/>
    <xf numFmtId="164" fontId="6" fillId="6" borderId="0" xfId="0" applyNumberFormat="1" applyFont="1" applyFill="1"/>
    <xf numFmtId="165" fontId="6" fillId="3" borderId="0" xfId="0" applyNumberFormat="1" applyFont="1" applyFill="1"/>
    <xf numFmtId="165" fontId="6" fillId="4" borderId="0" xfId="0" applyNumberFormat="1" applyFont="1" applyFill="1"/>
    <xf numFmtId="164" fontId="6" fillId="4" borderId="0" xfId="0" applyNumberFormat="1" applyFont="1" applyFill="1"/>
    <xf numFmtId="164" fontId="6" fillId="4" borderId="0" xfId="1" applyNumberFormat="1" applyFont="1" applyFill="1" applyAlignment="1"/>
    <xf numFmtId="165" fontId="6" fillId="2" borderId="0" xfId="0" applyNumberFormat="1" applyFont="1" applyFill="1"/>
    <xf numFmtId="164" fontId="6" fillId="2" borderId="0" xfId="0" applyNumberFormat="1" applyFont="1" applyFill="1"/>
    <xf numFmtId="0" fontId="22" fillId="11" borderId="1" xfId="0" applyFont="1" applyFill="1" applyBorder="1"/>
    <xf numFmtId="0" fontId="22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5" fillId="7" borderId="0" xfId="0" applyFont="1" applyFill="1"/>
    <xf numFmtId="165" fontId="25" fillId="7" borderId="0" xfId="0" applyNumberFormat="1" applyFont="1" applyFill="1"/>
    <xf numFmtId="164" fontId="25" fillId="7" borderId="0" xfId="0" applyNumberFormat="1" applyFont="1" applyFill="1"/>
    <xf numFmtId="165" fontId="26" fillId="4" borderId="0" xfId="0" applyNumberFormat="1" applyFont="1" applyFill="1"/>
    <xf numFmtId="0" fontId="26" fillId="4" borderId="0" xfId="0" applyFont="1" applyFill="1"/>
    <xf numFmtId="164" fontId="26" fillId="4" borderId="0" xfId="0" applyNumberFormat="1" applyFont="1" applyFill="1"/>
    <xf numFmtId="0" fontId="26" fillId="0" borderId="0" xfId="0" applyFont="1"/>
    <xf numFmtId="165" fontId="26" fillId="3" borderId="0" xfId="0" applyNumberFormat="1" applyFont="1" applyFill="1"/>
    <xf numFmtId="0" fontId="26" fillId="3" borderId="0" xfId="0" applyFont="1" applyFill="1"/>
    <xf numFmtId="164" fontId="26" fillId="3" borderId="0" xfId="0" applyNumberFormat="1" applyFont="1" applyFill="1"/>
    <xf numFmtId="165" fontId="27" fillId="5" borderId="0" xfId="0" applyNumberFormat="1" applyFont="1" applyFill="1"/>
    <xf numFmtId="164" fontId="27" fillId="5" borderId="0" xfId="0" applyNumberFormat="1" applyFont="1" applyFill="1"/>
    <xf numFmtId="164" fontId="26" fillId="0" borderId="0" xfId="0" applyNumberFormat="1" applyFont="1"/>
    <xf numFmtId="165" fontId="26" fillId="0" borderId="0" xfId="0" applyNumberFormat="1" applyFont="1"/>
    <xf numFmtId="0" fontId="27" fillId="5" borderId="0" xfId="0" applyFont="1" applyFill="1"/>
    <xf numFmtId="0" fontId="26" fillId="5" borderId="0" xfId="0" applyFont="1" applyFill="1"/>
    <xf numFmtId="164" fontId="26" fillId="5" borderId="0" xfId="0" applyNumberFormat="1" applyFont="1" applyFill="1"/>
    <xf numFmtId="0" fontId="24" fillId="0" borderId="0" xfId="1" applyFont="1"/>
    <xf numFmtId="165" fontId="24" fillId="0" borderId="0" xfId="1" applyNumberFormat="1" applyFont="1"/>
    <xf numFmtId="3" fontId="26" fillId="0" borderId="0" xfId="0" applyNumberFormat="1" applyFont="1"/>
    <xf numFmtId="165" fontId="28" fillId="0" borderId="0" xfId="0" applyNumberFormat="1" applyFont="1"/>
    <xf numFmtId="165" fontId="26" fillId="5" borderId="0" xfId="0" applyNumberFormat="1" applyFont="1" applyFill="1"/>
    <xf numFmtId="164" fontId="6" fillId="5" borderId="0" xfId="0" applyNumberFormat="1" applyFont="1" applyFill="1" applyAlignment="1">
      <alignment horizontal="left" vertical="center" indent="2"/>
    </xf>
    <xf numFmtId="164" fontId="6" fillId="5" borderId="0" xfId="0" applyNumberFormat="1" applyFont="1" applyFill="1" applyAlignment="1">
      <alignment horizontal="right"/>
    </xf>
    <xf numFmtId="3" fontId="26" fillId="5" borderId="0" xfId="0" applyNumberFormat="1" applyFont="1" applyFill="1"/>
    <xf numFmtId="164" fontId="28" fillId="0" borderId="0" xfId="0" applyNumberFormat="1" applyFont="1"/>
    <xf numFmtId="0" fontId="24" fillId="2" borderId="0" xfId="1" applyFont="1" applyFill="1"/>
    <xf numFmtId="164" fontId="28" fillId="2" borderId="0" xfId="0" applyNumberFormat="1" applyFont="1" applyFill="1"/>
    <xf numFmtId="164" fontId="24" fillId="0" borderId="0" xfId="1" applyNumberFormat="1" applyFont="1"/>
    <xf numFmtId="165" fontId="24" fillId="2" borderId="0" xfId="1" applyNumberFormat="1" applyFont="1" applyFill="1"/>
    <xf numFmtId="0" fontId="28" fillId="2" borderId="0" xfId="0" applyFont="1" applyFill="1"/>
    <xf numFmtId="164" fontId="24" fillId="2" borderId="0" xfId="1" applyNumberFormat="1" applyFont="1" applyFill="1"/>
    <xf numFmtId="165" fontId="6" fillId="2" borderId="0" xfId="1" applyNumberFormat="1" applyFont="1" applyFill="1"/>
    <xf numFmtId="0" fontId="24" fillId="6" borderId="0" xfId="1" applyFont="1" applyFill="1"/>
    <xf numFmtId="164" fontId="24" fillId="6" borderId="0" xfId="1" applyNumberFormat="1" applyFont="1" applyFill="1"/>
    <xf numFmtId="164" fontId="6" fillId="4" borderId="0" xfId="1" applyNumberFormat="1" applyFont="1" applyFill="1"/>
    <xf numFmtId="0" fontId="2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2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00"/>
      <color rgb="FFFF3A2A"/>
      <color rgb="FFFF98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sports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sports.com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sports.com/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ysport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334</xdr:row>
      <xdr:rowOff>0</xdr:rowOff>
    </xdr:from>
    <xdr:ext cx="304800" cy="304800"/>
    <xdr:sp macro="" textlink="">
      <xdr:nvSpPr>
        <xdr:cNvPr id="2" name="AutoShape 38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9AF531-DEE0-404B-BBA3-EEF1232A3967}"/>
            </a:ext>
          </a:extLst>
        </xdr:cNvPr>
        <xdr:cNvSpPr>
          <a:spLocks noChangeAspect="1" noChangeArrowheads="1"/>
        </xdr:cNvSpPr>
      </xdr:nvSpPr>
      <xdr:spPr bwMode="auto">
        <a:xfrm>
          <a:off x="25450800" y="26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323</xdr:row>
      <xdr:rowOff>0</xdr:rowOff>
    </xdr:from>
    <xdr:ext cx="304800" cy="304800"/>
    <xdr:sp macro="" textlink="">
      <xdr:nvSpPr>
        <xdr:cNvPr id="3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CC838C-6FCA-0241-B514-5BC6252607F4}"/>
            </a:ext>
          </a:extLst>
        </xdr:cNvPr>
        <xdr:cNvSpPr>
          <a:spLocks noChangeAspect="1" noChangeArrowheads="1"/>
        </xdr:cNvSpPr>
      </xdr:nvSpPr>
      <xdr:spPr bwMode="auto">
        <a:xfrm>
          <a:off x="25450800" y="47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323</xdr:row>
      <xdr:rowOff>0</xdr:rowOff>
    </xdr:from>
    <xdr:ext cx="304800" cy="313267"/>
    <xdr:sp macro="" textlink="">
      <xdr:nvSpPr>
        <xdr:cNvPr id="4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13B1ED-B43A-B441-BE67-212D62A5779C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47358300"/>
          <a:ext cx="304800" cy="31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33</xdr:row>
      <xdr:rowOff>0</xdr:rowOff>
    </xdr:from>
    <xdr:ext cx="304800" cy="304800"/>
    <xdr:sp macro="" textlink="">
      <xdr:nvSpPr>
        <xdr:cNvPr id="5" name="AutoShape 778" descr="note-add">
          <a:extLst>
            <a:ext uri="{FF2B5EF4-FFF2-40B4-BE49-F238E27FC236}">
              <a16:creationId xmlns:a16="http://schemas.microsoft.com/office/drawing/2014/main" id="{8DA696E6-A87B-A248-BA73-1A710A6FD78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33</xdr:row>
      <xdr:rowOff>0</xdr:rowOff>
    </xdr:from>
    <xdr:ext cx="304800" cy="304800"/>
    <xdr:sp macro="" textlink="">
      <xdr:nvSpPr>
        <xdr:cNvPr id="6" name="AutoShape 779" descr="alert toggle">
          <a:extLst>
            <a:ext uri="{FF2B5EF4-FFF2-40B4-BE49-F238E27FC236}">
              <a16:creationId xmlns:a16="http://schemas.microsoft.com/office/drawing/2014/main" id="{F650EF89-68C6-0041-98A6-E2CE9FD23E87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</xdr:row>
      <xdr:rowOff>0</xdr:rowOff>
    </xdr:from>
    <xdr:ext cx="317500" cy="279400"/>
    <xdr:sp macro="" textlink="">
      <xdr:nvSpPr>
        <xdr:cNvPr id="7" name="AutoShape 464" descr="note-add">
          <a:extLst>
            <a:ext uri="{FF2B5EF4-FFF2-40B4-BE49-F238E27FC236}">
              <a16:creationId xmlns:a16="http://schemas.microsoft.com/office/drawing/2014/main" id="{578F6481-6A7A-884C-A248-CAF9CD908001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</xdr:row>
      <xdr:rowOff>0</xdr:rowOff>
    </xdr:from>
    <xdr:ext cx="304800" cy="279400"/>
    <xdr:sp macro="" textlink="">
      <xdr:nvSpPr>
        <xdr:cNvPr id="8" name="AutoShape 465" descr="alert toggle">
          <a:extLst>
            <a:ext uri="{FF2B5EF4-FFF2-40B4-BE49-F238E27FC236}">
              <a16:creationId xmlns:a16="http://schemas.microsoft.com/office/drawing/2014/main" id="{684FB1C7-B283-C741-95CB-5BBECA0B1E20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17500" cy="279400"/>
    <xdr:sp macro="" textlink="">
      <xdr:nvSpPr>
        <xdr:cNvPr id="9" name="AutoShape 466" descr="note-add">
          <a:extLst>
            <a:ext uri="{FF2B5EF4-FFF2-40B4-BE49-F238E27FC236}">
              <a16:creationId xmlns:a16="http://schemas.microsoft.com/office/drawing/2014/main" id="{D58D27A5-0256-444A-948E-370535668B8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985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48</xdr:row>
      <xdr:rowOff>0</xdr:rowOff>
    </xdr:from>
    <xdr:ext cx="304800" cy="279400"/>
    <xdr:sp macro="" textlink="">
      <xdr:nvSpPr>
        <xdr:cNvPr id="10" name="AutoShape 467" descr="alert toggle">
          <a:extLst>
            <a:ext uri="{FF2B5EF4-FFF2-40B4-BE49-F238E27FC236}">
              <a16:creationId xmlns:a16="http://schemas.microsoft.com/office/drawing/2014/main" id="{9F2FFED5-6D71-D74E-809A-F516392BFBE5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9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84</xdr:row>
      <xdr:rowOff>0</xdr:rowOff>
    </xdr:from>
    <xdr:ext cx="317500" cy="301299"/>
    <xdr:sp macro="" textlink="">
      <xdr:nvSpPr>
        <xdr:cNvPr id="11" name="AutoShape 468" descr="note-add">
          <a:extLst>
            <a:ext uri="{FF2B5EF4-FFF2-40B4-BE49-F238E27FC236}">
              <a16:creationId xmlns:a16="http://schemas.microsoft.com/office/drawing/2014/main" id="{46F1AA90-1714-4744-B9A9-473F52656B49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914400"/>
          <a:ext cx="3175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84</xdr:row>
      <xdr:rowOff>0</xdr:rowOff>
    </xdr:from>
    <xdr:ext cx="304800" cy="301299"/>
    <xdr:sp macro="" textlink="">
      <xdr:nvSpPr>
        <xdr:cNvPr id="12" name="AutoShape 469" descr="alert toggle">
          <a:extLst>
            <a:ext uri="{FF2B5EF4-FFF2-40B4-BE49-F238E27FC236}">
              <a16:creationId xmlns:a16="http://schemas.microsoft.com/office/drawing/2014/main" id="{7334FAEB-6241-DA42-9A19-4798F31D4178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914400"/>
          <a:ext cx="3048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89</xdr:row>
      <xdr:rowOff>0</xdr:rowOff>
    </xdr:from>
    <xdr:ext cx="317500" cy="279400"/>
    <xdr:sp macro="" textlink="">
      <xdr:nvSpPr>
        <xdr:cNvPr id="13" name="AutoShape 470" descr="note-add">
          <a:extLst>
            <a:ext uri="{FF2B5EF4-FFF2-40B4-BE49-F238E27FC236}">
              <a16:creationId xmlns:a16="http://schemas.microsoft.com/office/drawing/2014/main" id="{60A98FEE-A9C3-964C-BC8D-E48AF7F0B41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30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89</xdr:row>
      <xdr:rowOff>0</xdr:rowOff>
    </xdr:from>
    <xdr:ext cx="304800" cy="279400"/>
    <xdr:sp macro="" textlink="">
      <xdr:nvSpPr>
        <xdr:cNvPr id="14" name="AutoShape 471" descr="alert toggle">
          <a:extLst>
            <a:ext uri="{FF2B5EF4-FFF2-40B4-BE49-F238E27FC236}">
              <a16:creationId xmlns:a16="http://schemas.microsoft.com/office/drawing/2014/main" id="{1A07EC13-3D6F-2D42-A075-2D3E8F657892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30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17500" cy="279400"/>
    <xdr:sp macro="" textlink="">
      <xdr:nvSpPr>
        <xdr:cNvPr id="15" name="AutoShape 472" descr="note-add">
          <a:extLst>
            <a:ext uri="{FF2B5EF4-FFF2-40B4-BE49-F238E27FC236}">
              <a16:creationId xmlns:a16="http://schemas.microsoft.com/office/drawing/2014/main" id="{7175BD9C-784F-C14D-B287-ABA561D5AE22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346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94</xdr:row>
      <xdr:rowOff>0</xdr:rowOff>
    </xdr:from>
    <xdr:ext cx="304800" cy="279400"/>
    <xdr:sp macro="" textlink="">
      <xdr:nvSpPr>
        <xdr:cNvPr id="16" name="AutoShape 473" descr="alert toggle">
          <a:extLst>
            <a:ext uri="{FF2B5EF4-FFF2-40B4-BE49-F238E27FC236}">
              <a16:creationId xmlns:a16="http://schemas.microsoft.com/office/drawing/2014/main" id="{353FD264-1EEE-EA4B-A3A8-38083F90E722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346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17500" cy="279400"/>
    <xdr:sp macro="" textlink="">
      <xdr:nvSpPr>
        <xdr:cNvPr id="17" name="AutoShape 474" descr="note-add">
          <a:extLst>
            <a:ext uri="{FF2B5EF4-FFF2-40B4-BE49-F238E27FC236}">
              <a16:creationId xmlns:a16="http://schemas.microsoft.com/office/drawing/2014/main" id="{83D21F52-BA9E-CC4F-AF85-2F9E61FC15F3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778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116</xdr:row>
      <xdr:rowOff>0</xdr:rowOff>
    </xdr:from>
    <xdr:ext cx="304800" cy="279400"/>
    <xdr:sp macro="" textlink="">
      <xdr:nvSpPr>
        <xdr:cNvPr id="18" name="AutoShape 475" descr="alert toggle">
          <a:extLst>
            <a:ext uri="{FF2B5EF4-FFF2-40B4-BE49-F238E27FC236}">
              <a16:creationId xmlns:a16="http://schemas.microsoft.com/office/drawing/2014/main" id="{9955588F-1BEE-7A4E-8717-764618943BB5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77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213</xdr:row>
      <xdr:rowOff>0</xdr:rowOff>
    </xdr:from>
    <xdr:ext cx="317500" cy="279400"/>
    <xdr:sp macro="" textlink="">
      <xdr:nvSpPr>
        <xdr:cNvPr id="19" name="AutoShape 476" descr="note-add">
          <a:extLst>
            <a:ext uri="{FF2B5EF4-FFF2-40B4-BE49-F238E27FC236}">
              <a16:creationId xmlns:a16="http://schemas.microsoft.com/office/drawing/2014/main" id="{AEC2E08D-9368-3649-88EE-37EC81761C89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22098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213</xdr:row>
      <xdr:rowOff>0</xdr:rowOff>
    </xdr:from>
    <xdr:ext cx="304800" cy="279400"/>
    <xdr:sp macro="" textlink="">
      <xdr:nvSpPr>
        <xdr:cNvPr id="20" name="AutoShape 477" descr="alert toggle">
          <a:extLst>
            <a:ext uri="{FF2B5EF4-FFF2-40B4-BE49-F238E27FC236}">
              <a16:creationId xmlns:a16="http://schemas.microsoft.com/office/drawing/2014/main" id="{783F6B5C-5544-984D-B767-51242C8A9FE4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220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218</xdr:row>
      <xdr:rowOff>0</xdr:rowOff>
    </xdr:from>
    <xdr:ext cx="317500" cy="279400"/>
    <xdr:sp macro="" textlink="">
      <xdr:nvSpPr>
        <xdr:cNvPr id="21" name="AutoShape 478" descr="note-add">
          <a:extLst>
            <a:ext uri="{FF2B5EF4-FFF2-40B4-BE49-F238E27FC236}">
              <a16:creationId xmlns:a16="http://schemas.microsoft.com/office/drawing/2014/main" id="{575218FB-0956-8A4B-8F37-628A7013D6EA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2425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228</xdr:row>
      <xdr:rowOff>0</xdr:rowOff>
    </xdr:from>
    <xdr:ext cx="317500" cy="279400"/>
    <xdr:sp macro="" textlink="">
      <xdr:nvSpPr>
        <xdr:cNvPr id="22" name="AutoShape 480" descr="note-add">
          <a:extLst>
            <a:ext uri="{FF2B5EF4-FFF2-40B4-BE49-F238E27FC236}">
              <a16:creationId xmlns:a16="http://schemas.microsoft.com/office/drawing/2014/main" id="{19404AE1-B3A7-424C-88BC-516BDEFEDBBD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2641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228</xdr:row>
      <xdr:rowOff>0</xdr:rowOff>
    </xdr:from>
    <xdr:ext cx="304800" cy="279400"/>
    <xdr:sp macro="" textlink="">
      <xdr:nvSpPr>
        <xdr:cNvPr id="23" name="AutoShape 481" descr="alert toggle">
          <a:extLst>
            <a:ext uri="{FF2B5EF4-FFF2-40B4-BE49-F238E27FC236}">
              <a16:creationId xmlns:a16="http://schemas.microsoft.com/office/drawing/2014/main" id="{F3302F3B-4106-7C4E-BDC5-296780C370FF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2641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237</xdr:row>
      <xdr:rowOff>0</xdr:rowOff>
    </xdr:from>
    <xdr:ext cx="317500" cy="279400"/>
    <xdr:sp macro="" textlink="">
      <xdr:nvSpPr>
        <xdr:cNvPr id="24" name="AutoShape 482" descr="note-add">
          <a:extLst>
            <a:ext uri="{FF2B5EF4-FFF2-40B4-BE49-F238E27FC236}">
              <a16:creationId xmlns:a16="http://schemas.microsoft.com/office/drawing/2014/main" id="{81A670FE-137E-8D48-A241-5B621D5BC026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28575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237</xdr:row>
      <xdr:rowOff>0</xdr:rowOff>
    </xdr:from>
    <xdr:ext cx="304800" cy="279400"/>
    <xdr:sp macro="" textlink="">
      <xdr:nvSpPr>
        <xdr:cNvPr id="25" name="AutoShape 483" descr="alert toggle">
          <a:extLst>
            <a:ext uri="{FF2B5EF4-FFF2-40B4-BE49-F238E27FC236}">
              <a16:creationId xmlns:a16="http://schemas.microsoft.com/office/drawing/2014/main" id="{FA06B0A4-F11C-9E45-8470-5DE623E0D0FD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285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242</xdr:row>
      <xdr:rowOff>0</xdr:rowOff>
    </xdr:from>
    <xdr:ext cx="317500" cy="279400"/>
    <xdr:sp macro="" textlink="">
      <xdr:nvSpPr>
        <xdr:cNvPr id="26" name="AutoShape 484" descr="note-add">
          <a:extLst>
            <a:ext uri="{FF2B5EF4-FFF2-40B4-BE49-F238E27FC236}">
              <a16:creationId xmlns:a16="http://schemas.microsoft.com/office/drawing/2014/main" id="{0452FE5D-0B67-8E4D-8A2F-EC213056B959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3073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242</xdr:row>
      <xdr:rowOff>0</xdr:rowOff>
    </xdr:from>
    <xdr:ext cx="304800" cy="279400"/>
    <xdr:sp macro="" textlink="">
      <xdr:nvSpPr>
        <xdr:cNvPr id="27" name="AutoShape 485" descr="alert toggle">
          <a:extLst>
            <a:ext uri="{FF2B5EF4-FFF2-40B4-BE49-F238E27FC236}">
              <a16:creationId xmlns:a16="http://schemas.microsoft.com/office/drawing/2014/main" id="{BC1790EC-27EC-DD4A-BC08-8B1B2C55502C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307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266</xdr:row>
      <xdr:rowOff>0</xdr:rowOff>
    </xdr:from>
    <xdr:ext cx="317500" cy="279400"/>
    <xdr:sp macro="" textlink="">
      <xdr:nvSpPr>
        <xdr:cNvPr id="28" name="AutoShape 486" descr="note-add">
          <a:extLst>
            <a:ext uri="{FF2B5EF4-FFF2-40B4-BE49-F238E27FC236}">
              <a16:creationId xmlns:a16="http://schemas.microsoft.com/office/drawing/2014/main" id="{FC569AD5-5002-2843-BB9C-973CC6E7C13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3289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266</xdr:row>
      <xdr:rowOff>0</xdr:rowOff>
    </xdr:from>
    <xdr:ext cx="304800" cy="279400"/>
    <xdr:sp macro="" textlink="">
      <xdr:nvSpPr>
        <xdr:cNvPr id="29" name="AutoShape 487" descr="alert toggle">
          <a:extLst>
            <a:ext uri="{FF2B5EF4-FFF2-40B4-BE49-F238E27FC236}">
              <a16:creationId xmlns:a16="http://schemas.microsoft.com/office/drawing/2014/main" id="{4DECA9EB-ED98-C84F-86E6-1E9E583277BB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328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17500" cy="279400"/>
    <xdr:sp macro="" textlink="">
      <xdr:nvSpPr>
        <xdr:cNvPr id="30" name="AutoShape 488" descr="note-add">
          <a:extLst>
            <a:ext uri="{FF2B5EF4-FFF2-40B4-BE49-F238E27FC236}">
              <a16:creationId xmlns:a16="http://schemas.microsoft.com/office/drawing/2014/main" id="{F9F3DBD3-6DBF-9245-9427-5E0BF2874C75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3505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271</xdr:row>
      <xdr:rowOff>0</xdr:rowOff>
    </xdr:from>
    <xdr:ext cx="304800" cy="279400"/>
    <xdr:sp macro="" textlink="">
      <xdr:nvSpPr>
        <xdr:cNvPr id="31" name="AutoShape 489" descr="alert toggle">
          <a:extLst>
            <a:ext uri="{FF2B5EF4-FFF2-40B4-BE49-F238E27FC236}">
              <a16:creationId xmlns:a16="http://schemas.microsoft.com/office/drawing/2014/main" id="{E7AA4F1E-150A-E146-BE97-7BB92D14CE0E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350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340</xdr:row>
      <xdr:rowOff>0</xdr:rowOff>
    </xdr:from>
    <xdr:ext cx="317500" cy="279400"/>
    <xdr:sp macro="" textlink="">
      <xdr:nvSpPr>
        <xdr:cNvPr id="32" name="AutoShape 490" descr="note-add">
          <a:extLst>
            <a:ext uri="{FF2B5EF4-FFF2-40B4-BE49-F238E27FC236}">
              <a16:creationId xmlns:a16="http://schemas.microsoft.com/office/drawing/2014/main" id="{8FC992B5-75D1-1D43-918A-F52687B1FCDC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37211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340</xdr:row>
      <xdr:rowOff>0</xdr:rowOff>
    </xdr:from>
    <xdr:ext cx="304800" cy="279400"/>
    <xdr:sp macro="" textlink="">
      <xdr:nvSpPr>
        <xdr:cNvPr id="33" name="AutoShape 491" descr="alert toggle">
          <a:extLst>
            <a:ext uri="{FF2B5EF4-FFF2-40B4-BE49-F238E27FC236}">
              <a16:creationId xmlns:a16="http://schemas.microsoft.com/office/drawing/2014/main" id="{58AB8BCC-C742-2144-8ABB-1AE1BC83CC32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37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364</xdr:row>
      <xdr:rowOff>0</xdr:rowOff>
    </xdr:from>
    <xdr:ext cx="317500" cy="279400"/>
    <xdr:sp macro="" textlink="">
      <xdr:nvSpPr>
        <xdr:cNvPr id="34" name="AutoShape 492" descr="note-add">
          <a:extLst>
            <a:ext uri="{FF2B5EF4-FFF2-40B4-BE49-F238E27FC236}">
              <a16:creationId xmlns:a16="http://schemas.microsoft.com/office/drawing/2014/main" id="{34DAB12A-B532-E64C-AFBF-F39C7F97401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3937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364</xdr:row>
      <xdr:rowOff>0</xdr:rowOff>
    </xdr:from>
    <xdr:ext cx="304800" cy="279400"/>
    <xdr:sp macro="" textlink="">
      <xdr:nvSpPr>
        <xdr:cNvPr id="35" name="AutoShape 493" descr="alert toggle">
          <a:extLst>
            <a:ext uri="{FF2B5EF4-FFF2-40B4-BE49-F238E27FC236}">
              <a16:creationId xmlns:a16="http://schemas.microsoft.com/office/drawing/2014/main" id="{0FC8B7EE-3DD4-EB41-BAF5-8FB2B2C88A29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393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397</xdr:row>
      <xdr:rowOff>0</xdr:rowOff>
    </xdr:from>
    <xdr:ext cx="317500" cy="279400"/>
    <xdr:sp macro="" textlink="">
      <xdr:nvSpPr>
        <xdr:cNvPr id="36" name="AutoShape 494" descr="note-add">
          <a:extLst>
            <a:ext uri="{FF2B5EF4-FFF2-40B4-BE49-F238E27FC236}">
              <a16:creationId xmlns:a16="http://schemas.microsoft.com/office/drawing/2014/main" id="{01C651E7-9EEC-1E47-A4DF-8DA7C9186130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4152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397</xdr:row>
      <xdr:rowOff>0</xdr:rowOff>
    </xdr:from>
    <xdr:ext cx="304800" cy="279400"/>
    <xdr:sp macro="" textlink="">
      <xdr:nvSpPr>
        <xdr:cNvPr id="37" name="AutoShape 495" descr="alert toggle">
          <a:extLst>
            <a:ext uri="{FF2B5EF4-FFF2-40B4-BE49-F238E27FC236}">
              <a16:creationId xmlns:a16="http://schemas.microsoft.com/office/drawing/2014/main" id="{822BDC16-66DC-9741-9825-0C16A798A5EC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415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402</xdr:row>
      <xdr:rowOff>0</xdr:rowOff>
    </xdr:from>
    <xdr:ext cx="317500" cy="279400"/>
    <xdr:sp macro="" textlink="">
      <xdr:nvSpPr>
        <xdr:cNvPr id="38" name="AutoShape 496" descr="note-add">
          <a:extLst>
            <a:ext uri="{FF2B5EF4-FFF2-40B4-BE49-F238E27FC236}">
              <a16:creationId xmlns:a16="http://schemas.microsoft.com/office/drawing/2014/main" id="{E61887E5-8ED3-EC43-ABBD-AD48FA8268B5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43688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402</xdr:row>
      <xdr:rowOff>0</xdr:rowOff>
    </xdr:from>
    <xdr:ext cx="304800" cy="279400"/>
    <xdr:sp macro="" textlink="">
      <xdr:nvSpPr>
        <xdr:cNvPr id="39" name="AutoShape 497" descr="alert toggle">
          <a:extLst>
            <a:ext uri="{FF2B5EF4-FFF2-40B4-BE49-F238E27FC236}">
              <a16:creationId xmlns:a16="http://schemas.microsoft.com/office/drawing/2014/main" id="{19734A58-3CFC-CD4E-B5CB-75D9B64B390D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436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309</xdr:row>
      <xdr:rowOff>0</xdr:rowOff>
    </xdr:from>
    <xdr:ext cx="317500" cy="304800"/>
    <xdr:sp macro="" textlink="">
      <xdr:nvSpPr>
        <xdr:cNvPr id="40" name="AutoShape 498" descr="note-add">
          <a:extLst>
            <a:ext uri="{FF2B5EF4-FFF2-40B4-BE49-F238E27FC236}">
              <a16:creationId xmlns:a16="http://schemas.microsoft.com/office/drawing/2014/main" id="{268D2DEB-9C77-814B-A677-09CEE4D4C218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556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309</xdr:row>
      <xdr:rowOff>0</xdr:rowOff>
    </xdr:from>
    <xdr:ext cx="304800" cy="304800"/>
    <xdr:sp macro="" textlink="">
      <xdr:nvSpPr>
        <xdr:cNvPr id="41" name="AutoShape 499" descr="alert toggle">
          <a:extLst>
            <a:ext uri="{FF2B5EF4-FFF2-40B4-BE49-F238E27FC236}">
              <a16:creationId xmlns:a16="http://schemas.microsoft.com/office/drawing/2014/main" id="{59013F61-005C-134B-9444-F202388625E3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5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116</xdr:row>
      <xdr:rowOff>0</xdr:rowOff>
    </xdr:from>
    <xdr:ext cx="317500" cy="279400"/>
    <xdr:sp macro="" textlink="">
      <xdr:nvSpPr>
        <xdr:cNvPr id="42" name="AutoShape 500" descr="note-add">
          <a:extLst>
            <a:ext uri="{FF2B5EF4-FFF2-40B4-BE49-F238E27FC236}">
              <a16:creationId xmlns:a16="http://schemas.microsoft.com/office/drawing/2014/main" id="{55E0E4FC-119D-9149-A93B-423FB3C91C95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1778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116</xdr:row>
      <xdr:rowOff>0</xdr:rowOff>
    </xdr:from>
    <xdr:ext cx="317500" cy="279400"/>
    <xdr:sp macro="" textlink="">
      <xdr:nvSpPr>
        <xdr:cNvPr id="43" name="AutoShape 502" descr="note-add">
          <a:extLst>
            <a:ext uri="{FF2B5EF4-FFF2-40B4-BE49-F238E27FC236}">
              <a16:creationId xmlns:a16="http://schemas.microsoft.com/office/drawing/2014/main" id="{30F2FFB7-1D89-6341-86FD-77EA60AA367F}"/>
            </a:ext>
          </a:extLst>
        </xdr:cNvPr>
        <xdr:cNvSpPr>
          <a:spLocks noChangeAspect="1" noChangeArrowheads="1"/>
        </xdr:cNvSpPr>
      </xdr:nvSpPr>
      <xdr:spPr bwMode="auto">
        <a:xfrm>
          <a:off x="25450800" y="1778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116</xdr:row>
      <xdr:rowOff>0</xdr:rowOff>
    </xdr:from>
    <xdr:ext cx="317500" cy="279400"/>
    <xdr:sp macro="" textlink="">
      <xdr:nvSpPr>
        <xdr:cNvPr id="44" name="AutoShape 506" descr="note-add">
          <a:extLst>
            <a:ext uri="{FF2B5EF4-FFF2-40B4-BE49-F238E27FC236}">
              <a16:creationId xmlns:a16="http://schemas.microsoft.com/office/drawing/2014/main" id="{3FEA4529-27A7-D241-A595-D04A8ED68C30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1778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116</xdr:row>
      <xdr:rowOff>0</xdr:rowOff>
    </xdr:from>
    <xdr:ext cx="292100" cy="279400"/>
    <xdr:sp macro="" textlink="">
      <xdr:nvSpPr>
        <xdr:cNvPr id="45" name="AutoShape 507" descr="alert toggle">
          <a:extLst>
            <a:ext uri="{FF2B5EF4-FFF2-40B4-BE49-F238E27FC236}">
              <a16:creationId xmlns:a16="http://schemas.microsoft.com/office/drawing/2014/main" id="{B2A40CCD-9ACF-E643-944D-B3F3A08AD1E9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1778000"/>
          <a:ext cx="2921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116</xdr:row>
      <xdr:rowOff>0</xdr:rowOff>
    </xdr:from>
    <xdr:ext cx="317500" cy="279400"/>
    <xdr:sp macro="" textlink="">
      <xdr:nvSpPr>
        <xdr:cNvPr id="46" name="AutoShape 508" descr="note-add">
          <a:extLst>
            <a:ext uri="{FF2B5EF4-FFF2-40B4-BE49-F238E27FC236}">
              <a16:creationId xmlns:a16="http://schemas.microsoft.com/office/drawing/2014/main" id="{2F8A1148-5F07-1D42-AEA3-A0C2BE236109}"/>
            </a:ext>
          </a:extLst>
        </xdr:cNvPr>
        <xdr:cNvSpPr>
          <a:spLocks noChangeAspect="1" noChangeArrowheads="1"/>
        </xdr:cNvSpPr>
      </xdr:nvSpPr>
      <xdr:spPr bwMode="auto">
        <a:xfrm>
          <a:off x="28295600" y="1778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116</xdr:row>
      <xdr:rowOff>0</xdr:rowOff>
    </xdr:from>
    <xdr:ext cx="304800" cy="279400"/>
    <xdr:sp macro="" textlink="">
      <xdr:nvSpPr>
        <xdr:cNvPr id="47" name="AutoShape 509" descr="alert toggle">
          <a:extLst>
            <a:ext uri="{FF2B5EF4-FFF2-40B4-BE49-F238E27FC236}">
              <a16:creationId xmlns:a16="http://schemas.microsoft.com/office/drawing/2014/main" id="{21E4444D-6249-734C-B15D-FDAA0B66B962}"/>
            </a:ext>
          </a:extLst>
        </xdr:cNvPr>
        <xdr:cNvSpPr>
          <a:spLocks noChangeAspect="1" noChangeArrowheads="1"/>
        </xdr:cNvSpPr>
      </xdr:nvSpPr>
      <xdr:spPr bwMode="auto">
        <a:xfrm>
          <a:off x="28613100" y="177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116</xdr:row>
      <xdr:rowOff>0</xdr:rowOff>
    </xdr:from>
    <xdr:ext cx="317500" cy="279400"/>
    <xdr:sp macro="" textlink="">
      <xdr:nvSpPr>
        <xdr:cNvPr id="48" name="AutoShape 510" descr="note-add">
          <a:extLst>
            <a:ext uri="{FF2B5EF4-FFF2-40B4-BE49-F238E27FC236}">
              <a16:creationId xmlns:a16="http://schemas.microsoft.com/office/drawing/2014/main" id="{5764F37B-BD45-5248-93A1-092ACED20B18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1778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33</xdr:row>
      <xdr:rowOff>0</xdr:rowOff>
    </xdr:from>
    <xdr:ext cx="304800" cy="304800"/>
    <xdr:sp macro="" textlink="">
      <xdr:nvSpPr>
        <xdr:cNvPr id="49" name="AutoShape 580" descr="note-add">
          <a:extLst>
            <a:ext uri="{FF2B5EF4-FFF2-40B4-BE49-F238E27FC236}">
              <a16:creationId xmlns:a16="http://schemas.microsoft.com/office/drawing/2014/main" id="{A99E6CA6-0792-CF4F-B1C5-BE029360F266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33</xdr:row>
      <xdr:rowOff>0</xdr:rowOff>
    </xdr:from>
    <xdr:ext cx="304800" cy="304800"/>
    <xdr:sp macro="" textlink="">
      <xdr:nvSpPr>
        <xdr:cNvPr id="50" name="AutoShape 581" descr="alert toggle">
          <a:extLst>
            <a:ext uri="{FF2B5EF4-FFF2-40B4-BE49-F238E27FC236}">
              <a16:creationId xmlns:a16="http://schemas.microsoft.com/office/drawing/2014/main" id="{88477B0D-B047-ED49-8BC9-A7889F1E7DC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381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</xdr:row>
      <xdr:rowOff>0</xdr:rowOff>
    </xdr:from>
    <xdr:ext cx="304800" cy="304800"/>
    <xdr:sp macro="" textlink="">
      <xdr:nvSpPr>
        <xdr:cNvPr id="51" name="AutoShape 584" descr="note-add">
          <a:extLst>
            <a:ext uri="{FF2B5EF4-FFF2-40B4-BE49-F238E27FC236}">
              <a16:creationId xmlns:a16="http://schemas.microsoft.com/office/drawing/2014/main" id="{D1616364-C9D5-E741-9715-E63783957069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38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83</xdr:row>
      <xdr:rowOff>0</xdr:rowOff>
    </xdr:from>
    <xdr:ext cx="304800" cy="304800"/>
    <xdr:sp macro="" textlink="">
      <xdr:nvSpPr>
        <xdr:cNvPr id="52" name="AutoShape 585" descr="alert toggle">
          <a:extLst>
            <a:ext uri="{FF2B5EF4-FFF2-40B4-BE49-F238E27FC236}">
              <a16:creationId xmlns:a16="http://schemas.microsoft.com/office/drawing/2014/main" id="{A7125A37-F78F-AC4F-BAE6-17492190CFFD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38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87</xdr:row>
      <xdr:rowOff>0</xdr:rowOff>
    </xdr:from>
    <xdr:ext cx="304800" cy="304801"/>
    <xdr:sp macro="" textlink="">
      <xdr:nvSpPr>
        <xdr:cNvPr id="53" name="AutoShape 588" descr="note-add">
          <a:extLst>
            <a:ext uri="{FF2B5EF4-FFF2-40B4-BE49-F238E27FC236}">
              <a16:creationId xmlns:a16="http://schemas.microsoft.com/office/drawing/2014/main" id="{B111DCEC-9492-F54C-8C34-BF4CBA5B6FCC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38735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87</xdr:row>
      <xdr:rowOff>0</xdr:rowOff>
    </xdr:from>
    <xdr:ext cx="304800" cy="304801"/>
    <xdr:sp macro="" textlink="">
      <xdr:nvSpPr>
        <xdr:cNvPr id="54" name="AutoShape 589" descr="alert toggle">
          <a:extLst>
            <a:ext uri="{FF2B5EF4-FFF2-40B4-BE49-F238E27FC236}">
              <a16:creationId xmlns:a16="http://schemas.microsoft.com/office/drawing/2014/main" id="{11BE1DB1-EB70-C148-992D-9C2CFA159F3F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38735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92</xdr:row>
      <xdr:rowOff>0</xdr:rowOff>
    </xdr:from>
    <xdr:ext cx="304800" cy="304800"/>
    <xdr:sp macro="" textlink="">
      <xdr:nvSpPr>
        <xdr:cNvPr id="55" name="AutoShape 592" descr="note-add">
          <a:extLst>
            <a:ext uri="{FF2B5EF4-FFF2-40B4-BE49-F238E27FC236}">
              <a16:creationId xmlns:a16="http://schemas.microsoft.com/office/drawing/2014/main" id="{DEBD9BAD-402D-DF4E-AA35-5E096F142577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389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92</xdr:row>
      <xdr:rowOff>0</xdr:rowOff>
    </xdr:from>
    <xdr:ext cx="304800" cy="304800"/>
    <xdr:sp macro="" textlink="">
      <xdr:nvSpPr>
        <xdr:cNvPr id="56" name="AutoShape 593" descr="alert toggle">
          <a:extLst>
            <a:ext uri="{FF2B5EF4-FFF2-40B4-BE49-F238E27FC236}">
              <a16:creationId xmlns:a16="http://schemas.microsoft.com/office/drawing/2014/main" id="{F261FCEA-C73C-7546-85A8-E35175F238FA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389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114</xdr:row>
      <xdr:rowOff>0</xdr:rowOff>
    </xdr:from>
    <xdr:ext cx="304800" cy="304800"/>
    <xdr:sp macro="" textlink="">
      <xdr:nvSpPr>
        <xdr:cNvPr id="57" name="AutoShape 596" descr="note-add">
          <a:extLst>
            <a:ext uri="{FF2B5EF4-FFF2-40B4-BE49-F238E27FC236}">
              <a16:creationId xmlns:a16="http://schemas.microsoft.com/office/drawing/2014/main" id="{C9D40017-9183-014A-95BD-4AE47DEF418B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39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114</xdr:row>
      <xdr:rowOff>0</xdr:rowOff>
    </xdr:from>
    <xdr:ext cx="304800" cy="304800"/>
    <xdr:sp macro="" textlink="">
      <xdr:nvSpPr>
        <xdr:cNvPr id="58" name="AutoShape 597" descr="alert toggle">
          <a:extLst>
            <a:ext uri="{FF2B5EF4-FFF2-40B4-BE49-F238E27FC236}">
              <a16:creationId xmlns:a16="http://schemas.microsoft.com/office/drawing/2014/main" id="{C5ED08E0-0FBA-7F40-B5C6-1DFD955BE7AF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39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136</xdr:row>
      <xdr:rowOff>0</xdr:rowOff>
    </xdr:from>
    <xdr:ext cx="304800" cy="304801"/>
    <xdr:sp macro="" textlink="">
      <xdr:nvSpPr>
        <xdr:cNvPr id="59" name="AutoShape 600" descr="note-add">
          <a:extLst>
            <a:ext uri="{FF2B5EF4-FFF2-40B4-BE49-F238E27FC236}">
              <a16:creationId xmlns:a16="http://schemas.microsoft.com/office/drawing/2014/main" id="{CE7B2288-735C-0A45-B878-2A5F0AE1A89B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39598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136</xdr:row>
      <xdr:rowOff>0</xdr:rowOff>
    </xdr:from>
    <xdr:ext cx="304800" cy="304801"/>
    <xdr:sp macro="" textlink="">
      <xdr:nvSpPr>
        <xdr:cNvPr id="60" name="AutoShape 601" descr="alert toggle">
          <a:extLst>
            <a:ext uri="{FF2B5EF4-FFF2-40B4-BE49-F238E27FC236}">
              <a16:creationId xmlns:a16="http://schemas.microsoft.com/office/drawing/2014/main" id="{6C7E8F6C-3D20-FB42-8E6F-C3B723C3DC8F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39598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216</xdr:row>
      <xdr:rowOff>0</xdr:rowOff>
    </xdr:from>
    <xdr:ext cx="304800" cy="304800"/>
    <xdr:sp macro="" textlink="">
      <xdr:nvSpPr>
        <xdr:cNvPr id="61" name="AutoShape 604" descr="note-add">
          <a:extLst>
            <a:ext uri="{FF2B5EF4-FFF2-40B4-BE49-F238E27FC236}">
              <a16:creationId xmlns:a16="http://schemas.microsoft.com/office/drawing/2014/main" id="{0C74174E-CBEC-F540-ACA6-CEA568C7EC74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226</xdr:row>
      <xdr:rowOff>0</xdr:rowOff>
    </xdr:from>
    <xdr:ext cx="304800" cy="304801"/>
    <xdr:sp macro="" textlink="">
      <xdr:nvSpPr>
        <xdr:cNvPr id="62" name="AutoShape 608" descr="note-add">
          <a:extLst>
            <a:ext uri="{FF2B5EF4-FFF2-40B4-BE49-F238E27FC236}">
              <a16:creationId xmlns:a16="http://schemas.microsoft.com/office/drawing/2014/main" id="{473780F7-DE2E-B54B-9C60-6B2D22932C31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003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226</xdr:row>
      <xdr:rowOff>0</xdr:rowOff>
    </xdr:from>
    <xdr:ext cx="304800" cy="304801"/>
    <xdr:sp macro="" textlink="">
      <xdr:nvSpPr>
        <xdr:cNvPr id="63" name="AutoShape 609" descr="alert toggle">
          <a:extLst>
            <a:ext uri="{FF2B5EF4-FFF2-40B4-BE49-F238E27FC236}">
              <a16:creationId xmlns:a16="http://schemas.microsoft.com/office/drawing/2014/main" id="{1CBE4D4A-A967-F84E-88EC-B023CF6ADF33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003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235</xdr:row>
      <xdr:rowOff>0</xdr:rowOff>
    </xdr:from>
    <xdr:ext cx="304800" cy="304800"/>
    <xdr:sp macro="" textlink="">
      <xdr:nvSpPr>
        <xdr:cNvPr id="64" name="AutoShape 612" descr="note-add">
          <a:extLst>
            <a:ext uri="{FF2B5EF4-FFF2-40B4-BE49-F238E27FC236}">
              <a16:creationId xmlns:a16="http://schemas.microsoft.com/office/drawing/2014/main" id="{428A27BB-6EEB-1442-85F5-E61B3DF312B8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02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235</xdr:row>
      <xdr:rowOff>0</xdr:rowOff>
    </xdr:from>
    <xdr:ext cx="304800" cy="304800"/>
    <xdr:sp macro="" textlink="">
      <xdr:nvSpPr>
        <xdr:cNvPr id="65" name="AutoShape 613" descr="alert toggle">
          <a:extLst>
            <a:ext uri="{FF2B5EF4-FFF2-40B4-BE49-F238E27FC236}">
              <a16:creationId xmlns:a16="http://schemas.microsoft.com/office/drawing/2014/main" id="{0D560D71-39B4-0C4F-B9D5-682DA36A9E46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02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240</xdr:row>
      <xdr:rowOff>0</xdr:rowOff>
    </xdr:from>
    <xdr:ext cx="304800" cy="304800"/>
    <xdr:sp macro="" textlink="">
      <xdr:nvSpPr>
        <xdr:cNvPr id="66" name="AutoShape 616" descr="note-add">
          <a:extLst>
            <a:ext uri="{FF2B5EF4-FFF2-40B4-BE49-F238E27FC236}">
              <a16:creationId xmlns:a16="http://schemas.microsoft.com/office/drawing/2014/main" id="{230DFF08-A19E-0B45-A707-F094F1F8055F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04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240</xdr:row>
      <xdr:rowOff>0</xdr:rowOff>
    </xdr:from>
    <xdr:ext cx="304800" cy="304800"/>
    <xdr:sp macro="" textlink="">
      <xdr:nvSpPr>
        <xdr:cNvPr id="67" name="AutoShape 617" descr="alert toggle">
          <a:extLst>
            <a:ext uri="{FF2B5EF4-FFF2-40B4-BE49-F238E27FC236}">
              <a16:creationId xmlns:a16="http://schemas.microsoft.com/office/drawing/2014/main" id="{A6FFC7D3-B034-D74A-B074-253387CE1D7E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046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264</xdr:row>
      <xdr:rowOff>0</xdr:rowOff>
    </xdr:from>
    <xdr:ext cx="304800" cy="304800"/>
    <xdr:sp macro="" textlink="">
      <xdr:nvSpPr>
        <xdr:cNvPr id="68" name="AutoShape 620" descr="note-add">
          <a:extLst>
            <a:ext uri="{FF2B5EF4-FFF2-40B4-BE49-F238E27FC236}">
              <a16:creationId xmlns:a16="http://schemas.microsoft.com/office/drawing/2014/main" id="{42E1C916-BDFA-5841-AC70-38AB08303EB1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06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264</xdr:row>
      <xdr:rowOff>0</xdr:rowOff>
    </xdr:from>
    <xdr:ext cx="304800" cy="304800"/>
    <xdr:sp macro="" textlink="">
      <xdr:nvSpPr>
        <xdr:cNvPr id="69" name="AutoShape 621" descr="alert toggle">
          <a:extLst>
            <a:ext uri="{FF2B5EF4-FFF2-40B4-BE49-F238E27FC236}">
              <a16:creationId xmlns:a16="http://schemas.microsoft.com/office/drawing/2014/main" id="{81088CBB-6B8F-264B-B074-98ABF79C2CC0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06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338</xdr:row>
      <xdr:rowOff>0</xdr:rowOff>
    </xdr:from>
    <xdr:ext cx="304800" cy="304800"/>
    <xdr:sp macro="" textlink="">
      <xdr:nvSpPr>
        <xdr:cNvPr id="70" name="AutoShape 624" descr="note-add">
          <a:extLst>
            <a:ext uri="{FF2B5EF4-FFF2-40B4-BE49-F238E27FC236}">
              <a16:creationId xmlns:a16="http://schemas.microsoft.com/office/drawing/2014/main" id="{AA712428-9613-DB43-B97D-8309F3551EF5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338</xdr:row>
      <xdr:rowOff>0</xdr:rowOff>
    </xdr:from>
    <xdr:ext cx="304800" cy="304800"/>
    <xdr:sp macro="" textlink="">
      <xdr:nvSpPr>
        <xdr:cNvPr id="71" name="AutoShape 625" descr="alert toggle">
          <a:extLst>
            <a:ext uri="{FF2B5EF4-FFF2-40B4-BE49-F238E27FC236}">
              <a16:creationId xmlns:a16="http://schemas.microsoft.com/office/drawing/2014/main" id="{C3CF6ACD-35F6-584D-9DE5-E7402A3ED4CD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338</xdr:row>
      <xdr:rowOff>0</xdr:rowOff>
    </xdr:from>
    <xdr:ext cx="304800" cy="304800"/>
    <xdr:sp macro="" textlink="">
      <xdr:nvSpPr>
        <xdr:cNvPr id="72" name="AutoShape 628" descr="note-add">
          <a:extLst>
            <a:ext uri="{FF2B5EF4-FFF2-40B4-BE49-F238E27FC236}">
              <a16:creationId xmlns:a16="http://schemas.microsoft.com/office/drawing/2014/main" id="{50E137FF-D8AC-AD45-A615-A917DFD04D3B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338</xdr:row>
      <xdr:rowOff>0</xdr:rowOff>
    </xdr:from>
    <xdr:ext cx="304800" cy="304800"/>
    <xdr:sp macro="" textlink="">
      <xdr:nvSpPr>
        <xdr:cNvPr id="73" name="AutoShape 629" descr="alert toggle">
          <a:extLst>
            <a:ext uri="{FF2B5EF4-FFF2-40B4-BE49-F238E27FC236}">
              <a16:creationId xmlns:a16="http://schemas.microsoft.com/office/drawing/2014/main" id="{CA762B2D-67E7-8244-BD72-8CCC5B5E7035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11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362</xdr:row>
      <xdr:rowOff>0</xdr:rowOff>
    </xdr:from>
    <xdr:ext cx="304800" cy="304800"/>
    <xdr:sp macro="" textlink="">
      <xdr:nvSpPr>
        <xdr:cNvPr id="74" name="AutoShape 632" descr="note-add">
          <a:extLst>
            <a:ext uri="{FF2B5EF4-FFF2-40B4-BE49-F238E27FC236}">
              <a16:creationId xmlns:a16="http://schemas.microsoft.com/office/drawing/2014/main" id="{A64FC254-5329-6646-9961-23450E4677CD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13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362</xdr:row>
      <xdr:rowOff>0</xdr:rowOff>
    </xdr:from>
    <xdr:ext cx="304800" cy="304800"/>
    <xdr:sp macro="" textlink="">
      <xdr:nvSpPr>
        <xdr:cNvPr id="75" name="AutoShape 633" descr="alert toggle">
          <a:extLst>
            <a:ext uri="{FF2B5EF4-FFF2-40B4-BE49-F238E27FC236}">
              <a16:creationId xmlns:a16="http://schemas.microsoft.com/office/drawing/2014/main" id="{A95D14AC-D2A8-F148-843E-AAAF8C7DDEEF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13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396</xdr:row>
      <xdr:rowOff>0</xdr:rowOff>
    </xdr:from>
    <xdr:ext cx="304800" cy="304800"/>
    <xdr:sp macro="" textlink="">
      <xdr:nvSpPr>
        <xdr:cNvPr id="76" name="AutoShape 636" descr="note-add">
          <a:extLst>
            <a:ext uri="{FF2B5EF4-FFF2-40B4-BE49-F238E27FC236}">
              <a16:creationId xmlns:a16="http://schemas.microsoft.com/office/drawing/2014/main" id="{75EB4BFD-38AA-CB43-8B54-52B5B743EC2D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1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396</xdr:row>
      <xdr:rowOff>0</xdr:rowOff>
    </xdr:from>
    <xdr:ext cx="304800" cy="304800"/>
    <xdr:sp macro="" textlink="">
      <xdr:nvSpPr>
        <xdr:cNvPr id="77" name="AutoShape 637" descr="alert toggle">
          <a:extLst>
            <a:ext uri="{FF2B5EF4-FFF2-40B4-BE49-F238E27FC236}">
              <a16:creationId xmlns:a16="http://schemas.microsoft.com/office/drawing/2014/main" id="{CB3602C8-7394-3C4B-840C-20B083491089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1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400</xdr:row>
      <xdr:rowOff>0</xdr:rowOff>
    </xdr:from>
    <xdr:ext cx="304800" cy="304799"/>
    <xdr:sp macro="" textlink="">
      <xdr:nvSpPr>
        <xdr:cNvPr id="78" name="AutoShape 640" descr="note-add">
          <a:extLst>
            <a:ext uri="{FF2B5EF4-FFF2-40B4-BE49-F238E27FC236}">
              <a16:creationId xmlns:a16="http://schemas.microsoft.com/office/drawing/2014/main" id="{2C5E3039-432E-2F42-8A12-2BEEB063929E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41757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400</xdr:row>
      <xdr:rowOff>0</xdr:rowOff>
    </xdr:from>
    <xdr:ext cx="304800" cy="304799"/>
    <xdr:sp macro="" textlink="">
      <xdr:nvSpPr>
        <xdr:cNvPr id="79" name="AutoShape 641" descr="alert toggle">
          <a:extLst>
            <a:ext uri="{FF2B5EF4-FFF2-40B4-BE49-F238E27FC236}">
              <a16:creationId xmlns:a16="http://schemas.microsoft.com/office/drawing/2014/main" id="{FC7BD949-6E04-D84A-9C43-AF746B95F7E7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41757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307</xdr:row>
      <xdr:rowOff>0</xdr:rowOff>
    </xdr:from>
    <xdr:ext cx="304800" cy="304801"/>
    <xdr:sp macro="" textlink="">
      <xdr:nvSpPr>
        <xdr:cNvPr id="80" name="AutoShape 644" descr="note-add">
          <a:extLst>
            <a:ext uri="{FF2B5EF4-FFF2-40B4-BE49-F238E27FC236}">
              <a16:creationId xmlns:a16="http://schemas.microsoft.com/office/drawing/2014/main" id="{FAF3B02E-6CBC-B845-969C-8F188DB2EC46}"/>
            </a:ext>
          </a:extLst>
        </xdr:cNvPr>
        <xdr:cNvSpPr>
          <a:spLocks noChangeAspect="1" noChangeArrowheads="1"/>
        </xdr:cNvSpPr>
      </xdr:nvSpPr>
      <xdr:spPr bwMode="auto">
        <a:xfrm>
          <a:off x="28295600" y="4390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307</xdr:row>
      <xdr:rowOff>0</xdr:rowOff>
    </xdr:from>
    <xdr:ext cx="304800" cy="304801"/>
    <xdr:sp macro="" textlink="">
      <xdr:nvSpPr>
        <xdr:cNvPr id="81" name="AutoShape 645" descr="alert toggle">
          <a:extLst>
            <a:ext uri="{FF2B5EF4-FFF2-40B4-BE49-F238E27FC236}">
              <a16:creationId xmlns:a16="http://schemas.microsoft.com/office/drawing/2014/main" id="{962C4668-8F6F-3140-9CE6-A2581A6B4507}"/>
            </a:ext>
          </a:extLst>
        </xdr:cNvPr>
        <xdr:cNvSpPr>
          <a:spLocks noChangeAspect="1" noChangeArrowheads="1"/>
        </xdr:cNvSpPr>
      </xdr:nvSpPr>
      <xdr:spPr bwMode="auto">
        <a:xfrm>
          <a:off x="28613100" y="4390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04799"/>
    <xdr:sp macro="" textlink="">
      <xdr:nvSpPr>
        <xdr:cNvPr id="82" name="AutoShape 646" descr="note-add">
          <a:extLst>
            <a:ext uri="{FF2B5EF4-FFF2-40B4-BE49-F238E27FC236}">
              <a16:creationId xmlns:a16="http://schemas.microsoft.com/office/drawing/2014/main" id="{55FED7D0-DFFD-624E-A8E6-2F951AEAA795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5461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</xdr:row>
      <xdr:rowOff>0</xdr:rowOff>
    </xdr:from>
    <xdr:ext cx="304800" cy="304799"/>
    <xdr:sp macro="" textlink="">
      <xdr:nvSpPr>
        <xdr:cNvPr id="83" name="AutoShape 647" descr="alert toggle">
          <a:extLst>
            <a:ext uri="{FF2B5EF4-FFF2-40B4-BE49-F238E27FC236}">
              <a16:creationId xmlns:a16="http://schemas.microsoft.com/office/drawing/2014/main" id="{3FE9846A-16AA-404D-916C-C8BC524EEC90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5461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82</xdr:row>
      <xdr:rowOff>0</xdr:rowOff>
    </xdr:from>
    <xdr:ext cx="304800" cy="304800"/>
    <xdr:sp macro="" textlink="">
      <xdr:nvSpPr>
        <xdr:cNvPr id="84" name="AutoShape 650" descr="note-add">
          <a:extLst>
            <a:ext uri="{FF2B5EF4-FFF2-40B4-BE49-F238E27FC236}">
              <a16:creationId xmlns:a16="http://schemas.microsoft.com/office/drawing/2014/main" id="{43F135F8-0939-F54D-968E-23D2845F5320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48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82</xdr:row>
      <xdr:rowOff>0</xdr:rowOff>
    </xdr:from>
    <xdr:ext cx="304800" cy="304800"/>
    <xdr:sp macro="" textlink="">
      <xdr:nvSpPr>
        <xdr:cNvPr id="85" name="AutoShape 651" descr="alert toggle">
          <a:extLst>
            <a:ext uri="{FF2B5EF4-FFF2-40B4-BE49-F238E27FC236}">
              <a16:creationId xmlns:a16="http://schemas.microsoft.com/office/drawing/2014/main" id="{18144E2A-4E81-7845-94D5-8B7D7E3F0DA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48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86</xdr:row>
      <xdr:rowOff>0</xdr:rowOff>
    </xdr:from>
    <xdr:ext cx="304800" cy="304799"/>
    <xdr:sp macro="" textlink="">
      <xdr:nvSpPr>
        <xdr:cNvPr id="86" name="AutoShape 654" descr="note-add">
          <a:extLst>
            <a:ext uri="{FF2B5EF4-FFF2-40B4-BE49-F238E27FC236}">
              <a16:creationId xmlns:a16="http://schemas.microsoft.com/office/drawing/2014/main" id="{7719CB07-F1DD-4848-AFE4-B83EB3163F07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5041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86</xdr:row>
      <xdr:rowOff>0</xdr:rowOff>
    </xdr:from>
    <xdr:ext cx="304800" cy="304799"/>
    <xdr:sp macro="" textlink="">
      <xdr:nvSpPr>
        <xdr:cNvPr id="87" name="AutoShape 655" descr="alert toggle">
          <a:extLst>
            <a:ext uri="{FF2B5EF4-FFF2-40B4-BE49-F238E27FC236}">
              <a16:creationId xmlns:a16="http://schemas.microsoft.com/office/drawing/2014/main" id="{E998BE91-6C3D-5D41-A7F6-25DA179852F0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5041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107</xdr:row>
      <xdr:rowOff>0</xdr:rowOff>
    </xdr:from>
    <xdr:ext cx="304800" cy="304799"/>
    <xdr:sp macro="" textlink="">
      <xdr:nvSpPr>
        <xdr:cNvPr id="88" name="AutoShape 658" descr="note-add">
          <a:extLst>
            <a:ext uri="{FF2B5EF4-FFF2-40B4-BE49-F238E27FC236}">
              <a16:creationId xmlns:a16="http://schemas.microsoft.com/office/drawing/2014/main" id="{79BB246B-3123-A242-AE2A-560F630D99EC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547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107</xdr:row>
      <xdr:rowOff>0</xdr:rowOff>
    </xdr:from>
    <xdr:ext cx="304800" cy="304799"/>
    <xdr:sp macro="" textlink="">
      <xdr:nvSpPr>
        <xdr:cNvPr id="89" name="AutoShape 659" descr="alert toggle">
          <a:extLst>
            <a:ext uri="{FF2B5EF4-FFF2-40B4-BE49-F238E27FC236}">
              <a16:creationId xmlns:a16="http://schemas.microsoft.com/office/drawing/2014/main" id="{D88B392C-7D4F-1A49-8A58-787C062AB19C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547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113</xdr:row>
      <xdr:rowOff>0</xdr:rowOff>
    </xdr:from>
    <xdr:ext cx="304800" cy="304800"/>
    <xdr:sp macro="" textlink="">
      <xdr:nvSpPr>
        <xdr:cNvPr id="90" name="AutoShape 662" descr="note-add">
          <a:extLst>
            <a:ext uri="{FF2B5EF4-FFF2-40B4-BE49-F238E27FC236}">
              <a16:creationId xmlns:a16="http://schemas.microsoft.com/office/drawing/2014/main" id="{7845A2FE-B8F7-C748-A2D5-7F7BC0127E9D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56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113</xdr:row>
      <xdr:rowOff>0</xdr:rowOff>
    </xdr:from>
    <xdr:ext cx="304800" cy="304800"/>
    <xdr:sp macro="" textlink="">
      <xdr:nvSpPr>
        <xdr:cNvPr id="91" name="AutoShape 663" descr="alert toggle">
          <a:extLst>
            <a:ext uri="{FF2B5EF4-FFF2-40B4-BE49-F238E27FC236}">
              <a16:creationId xmlns:a16="http://schemas.microsoft.com/office/drawing/2014/main" id="{A33968CE-69D9-FF42-8A18-5590BD26E8D9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56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135</xdr:row>
      <xdr:rowOff>0</xdr:rowOff>
    </xdr:from>
    <xdr:ext cx="304800" cy="304801"/>
    <xdr:sp macro="" textlink="">
      <xdr:nvSpPr>
        <xdr:cNvPr id="92" name="AutoShape 666" descr="note-add">
          <a:extLst>
            <a:ext uri="{FF2B5EF4-FFF2-40B4-BE49-F238E27FC236}">
              <a16:creationId xmlns:a16="http://schemas.microsoft.com/office/drawing/2014/main" id="{49224B34-4A3D-F04C-B72D-0B778784CC0B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590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135</xdr:row>
      <xdr:rowOff>0</xdr:rowOff>
    </xdr:from>
    <xdr:ext cx="304800" cy="304801"/>
    <xdr:sp macro="" textlink="">
      <xdr:nvSpPr>
        <xdr:cNvPr id="93" name="AutoShape 667" descr="alert toggle">
          <a:extLst>
            <a:ext uri="{FF2B5EF4-FFF2-40B4-BE49-F238E27FC236}">
              <a16:creationId xmlns:a16="http://schemas.microsoft.com/office/drawing/2014/main" id="{D98319B9-ED20-2947-86B1-C48F0F756998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590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215</xdr:row>
      <xdr:rowOff>0</xdr:rowOff>
    </xdr:from>
    <xdr:ext cx="304800" cy="304801"/>
    <xdr:sp macro="" textlink="">
      <xdr:nvSpPr>
        <xdr:cNvPr id="94" name="AutoShape 670" descr="note-add">
          <a:extLst>
            <a:ext uri="{FF2B5EF4-FFF2-40B4-BE49-F238E27FC236}">
              <a16:creationId xmlns:a16="http://schemas.microsoft.com/office/drawing/2014/main" id="{0DB4EBB7-FE27-8E4B-9896-95929EF30A53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633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215</xdr:row>
      <xdr:rowOff>0</xdr:rowOff>
    </xdr:from>
    <xdr:ext cx="304800" cy="304801"/>
    <xdr:sp macro="" textlink="">
      <xdr:nvSpPr>
        <xdr:cNvPr id="95" name="AutoShape 674" descr="note-add">
          <a:extLst>
            <a:ext uri="{FF2B5EF4-FFF2-40B4-BE49-F238E27FC236}">
              <a16:creationId xmlns:a16="http://schemas.microsoft.com/office/drawing/2014/main" id="{EC5A6514-B580-5B4C-A022-D25666C16BF1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633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215</xdr:row>
      <xdr:rowOff>0</xdr:rowOff>
    </xdr:from>
    <xdr:ext cx="304800" cy="304799"/>
    <xdr:sp macro="" textlink="">
      <xdr:nvSpPr>
        <xdr:cNvPr id="96" name="AutoShape 678" descr="note-add">
          <a:extLst>
            <a:ext uri="{FF2B5EF4-FFF2-40B4-BE49-F238E27FC236}">
              <a16:creationId xmlns:a16="http://schemas.microsoft.com/office/drawing/2014/main" id="{6E48072B-A5C2-FB4E-B9D1-DD280CD8D280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6337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225</xdr:row>
      <xdr:rowOff>0</xdr:rowOff>
    </xdr:from>
    <xdr:ext cx="304800" cy="304800"/>
    <xdr:sp macro="" textlink="">
      <xdr:nvSpPr>
        <xdr:cNvPr id="97" name="AutoShape 682" descr="note-add">
          <a:extLst>
            <a:ext uri="{FF2B5EF4-FFF2-40B4-BE49-F238E27FC236}">
              <a16:creationId xmlns:a16="http://schemas.microsoft.com/office/drawing/2014/main" id="{08BF1D40-6790-904F-BE34-45601A15A400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65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225</xdr:row>
      <xdr:rowOff>0</xdr:rowOff>
    </xdr:from>
    <xdr:ext cx="304800" cy="304800"/>
    <xdr:sp macro="" textlink="">
      <xdr:nvSpPr>
        <xdr:cNvPr id="98" name="AutoShape 683" descr="alert toggle">
          <a:extLst>
            <a:ext uri="{FF2B5EF4-FFF2-40B4-BE49-F238E27FC236}">
              <a16:creationId xmlns:a16="http://schemas.microsoft.com/office/drawing/2014/main" id="{CA2BF7D6-B268-CE4B-891D-3ACB5DCAB769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65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234</xdr:row>
      <xdr:rowOff>0</xdr:rowOff>
    </xdr:from>
    <xdr:ext cx="304800" cy="304799"/>
    <xdr:sp macro="" textlink="">
      <xdr:nvSpPr>
        <xdr:cNvPr id="99" name="AutoShape 686" descr="note-add">
          <a:extLst>
            <a:ext uri="{FF2B5EF4-FFF2-40B4-BE49-F238E27FC236}">
              <a16:creationId xmlns:a16="http://schemas.microsoft.com/office/drawing/2014/main" id="{4A4FD5F1-860B-6744-B028-808420F6AFC6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6769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234</xdr:row>
      <xdr:rowOff>0</xdr:rowOff>
    </xdr:from>
    <xdr:ext cx="304800" cy="304799"/>
    <xdr:sp macro="" textlink="">
      <xdr:nvSpPr>
        <xdr:cNvPr id="100" name="AutoShape 687" descr="alert toggle">
          <a:extLst>
            <a:ext uri="{FF2B5EF4-FFF2-40B4-BE49-F238E27FC236}">
              <a16:creationId xmlns:a16="http://schemas.microsoft.com/office/drawing/2014/main" id="{C17068B0-1D92-2648-9922-E8F48980BCC2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6769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239</xdr:row>
      <xdr:rowOff>0</xdr:rowOff>
    </xdr:from>
    <xdr:ext cx="304800" cy="304800"/>
    <xdr:sp macro="" textlink="">
      <xdr:nvSpPr>
        <xdr:cNvPr id="101" name="AutoShape 691" descr="alert toggle">
          <a:extLst>
            <a:ext uri="{FF2B5EF4-FFF2-40B4-BE49-F238E27FC236}">
              <a16:creationId xmlns:a16="http://schemas.microsoft.com/office/drawing/2014/main" id="{FE9521B9-7C9E-E04C-94D1-14D678D006A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69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263</xdr:row>
      <xdr:rowOff>0</xdr:rowOff>
    </xdr:from>
    <xdr:ext cx="304800" cy="304799"/>
    <xdr:sp macro="" textlink="">
      <xdr:nvSpPr>
        <xdr:cNvPr id="102" name="AutoShape 694" descr="note-add">
          <a:extLst>
            <a:ext uri="{FF2B5EF4-FFF2-40B4-BE49-F238E27FC236}">
              <a16:creationId xmlns:a16="http://schemas.microsoft.com/office/drawing/2014/main" id="{C8396C7E-4DE8-9647-AB7C-F5BA28CAA03E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263</xdr:row>
      <xdr:rowOff>0</xdr:rowOff>
    </xdr:from>
    <xdr:ext cx="304800" cy="304799"/>
    <xdr:sp macro="" textlink="">
      <xdr:nvSpPr>
        <xdr:cNvPr id="103" name="AutoShape 695" descr="alert toggle">
          <a:extLst>
            <a:ext uri="{FF2B5EF4-FFF2-40B4-BE49-F238E27FC236}">
              <a16:creationId xmlns:a16="http://schemas.microsoft.com/office/drawing/2014/main" id="{439408D1-CD46-CE43-8169-7B7F35DD6616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263</xdr:row>
      <xdr:rowOff>0</xdr:rowOff>
    </xdr:from>
    <xdr:ext cx="304800" cy="304799"/>
    <xdr:sp macro="" textlink="">
      <xdr:nvSpPr>
        <xdr:cNvPr id="104" name="AutoShape 698" descr="note-add">
          <a:extLst>
            <a:ext uri="{FF2B5EF4-FFF2-40B4-BE49-F238E27FC236}">
              <a16:creationId xmlns:a16="http://schemas.microsoft.com/office/drawing/2014/main" id="{1E4AB43E-90FF-2144-9BDA-E64EDEA7BAAE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263</xdr:row>
      <xdr:rowOff>0</xdr:rowOff>
    </xdr:from>
    <xdr:ext cx="304800" cy="304799"/>
    <xdr:sp macro="" textlink="">
      <xdr:nvSpPr>
        <xdr:cNvPr id="105" name="AutoShape 699" descr="alert toggle">
          <a:extLst>
            <a:ext uri="{FF2B5EF4-FFF2-40B4-BE49-F238E27FC236}">
              <a16:creationId xmlns:a16="http://schemas.microsoft.com/office/drawing/2014/main" id="{725AD383-86C9-EF46-9CCA-8E841AA7822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337</xdr:row>
      <xdr:rowOff>0</xdr:rowOff>
    </xdr:from>
    <xdr:ext cx="304800" cy="304799"/>
    <xdr:sp macro="" textlink="">
      <xdr:nvSpPr>
        <xdr:cNvPr id="106" name="AutoShape 702" descr="note-add">
          <a:extLst>
            <a:ext uri="{FF2B5EF4-FFF2-40B4-BE49-F238E27FC236}">
              <a16:creationId xmlns:a16="http://schemas.microsoft.com/office/drawing/2014/main" id="{C8ED0402-31C6-3C40-A9BC-4062E2227FD7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741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337</xdr:row>
      <xdr:rowOff>0</xdr:rowOff>
    </xdr:from>
    <xdr:ext cx="304800" cy="304799"/>
    <xdr:sp macro="" textlink="">
      <xdr:nvSpPr>
        <xdr:cNvPr id="107" name="AutoShape 703" descr="alert toggle">
          <a:extLst>
            <a:ext uri="{FF2B5EF4-FFF2-40B4-BE49-F238E27FC236}">
              <a16:creationId xmlns:a16="http://schemas.microsoft.com/office/drawing/2014/main" id="{8939A07C-4A6D-0142-801A-64C41B963812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741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361</xdr:row>
      <xdr:rowOff>0</xdr:rowOff>
    </xdr:from>
    <xdr:ext cx="304800" cy="304799"/>
    <xdr:sp macro="" textlink="">
      <xdr:nvSpPr>
        <xdr:cNvPr id="108" name="AutoShape 706" descr="note-add">
          <a:extLst>
            <a:ext uri="{FF2B5EF4-FFF2-40B4-BE49-F238E27FC236}">
              <a16:creationId xmlns:a16="http://schemas.microsoft.com/office/drawing/2014/main" id="{0CEF54D3-BE87-9B44-874F-FDF45E644B28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7632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361</xdr:row>
      <xdr:rowOff>0</xdr:rowOff>
    </xdr:from>
    <xdr:ext cx="304800" cy="304799"/>
    <xdr:sp macro="" textlink="">
      <xdr:nvSpPr>
        <xdr:cNvPr id="109" name="AutoShape 707" descr="alert toggle">
          <a:extLst>
            <a:ext uri="{FF2B5EF4-FFF2-40B4-BE49-F238E27FC236}">
              <a16:creationId xmlns:a16="http://schemas.microsoft.com/office/drawing/2014/main" id="{4ED36B76-0A01-B342-A433-A3A4F60AE909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7632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395</xdr:row>
      <xdr:rowOff>0</xdr:rowOff>
    </xdr:from>
    <xdr:ext cx="304800" cy="304800"/>
    <xdr:sp macro="" textlink="">
      <xdr:nvSpPr>
        <xdr:cNvPr id="110" name="AutoShape 710" descr="note-add">
          <a:extLst>
            <a:ext uri="{FF2B5EF4-FFF2-40B4-BE49-F238E27FC236}">
              <a16:creationId xmlns:a16="http://schemas.microsoft.com/office/drawing/2014/main" id="{78797B9C-E9DE-434C-AC56-A03B860A737F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578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395</xdr:row>
      <xdr:rowOff>0</xdr:rowOff>
    </xdr:from>
    <xdr:ext cx="304800" cy="304800"/>
    <xdr:sp macro="" textlink="">
      <xdr:nvSpPr>
        <xdr:cNvPr id="111" name="AutoShape 711" descr="alert toggle">
          <a:extLst>
            <a:ext uri="{FF2B5EF4-FFF2-40B4-BE49-F238E27FC236}">
              <a16:creationId xmlns:a16="http://schemas.microsoft.com/office/drawing/2014/main" id="{33E49D65-323D-1843-A9B8-FFA4240D107B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578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799"/>
    <xdr:sp macro="" textlink="">
      <xdr:nvSpPr>
        <xdr:cNvPr id="112" name="AutoShape 979" descr="note-add">
          <a:extLst>
            <a:ext uri="{FF2B5EF4-FFF2-40B4-BE49-F238E27FC236}">
              <a16:creationId xmlns:a16="http://schemas.microsoft.com/office/drawing/2014/main" id="{5C458FD5-E3E8-1641-B276-FECB563F367C}"/>
            </a:ext>
          </a:extLst>
        </xdr:cNvPr>
        <xdr:cNvSpPr>
          <a:spLocks noChangeAspect="1" noChangeArrowheads="1"/>
        </xdr:cNvSpPr>
      </xdr:nvSpPr>
      <xdr:spPr bwMode="auto">
        <a:xfrm>
          <a:off x="25450800" y="5461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32</xdr:row>
      <xdr:rowOff>0</xdr:rowOff>
    </xdr:from>
    <xdr:ext cx="304800" cy="304799"/>
    <xdr:sp macro="" textlink="">
      <xdr:nvSpPr>
        <xdr:cNvPr id="113" name="AutoShape 980" descr="alert toggle">
          <a:extLst>
            <a:ext uri="{FF2B5EF4-FFF2-40B4-BE49-F238E27FC236}">
              <a16:creationId xmlns:a16="http://schemas.microsoft.com/office/drawing/2014/main" id="{866C28DC-D2B8-D64D-BD66-54F21F317C19}"/>
            </a:ext>
          </a:extLst>
        </xdr:cNvPr>
        <xdr:cNvSpPr>
          <a:spLocks noChangeAspect="1" noChangeArrowheads="1"/>
        </xdr:cNvSpPr>
      </xdr:nvSpPr>
      <xdr:spPr bwMode="auto">
        <a:xfrm>
          <a:off x="25768300" y="54610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82</xdr:row>
      <xdr:rowOff>0</xdr:rowOff>
    </xdr:from>
    <xdr:ext cx="304800" cy="304800"/>
    <xdr:sp macro="" textlink="">
      <xdr:nvSpPr>
        <xdr:cNvPr id="114" name="AutoShape 983" descr="note-add">
          <a:extLst>
            <a:ext uri="{FF2B5EF4-FFF2-40B4-BE49-F238E27FC236}">
              <a16:creationId xmlns:a16="http://schemas.microsoft.com/office/drawing/2014/main" id="{5AA033BE-062D-DC41-B256-FDAAD5C933BA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48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82</xdr:row>
      <xdr:rowOff>0</xdr:rowOff>
    </xdr:from>
    <xdr:ext cx="304800" cy="304800"/>
    <xdr:sp macro="" textlink="">
      <xdr:nvSpPr>
        <xdr:cNvPr id="115" name="AutoShape 984" descr="alert toggle">
          <a:extLst>
            <a:ext uri="{FF2B5EF4-FFF2-40B4-BE49-F238E27FC236}">
              <a16:creationId xmlns:a16="http://schemas.microsoft.com/office/drawing/2014/main" id="{C94523DF-4508-B242-9432-11B3ABA294F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48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86</xdr:row>
      <xdr:rowOff>0</xdr:rowOff>
    </xdr:from>
    <xdr:ext cx="304800" cy="304799"/>
    <xdr:sp macro="" textlink="">
      <xdr:nvSpPr>
        <xdr:cNvPr id="116" name="AutoShape 987" descr="note-add">
          <a:extLst>
            <a:ext uri="{FF2B5EF4-FFF2-40B4-BE49-F238E27FC236}">
              <a16:creationId xmlns:a16="http://schemas.microsoft.com/office/drawing/2014/main" id="{469EE07F-BA8F-E04A-9D8A-6F9D41B47E2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5041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86</xdr:row>
      <xdr:rowOff>0</xdr:rowOff>
    </xdr:from>
    <xdr:ext cx="304800" cy="304799"/>
    <xdr:sp macro="" textlink="">
      <xdr:nvSpPr>
        <xdr:cNvPr id="117" name="AutoShape 988" descr="alert toggle">
          <a:extLst>
            <a:ext uri="{FF2B5EF4-FFF2-40B4-BE49-F238E27FC236}">
              <a16:creationId xmlns:a16="http://schemas.microsoft.com/office/drawing/2014/main" id="{34393F92-DF19-C14E-9A30-41D123B12C6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5041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107</xdr:row>
      <xdr:rowOff>0</xdr:rowOff>
    </xdr:from>
    <xdr:ext cx="304800" cy="304799"/>
    <xdr:sp macro="" textlink="">
      <xdr:nvSpPr>
        <xdr:cNvPr id="118" name="AutoShape 991" descr="note-add">
          <a:extLst>
            <a:ext uri="{FF2B5EF4-FFF2-40B4-BE49-F238E27FC236}">
              <a16:creationId xmlns:a16="http://schemas.microsoft.com/office/drawing/2014/main" id="{D80DA63A-92F7-D042-B584-7E81E0D662D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547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107</xdr:row>
      <xdr:rowOff>0</xdr:rowOff>
    </xdr:from>
    <xdr:ext cx="304800" cy="304799"/>
    <xdr:sp macro="" textlink="">
      <xdr:nvSpPr>
        <xdr:cNvPr id="119" name="AutoShape 992" descr="alert toggle">
          <a:extLst>
            <a:ext uri="{FF2B5EF4-FFF2-40B4-BE49-F238E27FC236}">
              <a16:creationId xmlns:a16="http://schemas.microsoft.com/office/drawing/2014/main" id="{A97A055B-DB81-B146-852F-F17CB6E33AB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547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113</xdr:row>
      <xdr:rowOff>0</xdr:rowOff>
    </xdr:from>
    <xdr:ext cx="304800" cy="304800"/>
    <xdr:sp macro="" textlink="">
      <xdr:nvSpPr>
        <xdr:cNvPr id="120" name="AutoShape 995" descr="note-add">
          <a:extLst>
            <a:ext uri="{FF2B5EF4-FFF2-40B4-BE49-F238E27FC236}">
              <a16:creationId xmlns:a16="http://schemas.microsoft.com/office/drawing/2014/main" id="{8D19AB2D-E2BD-EB4B-9E64-5024F755D146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56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113</xdr:row>
      <xdr:rowOff>0</xdr:rowOff>
    </xdr:from>
    <xdr:ext cx="304800" cy="304800"/>
    <xdr:sp macro="" textlink="">
      <xdr:nvSpPr>
        <xdr:cNvPr id="121" name="AutoShape 996" descr="alert toggle">
          <a:extLst>
            <a:ext uri="{FF2B5EF4-FFF2-40B4-BE49-F238E27FC236}">
              <a16:creationId xmlns:a16="http://schemas.microsoft.com/office/drawing/2014/main" id="{D1D20AF1-9E1B-E240-A02C-FC97B432F0B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56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135</xdr:row>
      <xdr:rowOff>0</xdr:rowOff>
    </xdr:from>
    <xdr:ext cx="304800" cy="304801"/>
    <xdr:sp macro="" textlink="">
      <xdr:nvSpPr>
        <xdr:cNvPr id="122" name="AutoShape 999" descr="note-add">
          <a:extLst>
            <a:ext uri="{FF2B5EF4-FFF2-40B4-BE49-F238E27FC236}">
              <a16:creationId xmlns:a16="http://schemas.microsoft.com/office/drawing/2014/main" id="{B23354E0-025B-3C47-9204-4EECE5F3371E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590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135</xdr:row>
      <xdr:rowOff>0</xdr:rowOff>
    </xdr:from>
    <xdr:ext cx="304800" cy="304801"/>
    <xdr:sp macro="" textlink="">
      <xdr:nvSpPr>
        <xdr:cNvPr id="123" name="AutoShape 1000" descr="alert toggle">
          <a:extLst>
            <a:ext uri="{FF2B5EF4-FFF2-40B4-BE49-F238E27FC236}">
              <a16:creationId xmlns:a16="http://schemas.microsoft.com/office/drawing/2014/main" id="{F6CB681B-C6A8-D045-8FB0-65F911169AF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590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215</xdr:row>
      <xdr:rowOff>0</xdr:rowOff>
    </xdr:from>
    <xdr:ext cx="304800" cy="304801"/>
    <xdr:sp macro="" textlink="">
      <xdr:nvSpPr>
        <xdr:cNvPr id="124" name="AutoShape 1003" descr="note-add">
          <a:extLst>
            <a:ext uri="{FF2B5EF4-FFF2-40B4-BE49-F238E27FC236}">
              <a16:creationId xmlns:a16="http://schemas.microsoft.com/office/drawing/2014/main" id="{D0887EA5-C3CA-DE44-B191-75FFADC939D3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633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215</xdr:row>
      <xdr:rowOff>0</xdr:rowOff>
    </xdr:from>
    <xdr:ext cx="304800" cy="304801"/>
    <xdr:sp macro="" textlink="">
      <xdr:nvSpPr>
        <xdr:cNvPr id="125" name="AutoShape 1004" descr="alert toggle">
          <a:extLst>
            <a:ext uri="{FF2B5EF4-FFF2-40B4-BE49-F238E27FC236}">
              <a16:creationId xmlns:a16="http://schemas.microsoft.com/office/drawing/2014/main" id="{5AC1E018-F16E-284D-AC56-69D8D897CB5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633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215</xdr:row>
      <xdr:rowOff>0</xdr:rowOff>
    </xdr:from>
    <xdr:ext cx="304800" cy="304801"/>
    <xdr:sp macro="" textlink="">
      <xdr:nvSpPr>
        <xdr:cNvPr id="126" name="AutoShape 1007" descr="note-add">
          <a:extLst>
            <a:ext uri="{FF2B5EF4-FFF2-40B4-BE49-F238E27FC236}">
              <a16:creationId xmlns:a16="http://schemas.microsoft.com/office/drawing/2014/main" id="{5D8B2440-EE8E-6045-8410-47D34706769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633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215</xdr:row>
      <xdr:rowOff>0</xdr:rowOff>
    </xdr:from>
    <xdr:ext cx="304800" cy="304801"/>
    <xdr:sp macro="" textlink="">
      <xdr:nvSpPr>
        <xdr:cNvPr id="127" name="AutoShape 1008" descr="alert toggle">
          <a:extLst>
            <a:ext uri="{FF2B5EF4-FFF2-40B4-BE49-F238E27FC236}">
              <a16:creationId xmlns:a16="http://schemas.microsoft.com/office/drawing/2014/main" id="{F90E8103-5096-4141-BBDE-0B7F7EC5504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633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215</xdr:row>
      <xdr:rowOff>0</xdr:rowOff>
    </xdr:from>
    <xdr:ext cx="304800" cy="304799"/>
    <xdr:sp macro="" textlink="">
      <xdr:nvSpPr>
        <xdr:cNvPr id="128" name="AutoShape 1011" descr="note-add">
          <a:extLst>
            <a:ext uri="{FF2B5EF4-FFF2-40B4-BE49-F238E27FC236}">
              <a16:creationId xmlns:a16="http://schemas.microsoft.com/office/drawing/2014/main" id="{3C67F1CB-9C60-8C4A-B7FB-FB97C1B11F15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6337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215</xdr:row>
      <xdr:rowOff>0</xdr:rowOff>
    </xdr:from>
    <xdr:ext cx="304800" cy="304799"/>
    <xdr:sp macro="" textlink="">
      <xdr:nvSpPr>
        <xdr:cNvPr id="129" name="AutoShape 1012" descr="alert toggle">
          <a:extLst>
            <a:ext uri="{FF2B5EF4-FFF2-40B4-BE49-F238E27FC236}">
              <a16:creationId xmlns:a16="http://schemas.microsoft.com/office/drawing/2014/main" id="{BFDF953D-E80E-974C-B7C0-907E89D7162A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6337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225</xdr:row>
      <xdr:rowOff>0</xdr:rowOff>
    </xdr:from>
    <xdr:ext cx="304800" cy="304800"/>
    <xdr:sp macro="" textlink="">
      <xdr:nvSpPr>
        <xdr:cNvPr id="130" name="AutoShape 1015" descr="note-add">
          <a:extLst>
            <a:ext uri="{FF2B5EF4-FFF2-40B4-BE49-F238E27FC236}">
              <a16:creationId xmlns:a16="http://schemas.microsoft.com/office/drawing/2014/main" id="{905D0F97-CE91-4941-81D8-2E9FCAB746AA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65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225</xdr:row>
      <xdr:rowOff>0</xdr:rowOff>
    </xdr:from>
    <xdr:ext cx="304800" cy="304800"/>
    <xdr:sp macro="" textlink="">
      <xdr:nvSpPr>
        <xdr:cNvPr id="131" name="AutoShape 1016" descr="alert toggle">
          <a:extLst>
            <a:ext uri="{FF2B5EF4-FFF2-40B4-BE49-F238E27FC236}">
              <a16:creationId xmlns:a16="http://schemas.microsoft.com/office/drawing/2014/main" id="{DDA38BF4-C340-AE4B-85F1-DF6030AC3F5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65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234</xdr:row>
      <xdr:rowOff>0</xdr:rowOff>
    </xdr:from>
    <xdr:ext cx="304800" cy="304799"/>
    <xdr:sp macro="" textlink="">
      <xdr:nvSpPr>
        <xdr:cNvPr id="132" name="AutoShape 1019" descr="note-add">
          <a:extLst>
            <a:ext uri="{FF2B5EF4-FFF2-40B4-BE49-F238E27FC236}">
              <a16:creationId xmlns:a16="http://schemas.microsoft.com/office/drawing/2014/main" id="{AB355249-8B99-9D4F-B0BE-99DD25D4670E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6769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234</xdr:row>
      <xdr:rowOff>0</xdr:rowOff>
    </xdr:from>
    <xdr:ext cx="304800" cy="304799"/>
    <xdr:sp macro="" textlink="">
      <xdr:nvSpPr>
        <xdr:cNvPr id="133" name="AutoShape 1020" descr="alert toggle">
          <a:extLst>
            <a:ext uri="{FF2B5EF4-FFF2-40B4-BE49-F238E27FC236}">
              <a16:creationId xmlns:a16="http://schemas.microsoft.com/office/drawing/2014/main" id="{138F02F7-92C0-9C43-A7AE-1DF70D29BED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6769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239</xdr:row>
      <xdr:rowOff>0</xdr:rowOff>
    </xdr:from>
    <xdr:ext cx="304800" cy="304800"/>
    <xdr:sp macro="" textlink="">
      <xdr:nvSpPr>
        <xdr:cNvPr id="134" name="AutoShape 1023" descr="note-add">
          <a:extLst>
            <a:ext uri="{FF2B5EF4-FFF2-40B4-BE49-F238E27FC236}">
              <a16:creationId xmlns:a16="http://schemas.microsoft.com/office/drawing/2014/main" id="{9762A9FC-4792-294D-82B6-AEBB9DC37ABA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69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239</xdr:row>
      <xdr:rowOff>0</xdr:rowOff>
    </xdr:from>
    <xdr:ext cx="304800" cy="304800"/>
    <xdr:sp macro="" textlink="">
      <xdr:nvSpPr>
        <xdr:cNvPr id="135" name="AutoShape 1024" descr="alert toggle">
          <a:extLst>
            <a:ext uri="{FF2B5EF4-FFF2-40B4-BE49-F238E27FC236}">
              <a16:creationId xmlns:a16="http://schemas.microsoft.com/office/drawing/2014/main" id="{8933BA8A-707D-1647-8F98-10ECF78685E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69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263</xdr:row>
      <xdr:rowOff>0</xdr:rowOff>
    </xdr:from>
    <xdr:ext cx="304800" cy="304799"/>
    <xdr:sp macro="" textlink="">
      <xdr:nvSpPr>
        <xdr:cNvPr id="136" name="AutoShape 1027" descr="note-add">
          <a:extLst>
            <a:ext uri="{FF2B5EF4-FFF2-40B4-BE49-F238E27FC236}">
              <a16:creationId xmlns:a16="http://schemas.microsoft.com/office/drawing/2014/main" id="{5FCF6E66-F3C5-A041-92F4-C82240861E3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263</xdr:row>
      <xdr:rowOff>0</xdr:rowOff>
    </xdr:from>
    <xdr:ext cx="304800" cy="304799"/>
    <xdr:sp macro="" textlink="">
      <xdr:nvSpPr>
        <xdr:cNvPr id="137" name="AutoShape 1028" descr="alert toggle">
          <a:extLst>
            <a:ext uri="{FF2B5EF4-FFF2-40B4-BE49-F238E27FC236}">
              <a16:creationId xmlns:a16="http://schemas.microsoft.com/office/drawing/2014/main" id="{851373F7-8D31-B840-96E5-E60524C6337E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263</xdr:row>
      <xdr:rowOff>0</xdr:rowOff>
    </xdr:from>
    <xdr:ext cx="304800" cy="304799"/>
    <xdr:sp macro="" textlink="">
      <xdr:nvSpPr>
        <xdr:cNvPr id="138" name="AutoShape 1031" descr="note-add">
          <a:extLst>
            <a:ext uri="{FF2B5EF4-FFF2-40B4-BE49-F238E27FC236}">
              <a16:creationId xmlns:a16="http://schemas.microsoft.com/office/drawing/2014/main" id="{AC47A45B-484F-DE43-9C18-5E7992C36F33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263</xdr:row>
      <xdr:rowOff>0</xdr:rowOff>
    </xdr:from>
    <xdr:ext cx="304800" cy="304799"/>
    <xdr:sp macro="" textlink="">
      <xdr:nvSpPr>
        <xdr:cNvPr id="139" name="AutoShape 1032" descr="alert toggle">
          <a:extLst>
            <a:ext uri="{FF2B5EF4-FFF2-40B4-BE49-F238E27FC236}">
              <a16:creationId xmlns:a16="http://schemas.microsoft.com/office/drawing/2014/main" id="{347E8DA9-8984-8941-9135-2E968C7E3168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7200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337</xdr:row>
      <xdr:rowOff>0</xdr:rowOff>
    </xdr:from>
    <xdr:ext cx="304800" cy="304799"/>
    <xdr:sp macro="" textlink="">
      <xdr:nvSpPr>
        <xdr:cNvPr id="140" name="AutoShape 1036" descr="alert toggle">
          <a:extLst>
            <a:ext uri="{FF2B5EF4-FFF2-40B4-BE49-F238E27FC236}">
              <a16:creationId xmlns:a16="http://schemas.microsoft.com/office/drawing/2014/main" id="{FEC32B29-85D5-6A4F-B191-BF63D4A30F2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741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361</xdr:row>
      <xdr:rowOff>0</xdr:rowOff>
    </xdr:from>
    <xdr:ext cx="304800" cy="304799"/>
    <xdr:sp macro="" textlink="">
      <xdr:nvSpPr>
        <xdr:cNvPr id="141" name="AutoShape 1039" descr="note-add">
          <a:extLst>
            <a:ext uri="{FF2B5EF4-FFF2-40B4-BE49-F238E27FC236}">
              <a16:creationId xmlns:a16="http://schemas.microsoft.com/office/drawing/2014/main" id="{E049BA7D-5A4E-C448-8EF2-F19D8300403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7632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361</xdr:row>
      <xdr:rowOff>0</xdr:rowOff>
    </xdr:from>
    <xdr:ext cx="304800" cy="304799"/>
    <xdr:sp macro="" textlink="">
      <xdr:nvSpPr>
        <xdr:cNvPr id="142" name="AutoShape 1040" descr="alert toggle">
          <a:extLst>
            <a:ext uri="{FF2B5EF4-FFF2-40B4-BE49-F238E27FC236}">
              <a16:creationId xmlns:a16="http://schemas.microsoft.com/office/drawing/2014/main" id="{CE2AD458-5711-4044-952C-94A43C19405A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7632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395</xdr:row>
      <xdr:rowOff>0</xdr:rowOff>
    </xdr:from>
    <xdr:ext cx="304800" cy="304800"/>
    <xdr:sp macro="" textlink="">
      <xdr:nvSpPr>
        <xdr:cNvPr id="143" name="AutoShape 1043" descr="note-add">
          <a:extLst>
            <a:ext uri="{FF2B5EF4-FFF2-40B4-BE49-F238E27FC236}">
              <a16:creationId xmlns:a16="http://schemas.microsoft.com/office/drawing/2014/main" id="{0B03C9A6-33AB-1E40-A8B8-0CAA9E53B1D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78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395</xdr:row>
      <xdr:rowOff>0</xdr:rowOff>
    </xdr:from>
    <xdr:ext cx="304800" cy="304800"/>
    <xdr:sp macro="" textlink="">
      <xdr:nvSpPr>
        <xdr:cNvPr id="144" name="AutoShape 1044" descr="alert toggle">
          <a:extLst>
            <a:ext uri="{FF2B5EF4-FFF2-40B4-BE49-F238E27FC236}">
              <a16:creationId xmlns:a16="http://schemas.microsoft.com/office/drawing/2014/main" id="{22D774C2-E7B6-8249-85E4-A5CC2C95475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78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399</xdr:row>
      <xdr:rowOff>0</xdr:rowOff>
    </xdr:from>
    <xdr:ext cx="304800" cy="304799"/>
    <xdr:sp macro="" textlink="">
      <xdr:nvSpPr>
        <xdr:cNvPr id="145" name="AutoShape 1047" descr="note-add">
          <a:extLst>
            <a:ext uri="{FF2B5EF4-FFF2-40B4-BE49-F238E27FC236}">
              <a16:creationId xmlns:a16="http://schemas.microsoft.com/office/drawing/2014/main" id="{9D73FAA6-C460-5A4B-852B-8154B308CE5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5806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399</xdr:row>
      <xdr:rowOff>0</xdr:rowOff>
    </xdr:from>
    <xdr:ext cx="304800" cy="304799"/>
    <xdr:sp macro="" textlink="">
      <xdr:nvSpPr>
        <xdr:cNvPr id="146" name="AutoShape 1048" descr="alert toggle">
          <a:extLst>
            <a:ext uri="{FF2B5EF4-FFF2-40B4-BE49-F238E27FC236}">
              <a16:creationId xmlns:a16="http://schemas.microsoft.com/office/drawing/2014/main" id="{7A5D46E7-23EB-2949-9A54-A5A39999FCDA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58064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403</xdr:row>
      <xdr:rowOff>0</xdr:rowOff>
    </xdr:from>
    <xdr:ext cx="304800" cy="304800"/>
    <xdr:sp macro="" textlink="">
      <xdr:nvSpPr>
        <xdr:cNvPr id="147" name="AutoShape 1051" descr="note-add">
          <a:extLst>
            <a:ext uri="{FF2B5EF4-FFF2-40B4-BE49-F238E27FC236}">
              <a16:creationId xmlns:a16="http://schemas.microsoft.com/office/drawing/2014/main" id="{03D238A4-41D3-9444-823F-12586A551319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582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403</xdr:row>
      <xdr:rowOff>0</xdr:rowOff>
    </xdr:from>
    <xdr:ext cx="304800" cy="304800"/>
    <xdr:sp macro="" textlink="">
      <xdr:nvSpPr>
        <xdr:cNvPr id="148" name="AutoShape 1052" descr="alert toggle">
          <a:extLst>
            <a:ext uri="{FF2B5EF4-FFF2-40B4-BE49-F238E27FC236}">
              <a16:creationId xmlns:a16="http://schemas.microsoft.com/office/drawing/2014/main" id="{D943A6B2-FA84-2549-9752-C831C7D99C79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582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366</xdr:row>
      <xdr:rowOff>0</xdr:rowOff>
    </xdr:from>
    <xdr:ext cx="304800" cy="304800"/>
    <xdr:sp macro="" textlink="">
      <xdr:nvSpPr>
        <xdr:cNvPr id="149" name="AutoShape 1201" descr="note-add">
          <a:extLst>
            <a:ext uri="{FF2B5EF4-FFF2-40B4-BE49-F238E27FC236}">
              <a16:creationId xmlns:a16="http://schemas.microsoft.com/office/drawing/2014/main" id="{7DFD7954-9DEE-C64B-BC14-942B83F5F6CA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71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366</xdr:row>
      <xdr:rowOff>0</xdr:rowOff>
    </xdr:from>
    <xdr:ext cx="304800" cy="304800"/>
    <xdr:sp macro="" textlink="">
      <xdr:nvSpPr>
        <xdr:cNvPr id="150" name="AutoShape 1202" descr="alert toggle">
          <a:extLst>
            <a:ext uri="{FF2B5EF4-FFF2-40B4-BE49-F238E27FC236}">
              <a16:creationId xmlns:a16="http://schemas.microsoft.com/office/drawing/2014/main" id="{AB702C5E-D1E9-FB40-B54C-BE4014BFF2DD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71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151" name="AutoShape 1205" descr="note-add">
          <a:extLst>
            <a:ext uri="{FF2B5EF4-FFF2-40B4-BE49-F238E27FC236}">
              <a16:creationId xmlns:a16="http://schemas.microsoft.com/office/drawing/2014/main" id="{98332395-D233-1E45-B301-737BF1C0B359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152" name="AutoShape 1206" descr="alert toggle">
          <a:extLst>
            <a:ext uri="{FF2B5EF4-FFF2-40B4-BE49-F238E27FC236}">
              <a16:creationId xmlns:a16="http://schemas.microsoft.com/office/drawing/2014/main" id="{A672236D-CB6D-A24A-972D-4A7B191F64D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153" name="AutoShape 1209" descr="note-add">
          <a:extLst>
            <a:ext uri="{FF2B5EF4-FFF2-40B4-BE49-F238E27FC236}">
              <a16:creationId xmlns:a16="http://schemas.microsoft.com/office/drawing/2014/main" id="{281973C4-85D6-E949-A5E0-15C4A469C0D4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154" name="AutoShape 1210" descr="alert toggle">
          <a:extLst>
            <a:ext uri="{FF2B5EF4-FFF2-40B4-BE49-F238E27FC236}">
              <a16:creationId xmlns:a16="http://schemas.microsoft.com/office/drawing/2014/main" id="{D67B2FDA-554E-7643-8C35-A59DAD67251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155" name="AutoShape 1213" descr="note-add">
          <a:extLst>
            <a:ext uri="{FF2B5EF4-FFF2-40B4-BE49-F238E27FC236}">
              <a16:creationId xmlns:a16="http://schemas.microsoft.com/office/drawing/2014/main" id="{949DB35A-6254-8548-B49D-67021EEB101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156" name="AutoShape 1214" descr="alert toggle">
          <a:extLst>
            <a:ext uri="{FF2B5EF4-FFF2-40B4-BE49-F238E27FC236}">
              <a16:creationId xmlns:a16="http://schemas.microsoft.com/office/drawing/2014/main" id="{618F70D5-9596-774F-896F-5BA99462F76E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157" name="AutoShape 1217" descr="note-add">
          <a:extLst>
            <a:ext uri="{FF2B5EF4-FFF2-40B4-BE49-F238E27FC236}">
              <a16:creationId xmlns:a16="http://schemas.microsoft.com/office/drawing/2014/main" id="{0702066F-83D6-9B41-AC72-599AB092F9CD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158" name="AutoShape 1218" descr="alert toggle">
          <a:extLst>
            <a:ext uri="{FF2B5EF4-FFF2-40B4-BE49-F238E27FC236}">
              <a16:creationId xmlns:a16="http://schemas.microsoft.com/office/drawing/2014/main" id="{F4DFBBA2-930E-7848-BA70-9F070532CC5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159" name="AutoShape 1221" descr="note-add">
          <a:extLst>
            <a:ext uri="{FF2B5EF4-FFF2-40B4-BE49-F238E27FC236}">
              <a16:creationId xmlns:a16="http://schemas.microsoft.com/office/drawing/2014/main" id="{2CE43F23-DACD-D542-9F8C-C8237A613BCC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160" name="AutoShape 1222" descr="alert toggle">
          <a:extLst>
            <a:ext uri="{FF2B5EF4-FFF2-40B4-BE49-F238E27FC236}">
              <a16:creationId xmlns:a16="http://schemas.microsoft.com/office/drawing/2014/main" id="{0E8A6CC8-A26E-F740-8076-F47D51BF12AA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161" name="AutoShape 1225" descr="note-add">
          <a:extLst>
            <a:ext uri="{FF2B5EF4-FFF2-40B4-BE49-F238E27FC236}">
              <a16:creationId xmlns:a16="http://schemas.microsoft.com/office/drawing/2014/main" id="{B1F6647A-AAE6-3E49-926C-2D15644B80C5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162" name="AutoShape 1226" descr="alert toggle">
          <a:extLst>
            <a:ext uri="{FF2B5EF4-FFF2-40B4-BE49-F238E27FC236}">
              <a16:creationId xmlns:a16="http://schemas.microsoft.com/office/drawing/2014/main" id="{F19ECCB7-99E4-A346-B7B1-1B2697FB29B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163" name="AutoShape 1229" descr="note-add">
          <a:extLst>
            <a:ext uri="{FF2B5EF4-FFF2-40B4-BE49-F238E27FC236}">
              <a16:creationId xmlns:a16="http://schemas.microsoft.com/office/drawing/2014/main" id="{D220DC69-B85D-0840-BDEC-D44307A75182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164" name="AutoShape 1230" descr="alert toggle">
          <a:extLst>
            <a:ext uri="{FF2B5EF4-FFF2-40B4-BE49-F238E27FC236}">
              <a16:creationId xmlns:a16="http://schemas.microsoft.com/office/drawing/2014/main" id="{6C73AF0E-8C48-7742-BCDA-F05C4EC85E18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165" name="AutoShape 1233" descr="note-add">
          <a:extLst>
            <a:ext uri="{FF2B5EF4-FFF2-40B4-BE49-F238E27FC236}">
              <a16:creationId xmlns:a16="http://schemas.microsoft.com/office/drawing/2014/main" id="{92316BEE-C962-5F48-8AB9-3B14B217854D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166" name="AutoShape 1234" descr="alert toggle">
          <a:extLst>
            <a:ext uri="{FF2B5EF4-FFF2-40B4-BE49-F238E27FC236}">
              <a16:creationId xmlns:a16="http://schemas.microsoft.com/office/drawing/2014/main" id="{6955979E-AF54-564E-A694-34FAF13C27EF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167" name="AutoShape 1237" descr="note-add">
          <a:extLst>
            <a:ext uri="{FF2B5EF4-FFF2-40B4-BE49-F238E27FC236}">
              <a16:creationId xmlns:a16="http://schemas.microsoft.com/office/drawing/2014/main" id="{FFFAC4DB-67B7-D945-B380-CB851CBA1C29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0"/>
    <xdr:sp macro="" textlink="">
      <xdr:nvSpPr>
        <xdr:cNvPr id="168" name="AutoShape 1238" descr="alert toggle">
          <a:extLst>
            <a:ext uri="{FF2B5EF4-FFF2-40B4-BE49-F238E27FC236}">
              <a16:creationId xmlns:a16="http://schemas.microsoft.com/office/drawing/2014/main" id="{2D6BE703-B3B9-F948-A388-BED0BF14ACD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4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169" name="AutoShape 1241" descr="note-add">
          <a:extLst>
            <a:ext uri="{FF2B5EF4-FFF2-40B4-BE49-F238E27FC236}">
              <a16:creationId xmlns:a16="http://schemas.microsoft.com/office/drawing/2014/main" id="{BB18528F-F8BA-9941-8AC6-4E3FEF737CD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68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224</xdr:row>
      <xdr:rowOff>0</xdr:rowOff>
    </xdr:from>
    <xdr:ext cx="304800" cy="304801"/>
    <xdr:sp macro="" textlink="">
      <xdr:nvSpPr>
        <xdr:cNvPr id="170" name="AutoShape 1242" descr="alert toggle">
          <a:extLst>
            <a:ext uri="{FF2B5EF4-FFF2-40B4-BE49-F238E27FC236}">
              <a16:creationId xmlns:a16="http://schemas.microsoft.com/office/drawing/2014/main" id="{64215B5A-20B2-2741-AD21-2000294C0B3F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68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171" name="AutoShape 1245" descr="note-add">
          <a:extLst>
            <a:ext uri="{FF2B5EF4-FFF2-40B4-BE49-F238E27FC236}">
              <a16:creationId xmlns:a16="http://schemas.microsoft.com/office/drawing/2014/main" id="{DA049DD0-B0D5-654C-AF27-EE48D6DCBA24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172" name="AutoShape 1246" descr="alert toggle">
          <a:extLst>
            <a:ext uri="{FF2B5EF4-FFF2-40B4-BE49-F238E27FC236}">
              <a16:creationId xmlns:a16="http://schemas.microsoft.com/office/drawing/2014/main" id="{B79B3B99-F6E3-E249-9A21-3B6B700C0106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173" name="AutoShape 1249" descr="note-add">
          <a:extLst>
            <a:ext uri="{FF2B5EF4-FFF2-40B4-BE49-F238E27FC236}">
              <a16:creationId xmlns:a16="http://schemas.microsoft.com/office/drawing/2014/main" id="{BEA66932-E7CC-384A-A47E-2E68D03C038D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174" name="AutoShape 1250" descr="alert toggle">
          <a:extLst>
            <a:ext uri="{FF2B5EF4-FFF2-40B4-BE49-F238E27FC236}">
              <a16:creationId xmlns:a16="http://schemas.microsoft.com/office/drawing/2014/main" id="{A7FAC1E0-A3A1-CF4B-B2CB-C34CF47DFE9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175" name="AutoShape 1253" descr="note-add">
          <a:extLst>
            <a:ext uri="{FF2B5EF4-FFF2-40B4-BE49-F238E27FC236}">
              <a16:creationId xmlns:a16="http://schemas.microsoft.com/office/drawing/2014/main" id="{A0B27E4B-C3F5-4A4A-9D26-23D5D41B84EA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176" name="AutoShape 1254" descr="alert toggle">
          <a:extLst>
            <a:ext uri="{FF2B5EF4-FFF2-40B4-BE49-F238E27FC236}">
              <a16:creationId xmlns:a16="http://schemas.microsoft.com/office/drawing/2014/main" id="{1B232A4D-2E05-934A-A380-C55D99D8EEA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177" name="AutoShape 1257" descr="note-add">
          <a:extLst>
            <a:ext uri="{FF2B5EF4-FFF2-40B4-BE49-F238E27FC236}">
              <a16:creationId xmlns:a16="http://schemas.microsoft.com/office/drawing/2014/main" id="{BA7EF6E7-4CD0-6A49-8EA3-3749D240C6E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178" name="AutoShape 1258" descr="alert toggle">
          <a:extLst>
            <a:ext uri="{FF2B5EF4-FFF2-40B4-BE49-F238E27FC236}">
              <a16:creationId xmlns:a16="http://schemas.microsoft.com/office/drawing/2014/main" id="{3FA79CF6-A914-1F4B-A4B3-C66AF8103CD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179" name="AutoShape 1261" descr="note-add">
          <a:extLst>
            <a:ext uri="{FF2B5EF4-FFF2-40B4-BE49-F238E27FC236}">
              <a16:creationId xmlns:a16="http://schemas.microsoft.com/office/drawing/2014/main" id="{C99DBDBE-CD6F-114F-B212-ECADDBD667E9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180" name="AutoShape 1262" descr="alert toggle">
          <a:extLst>
            <a:ext uri="{FF2B5EF4-FFF2-40B4-BE49-F238E27FC236}">
              <a16:creationId xmlns:a16="http://schemas.microsoft.com/office/drawing/2014/main" id="{34A1AAB3-D552-584F-BF06-51E7CAC1BA36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181" name="AutoShape 1265" descr="note-add">
          <a:extLst>
            <a:ext uri="{FF2B5EF4-FFF2-40B4-BE49-F238E27FC236}">
              <a16:creationId xmlns:a16="http://schemas.microsoft.com/office/drawing/2014/main" id="{1A60FDAF-3BAC-EB4F-A185-C8D77EC1913E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182" name="AutoShape 1266" descr="alert toggle">
          <a:extLst>
            <a:ext uri="{FF2B5EF4-FFF2-40B4-BE49-F238E27FC236}">
              <a16:creationId xmlns:a16="http://schemas.microsoft.com/office/drawing/2014/main" id="{FE0DE595-FD4C-514E-ABF3-2E7AA91BF8D0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183" name="AutoShape 1269" descr="note-add">
          <a:extLst>
            <a:ext uri="{FF2B5EF4-FFF2-40B4-BE49-F238E27FC236}">
              <a16:creationId xmlns:a16="http://schemas.microsoft.com/office/drawing/2014/main" id="{32E1BCB8-BAD4-794F-80F5-2A4FCB45E539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184" name="AutoShape 1270" descr="alert toggle">
          <a:extLst>
            <a:ext uri="{FF2B5EF4-FFF2-40B4-BE49-F238E27FC236}">
              <a16:creationId xmlns:a16="http://schemas.microsoft.com/office/drawing/2014/main" id="{24DAAD78-7B2C-674C-8F4F-EA5C7622DE1F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185" name="AutoShape 1273" descr="note-add">
          <a:extLst>
            <a:ext uri="{FF2B5EF4-FFF2-40B4-BE49-F238E27FC236}">
              <a16:creationId xmlns:a16="http://schemas.microsoft.com/office/drawing/2014/main" id="{80D3166A-CBF0-DE49-9761-12268BB1855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186" name="AutoShape 1274" descr="alert toggle">
          <a:extLst>
            <a:ext uri="{FF2B5EF4-FFF2-40B4-BE49-F238E27FC236}">
              <a16:creationId xmlns:a16="http://schemas.microsoft.com/office/drawing/2014/main" id="{31F06577-C498-6A45-82A0-A0300BA36771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366</xdr:row>
      <xdr:rowOff>0</xdr:rowOff>
    </xdr:from>
    <xdr:ext cx="304800" cy="304800"/>
    <xdr:sp macro="" textlink="">
      <xdr:nvSpPr>
        <xdr:cNvPr id="187" name="AutoShape 1275" descr="note-add">
          <a:extLst>
            <a:ext uri="{FF2B5EF4-FFF2-40B4-BE49-F238E27FC236}">
              <a16:creationId xmlns:a16="http://schemas.microsoft.com/office/drawing/2014/main" id="{BB7DA10C-2744-F840-A271-59D5D06EEC96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71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366</xdr:row>
      <xdr:rowOff>0</xdr:rowOff>
    </xdr:from>
    <xdr:ext cx="304800" cy="304800"/>
    <xdr:sp macro="" textlink="">
      <xdr:nvSpPr>
        <xdr:cNvPr id="188" name="AutoShape 1276" descr="alert toggle">
          <a:extLst>
            <a:ext uri="{FF2B5EF4-FFF2-40B4-BE49-F238E27FC236}">
              <a16:creationId xmlns:a16="http://schemas.microsoft.com/office/drawing/2014/main" id="{5EBAF4CD-DDC0-244F-9296-73A600F961FF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71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189" name="AutoShape 1279" descr="note-add">
          <a:extLst>
            <a:ext uri="{FF2B5EF4-FFF2-40B4-BE49-F238E27FC236}">
              <a16:creationId xmlns:a16="http://schemas.microsoft.com/office/drawing/2014/main" id="{B9015F75-B107-0141-A6EB-6D051C64476B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190" name="AutoShape 1280" descr="alert toggle">
          <a:extLst>
            <a:ext uri="{FF2B5EF4-FFF2-40B4-BE49-F238E27FC236}">
              <a16:creationId xmlns:a16="http://schemas.microsoft.com/office/drawing/2014/main" id="{F6130986-DB2F-6540-B4EB-8258CCA84F8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191" name="AutoShape 1283" descr="note-add">
          <a:extLst>
            <a:ext uri="{FF2B5EF4-FFF2-40B4-BE49-F238E27FC236}">
              <a16:creationId xmlns:a16="http://schemas.microsoft.com/office/drawing/2014/main" id="{76C2E662-F59C-D641-8E22-AB66B1C2834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192" name="AutoShape 1284" descr="alert toggle">
          <a:extLst>
            <a:ext uri="{FF2B5EF4-FFF2-40B4-BE49-F238E27FC236}">
              <a16:creationId xmlns:a16="http://schemas.microsoft.com/office/drawing/2014/main" id="{F6288100-1411-3647-8D71-7A7C62958DC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193" name="AutoShape 1287" descr="note-add">
          <a:extLst>
            <a:ext uri="{FF2B5EF4-FFF2-40B4-BE49-F238E27FC236}">
              <a16:creationId xmlns:a16="http://schemas.microsoft.com/office/drawing/2014/main" id="{85341994-DCC9-E444-BC85-031E11D7538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194" name="AutoShape 1288" descr="alert toggle">
          <a:extLst>
            <a:ext uri="{FF2B5EF4-FFF2-40B4-BE49-F238E27FC236}">
              <a16:creationId xmlns:a16="http://schemas.microsoft.com/office/drawing/2014/main" id="{1173272B-6BA3-BB46-B9CF-CD5455C137B7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195" name="AutoShape 1291" descr="note-add">
          <a:extLst>
            <a:ext uri="{FF2B5EF4-FFF2-40B4-BE49-F238E27FC236}">
              <a16:creationId xmlns:a16="http://schemas.microsoft.com/office/drawing/2014/main" id="{3572900D-CEAA-1E42-9E7E-FD3C9850C974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196" name="AutoShape 1292" descr="alert toggle">
          <a:extLst>
            <a:ext uri="{FF2B5EF4-FFF2-40B4-BE49-F238E27FC236}">
              <a16:creationId xmlns:a16="http://schemas.microsoft.com/office/drawing/2014/main" id="{0F66351B-2252-8A4E-91CF-E3C01B40941A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197" name="AutoShape 1295" descr="note-add">
          <a:extLst>
            <a:ext uri="{FF2B5EF4-FFF2-40B4-BE49-F238E27FC236}">
              <a16:creationId xmlns:a16="http://schemas.microsoft.com/office/drawing/2014/main" id="{6C0269BC-54D4-6349-B647-6ACD2ED03C75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198" name="AutoShape 1296" descr="alert toggle">
          <a:extLst>
            <a:ext uri="{FF2B5EF4-FFF2-40B4-BE49-F238E27FC236}">
              <a16:creationId xmlns:a16="http://schemas.microsoft.com/office/drawing/2014/main" id="{A95AC261-DA1B-B34B-AF29-C68D2C9E675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199" name="AutoShape 1299" descr="note-add">
          <a:extLst>
            <a:ext uri="{FF2B5EF4-FFF2-40B4-BE49-F238E27FC236}">
              <a16:creationId xmlns:a16="http://schemas.microsoft.com/office/drawing/2014/main" id="{766F685F-EF3C-9C4C-934D-302652D65ABF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00" name="AutoShape 1300" descr="alert toggle">
          <a:extLst>
            <a:ext uri="{FF2B5EF4-FFF2-40B4-BE49-F238E27FC236}">
              <a16:creationId xmlns:a16="http://schemas.microsoft.com/office/drawing/2014/main" id="{DE0D0E28-8CB1-5745-A134-DA96B1EEB0B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01" name="AutoShape 1303" descr="note-add">
          <a:extLst>
            <a:ext uri="{FF2B5EF4-FFF2-40B4-BE49-F238E27FC236}">
              <a16:creationId xmlns:a16="http://schemas.microsoft.com/office/drawing/2014/main" id="{FA31176A-0D87-5948-91A9-4E9FE6FAEA1B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02" name="AutoShape 1304" descr="alert toggle">
          <a:extLst>
            <a:ext uri="{FF2B5EF4-FFF2-40B4-BE49-F238E27FC236}">
              <a16:creationId xmlns:a16="http://schemas.microsoft.com/office/drawing/2014/main" id="{0D3540B1-B52E-F54E-80AB-B1E482D075E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203" name="AutoShape 1307" descr="note-add">
          <a:extLst>
            <a:ext uri="{FF2B5EF4-FFF2-40B4-BE49-F238E27FC236}">
              <a16:creationId xmlns:a16="http://schemas.microsoft.com/office/drawing/2014/main" id="{EB3195E9-0E5F-BE48-9586-8F42D22C8066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204" name="AutoShape 1308" descr="alert toggle">
          <a:extLst>
            <a:ext uri="{FF2B5EF4-FFF2-40B4-BE49-F238E27FC236}">
              <a16:creationId xmlns:a16="http://schemas.microsoft.com/office/drawing/2014/main" id="{AE275275-C75F-9540-AC08-6783B824C3B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205" name="AutoShape 1311" descr="note-add">
          <a:extLst>
            <a:ext uri="{FF2B5EF4-FFF2-40B4-BE49-F238E27FC236}">
              <a16:creationId xmlns:a16="http://schemas.microsoft.com/office/drawing/2014/main" id="{6EA0ACFD-9BF4-6345-B513-859CC11CB06D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0"/>
    <xdr:sp macro="" textlink="">
      <xdr:nvSpPr>
        <xdr:cNvPr id="206" name="AutoShape 1312" descr="alert toggle">
          <a:extLst>
            <a:ext uri="{FF2B5EF4-FFF2-40B4-BE49-F238E27FC236}">
              <a16:creationId xmlns:a16="http://schemas.microsoft.com/office/drawing/2014/main" id="{43F9DA80-7E22-EA41-8EC9-66103EA4B39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4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207" name="AutoShape 1315" descr="note-add">
          <a:extLst>
            <a:ext uri="{FF2B5EF4-FFF2-40B4-BE49-F238E27FC236}">
              <a16:creationId xmlns:a16="http://schemas.microsoft.com/office/drawing/2014/main" id="{6C21D7C9-379D-314A-83F2-A25592018CC3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68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224</xdr:row>
      <xdr:rowOff>0</xdr:rowOff>
    </xdr:from>
    <xdr:ext cx="304800" cy="304801"/>
    <xdr:sp macro="" textlink="">
      <xdr:nvSpPr>
        <xdr:cNvPr id="208" name="AutoShape 1316" descr="alert toggle">
          <a:extLst>
            <a:ext uri="{FF2B5EF4-FFF2-40B4-BE49-F238E27FC236}">
              <a16:creationId xmlns:a16="http://schemas.microsoft.com/office/drawing/2014/main" id="{C8D4F5DE-9DD1-9141-AC33-B5F71EF2A1DE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68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209" name="AutoShape 1319" descr="note-add">
          <a:extLst>
            <a:ext uri="{FF2B5EF4-FFF2-40B4-BE49-F238E27FC236}">
              <a16:creationId xmlns:a16="http://schemas.microsoft.com/office/drawing/2014/main" id="{5AF9DD19-B6CB-E342-B207-67DC9509B742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210" name="AutoShape 1320" descr="alert toggle">
          <a:extLst>
            <a:ext uri="{FF2B5EF4-FFF2-40B4-BE49-F238E27FC236}">
              <a16:creationId xmlns:a16="http://schemas.microsoft.com/office/drawing/2014/main" id="{EB8E7F8A-5E50-264E-96AF-B4776269A8D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211" name="AutoShape 1323" descr="note-add">
          <a:extLst>
            <a:ext uri="{FF2B5EF4-FFF2-40B4-BE49-F238E27FC236}">
              <a16:creationId xmlns:a16="http://schemas.microsoft.com/office/drawing/2014/main" id="{F1BBA17D-AE7A-1B4F-B633-F32BA0DE8CB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212" name="AutoShape 1324" descr="alert toggle">
          <a:extLst>
            <a:ext uri="{FF2B5EF4-FFF2-40B4-BE49-F238E27FC236}">
              <a16:creationId xmlns:a16="http://schemas.microsoft.com/office/drawing/2014/main" id="{BE140C31-4C1D-D548-AB25-41F7C341112E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13" name="AutoShape 1327" descr="note-add">
          <a:extLst>
            <a:ext uri="{FF2B5EF4-FFF2-40B4-BE49-F238E27FC236}">
              <a16:creationId xmlns:a16="http://schemas.microsoft.com/office/drawing/2014/main" id="{942F4101-C03D-1841-B11E-AAB79ACB3564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14" name="AutoShape 1328" descr="alert toggle">
          <a:extLst>
            <a:ext uri="{FF2B5EF4-FFF2-40B4-BE49-F238E27FC236}">
              <a16:creationId xmlns:a16="http://schemas.microsoft.com/office/drawing/2014/main" id="{3931D507-DDBF-E046-9E92-B3D64BB78A03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15" name="AutoShape 1331" descr="note-add">
          <a:extLst>
            <a:ext uri="{FF2B5EF4-FFF2-40B4-BE49-F238E27FC236}">
              <a16:creationId xmlns:a16="http://schemas.microsoft.com/office/drawing/2014/main" id="{67FE3BE9-8DA9-9D4D-BFAD-8D9B87CD5C4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16" name="AutoShape 1332" descr="alert toggle">
          <a:extLst>
            <a:ext uri="{FF2B5EF4-FFF2-40B4-BE49-F238E27FC236}">
              <a16:creationId xmlns:a16="http://schemas.microsoft.com/office/drawing/2014/main" id="{7ADB1FF6-2B03-A947-B2C5-39434310510F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17" name="AutoShape 1335" descr="note-add">
          <a:extLst>
            <a:ext uri="{FF2B5EF4-FFF2-40B4-BE49-F238E27FC236}">
              <a16:creationId xmlns:a16="http://schemas.microsoft.com/office/drawing/2014/main" id="{BAF0EDEF-061F-5D46-B6AD-941599AAFBEE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18" name="AutoShape 1336" descr="alert toggle">
          <a:extLst>
            <a:ext uri="{FF2B5EF4-FFF2-40B4-BE49-F238E27FC236}">
              <a16:creationId xmlns:a16="http://schemas.microsoft.com/office/drawing/2014/main" id="{694CCE5E-737F-DA4F-8921-B9EB2AB162C2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19" name="AutoShape 1339" descr="note-add">
          <a:extLst>
            <a:ext uri="{FF2B5EF4-FFF2-40B4-BE49-F238E27FC236}">
              <a16:creationId xmlns:a16="http://schemas.microsoft.com/office/drawing/2014/main" id="{E99FC5A4-D9DD-6E4E-A8F9-F13DA114290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20" name="AutoShape 1340" descr="alert toggle">
          <a:extLst>
            <a:ext uri="{FF2B5EF4-FFF2-40B4-BE49-F238E27FC236}">
              <a16:creationId xmlns:a16="http://schemas.microsoft.com/office/drawing/2014/main" id="{82FA30D5-2BF9-624B-A517-75C17EA36E1B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221" name="AutoShape 1343" descr="note-add">
          <a:extLst>
            <a:ext uri="{FF2B5EF4-FFF2-40B4-BE49-F238E27FC236}">
              <a16:creationId xmlns:a16="http://schemas.microsoft.com/office/drawing/2014/main" id="{8FAE8C96-EB85-004C-B54D-6384A3AA46CA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222" name="AutoShape 1344" descr="alert toggle">
          <a:extLst>
            <a:ext uri="{FF2B5EF4-FFF2-40B4-BE49-F238E27FC236}">
              <a16:creationId xmlns:a16="http://schemas.microsoft.com/office/drawing/2014/main" id="{ECC03A0A-1A90-D542-AB24-651189E5190E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23" name="AutoShape 1347" descr="note-add">
          <a:extLst>
            <a:ext uri="{FF2B5EF4-FFF2-40B4-BE49-F238E27FC236}">
              <a16:creationId xmlns:a16="http://schemas.microsoft.com/office/drawing/2014/main" id="{74600D07-3DD5-924B-A6CE-6D52C0610CBC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224" name="AutoShape 1348" descr="alert toggle">
          <a:extLst>
            <a:ext uri="{FF2B5EF4-FFF2-40B4-BE49-F238E27FC236}">
              <a16:creationId xmlns:a16="http://schemas.microsoft.com/office/drawing/2014/main" id="{015AC60B-D6E0-2540-9175-5C659C4F44C0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366</xdr:row>
      <xdr:rowOff>0</xdr:rowOff>
    </xdr:from>
    <xdr:ext cx="304800" cy="304800"/>
    <xdr:sp macro="" textlink="">
      <xdr:nvSpPr>
        <xdr:cNvPr id="225" name="AutoShape 1721" descr="note-add">
          <a:extLst>
            <a:ext uri="{FF2B5EF4-FFF2-40B4-BE49-F238E27FC236}">
              <a16:creationId xmlns:a16="http://schemas.microsoft.com/office/drawing/2014/main" id="{F381A528-8BE1-5148-8988-A00DD740363E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71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226" name="AutoShape 1725" descr="note-add">
          <a:extLst>
            <a:ext uri="{FF2B5EF4-FFF2-40B4-BE49-F238E27FC236}">
              <a16:creationId xmlns:a16="http://schemas.microsoft.com/office/drawing/2014/main" id="{255EAF04-AEB7-6343-810D-C686809720C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227" name="AutoShape 1726" descr="alert toggle">
          <a:extLst>
            <a:ext uri="{FF2B5EF4-FFF2-40B4-BE49-F238E27FC236}">
              <a16:creationId xmlns:a16="http://schemas.microsoft.com/office/drawing/2014/main" id="{046BB182-5EE7-0440-AB18-3CFC664CD15B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228" name="AutoShape 1729" descr="note-add">
          <a:extLst>
            <a:ext uri="{FF2B5EF4-FFF2-40B4-BE49-F238E27FC236}">
              <a16:creationId xmlns:a16="http://schemas.microsoft.com/office/drawing/2014/main" id="{3C6864C9-EA29-2448-B85A-EEA3E9A4ABB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229" name="AutoShape 1730" descr="alert toggle">
          <a:extLst>
            <a:ext uri="{FF2B5EF4-FFF2-40B4-BE49-F238E27FC236}">
              <a16:creationId xmlns:a16="http://schemas.microsoft.com/office/drawing/2014/main" id="{1033A3EB-5E25-7A4C-98B2-84E48857C2EB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230" name="AutoShape 1733" descr="note-add">
          <a:extLst>
            <a:ext uri="{FF2B5EF4-FFF2-40B4-BE49-F238E27FC236}">
              <a16:creationId xmlns:a16="http://schemas.microsoft.com/office/drawing/2014/main" id="{7F69BA69-3D8F-4E46-B4DE-FEB5CE60DB1F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231" name="AutoShape 1734" descr="alert toggle">
          <a:extLst>
            <a:ext uri="{FF2B5EF4-FFF2-40B4-BE49-F238E27FC236}">
              <a16:creationId xmlns:a16="http://schemas.microsoft.com/office/drawing/2014/main" id="{7C19A830-3C0E-464A-A0C8-E96DCB3E213B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232" name="AutoShape 1737" descr="note-add">
          <a:extLst>
            <a:ext uri="{FF2B5EF4-FFF2-40B4-BE49-F238E27FC236}">
              <a16:creationId xmlns:a16="http://schemas.microsoft.com/office/drawing/2014/main" id="{5FC68014-0943-6246-AFF4-264E6B61FCCB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233" name="AutoShape 1738" descr="alert toggle">
          <a:extLst>
            <a:ext uri="{FF2B5EF4-FFF2-40B4-BE49-F238E27FC236}">
              <a16:creationId xmlns:a16="http://schemas.microsoft.com/office/drawing/2014/main" id="{D0700E5E-67D5-5947-B64A-7047A7F5662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234" name="AutoShape 1741" descr="note-add">
          <a:extLst>
            <a:ext uri="{FF2B5EF4-FFF2-40B4-BE49-F238E27FC236}">
              <a16:creationId xmlns:a16="http://schemas.microsoft.com/office/drawing/2014/main" id="{6965E5AD-2F27-3049-AF42-D94BBDBD10A5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235" name="AutoShape 1742" descr="alert toggle">
          <a:extLst>
            <a:ext uri="{FF2B5EF4-FFF2-40B4-BE49-F238E27FC236}">
              <a16:creationId xmlns:a16="http://schemas.microsoft.com/office/drawing/2014/main" id="{69410645-5554-574B-A76E-0488B52D846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36" name="AutoShape 1745" descr="note-add">
          <a:extLst>
            <a:ext uri="{FF2B5EF4-FFF2-40B4-BE49-F238E27FC236}">
              <a16:creationId xmlns:a16="http://schemas.microsoft.com/office/drawing/2014/main" id="{D7DAB6D2-F608-594D-87A3-2680ABC34512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37" name="AutoShape 1746" descr="alert toggle">
          <a:extLst>
            <a:ext uri="{FF2B5EF4-FFF2-40B4-BE49-F238E27FC236}">
              <a16:creationId xmlns:a16="http://schemas.microsoft.com/office/drawing/2014/main" id="{15720AF8-9C50-274A-AE8C-8CDF5AADBB53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38" name="AutoShape 1749" descr="note-add">
          <a:extLst>
            <a:ext uri="{FF2B5EF4-FFF2-40B4-BE49-F238E27FC236}">
              <a16:creationId xmlns:a16="http://schemas.microsoft.com/office/drawing/2014/main" id="{5C529F35-9E36-9247-91E9-CDFE7A113DBA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39" name="AutoShape 1750" descr="alert toggle">
          <a:extLst>
            <a:ext uri="{FF2B5EF4-FFF2-40B4-BE49-F238E27FC236}">
              <a16:creationId xmlns:a16="http://schemas.microsoft.com/office/drawing/2014/main" id="{41EDC526-991A-F248-B06E-82B1CFFF12C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240" name="AutoShape 1753" descr="note-add">
          <a:extLst>
            <a:ext uri="{FF2B5EF4-FFF2-40B4-BE49-F238E27FC236}">
              <a16:creationId xmlns:a16="http://schemas.microsoft.com/office/drawing/2014/main" id="{D588ECD1-EF3B-8649-88B5-BFC47D498CA3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241" name="AutoShape 1754" descr="alert toggle">
          <a:extLst>
            <a:ext uri="{FF2B5EF4-FFF2-40B4-BE49-F238E27FC236}">
              <a16:creationId xmlns:a16="http://schemas.microsoft.com/office/drawing/2014/main" id="{860BB17F-8376-D847-90E2-6F9AD62903A8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242" name="AutoShape 1757" descr="note-add">
          <a:extLst>
            <a:ext uri="{FF2B5EF4-FFF2-40B4-BE49-F238E27FC236}">
              <a16:creationId xmlns:a16="http://schemas.microsoft.com/office/drawing/2014/main" id="{FB52FE42-08DA-9C4C-8EFD-35EABF700EC3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0"/>
    <xdr:sp macro="" textlink="">
      <xdr:nvSpPr>
        <xdr:cNvPr id="243" name="AutoShape 1758" descr="alert toggle">
          <a:extLst>
            <a:ext uri="{FF2B5EF4-FFF2-40B4-BE49-F238E27FC236}">
              <a16:creationId xmlns:a16="http://schemas.microsoft.com/office/drawing/2014/main" id="{0077E7B3-13CB-D540-A1F1-205657D269D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4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244" name="AutoShape 1761" descr="note-add">
          <a:extLst>
            <a:ext uri="{FF2B5EF4-FFF2-40B4-BE49-F238E27FC236}">
              <a16:creationId xmlns:a16="http://schemas.microsoft.com/office/drawing/2014/main" id="{7FB6F4A0-F2B5-8644-A28D-7839A745505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68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224</xdr:row>
      <xdr:rowOff>0</xdr:rowOff>
    </xdr:from>
    <xdr:ext cx="304800" cy="304801"/>
    <xdr:sp macro="" textlink="">
      <xdr:nvSpPr>
        <xdr:cNvPr id="245" name="AutoShape 1762" descr="alert toggle">
          <a:extLst>
            <a:ext uri="{FF2B5EF4-FFF2-40B4-BE49-F238E27FC236}">
              <a16:creationId xmlns:a16="http://schemas.microsoft.com/office/drawing/2014/main" id="{AA053C1A-6F77-8B4F-A915-D81166AA2D5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68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246" name="AutoShape 1765" descr="note-add">
          <a:extLst>
            <a:ext uri="{FF2B5EF4-FFF2-40B4-BE49-F238E27FC236}">
              <a16:creationId xmlns:a16="http://schemas.microsoft.com/office/drawing/2014/main" id="{D2E8BE62-2511-A844-8BA2-C38793B6F9F9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247" name="AutoShape 1766" descr="alert toggle">
          <a:extLst>
            <a:ext uri="{FF2B5EF4-FFF2-40B4-BE49-F238E27FC236}">
              <a16:creationId xmlns:a16="http://schemas.microsoft.com/office/drawing/2014/main" id="{C7BC5AD9-7589-E94A-B38E-4A4D5CBE515A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248" name="AutoShape 1769" descr="note-add">
          <a:extLst>
            <a:ext uri="{FF2B5EF4-FFF2-40B4-BE49-F238E27FC236}">
              <a16:creationId xmlns:a16="http://schemas.microsoft.com/office/drawing/2014/main" id="{C6AAE3B7-9290-A540-83DC-C063826A6DBE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249" name="AutoShape 1770" descr="alert toggle">
          <a:extLst>
            <a:ext uri="{FF2B5EF4-FFF2-40B4-BE49-F238E27FC236}">
              <a16:creationId xmlns:a16="http://schemas.microsoft.com/office/drawing/2014/main" id="{6A033AD5-DDC1-1A4C-B8F4-A4379F481F57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50" name="AutoShape 1773" descr="note-add">
          <a:extLst>
            <a:ext uri="{FF2B5EF4-FFF2-40B4-BE49-F238E27FC236}">
              <a16:creationId xmlns:a16="http://schemas.microsoft.com/office/drawing/2014/main" id="{96447448-F2D3-EB40-BB4E-38B5826EE5A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51" name="AutoShape 1774" descr="alert toggle">
          <a:extLst>
            <a:ext uri="{FF2B5EF4-FFF2-40B4-BE49-F238E27FC236}">
              <a16:creationId xmlns:a16="http://schemas.microsoft.com/office/drawing/2014/main" id="{1329A836-36DB-0748-A8BA-00ADDCA3480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52" name="AutoShape 1777" descr="note-add">
          <a:extLst>
            <a:ext uri="{FF2B5EF4-FFF2-40B4-BE49-F238E27FC236}">
              <a16:creationId xmlns:a16="http://schemas.microsoft.com/office/drawing/2014/main" id="{DF21B573-C0E6-6B43-BE5E-836C69F81A26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53" name="AutoShape 1778" descr="alert toggle">
          <a:extLst>
            <a:ext uri="{FF2B5EF4-FFF2-40B4-BE49-F238E27FC236}">
              <a16:creationId xmlns:a16="http://schemas.microsoft.com/office/drawing/2014/main" id="{A3BF338A-FB3B-BA4A-BA13-AC8BFB0619D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54" name="AutoShape 1781" descr="note-add">
          <a:extLst>
            <a:ext uri="{FF2B5EF4-FFF2-40B4-BE49-F238E27FC236}">
              <a16:creationId xmlns:a16="http://schemas.microsoft.com/office/drawing/2014/main" id="{06305C5B-E769-8D42-8EC3-CA3A507967A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55" name="AutoShape 1782" descr="alert toggle">
          <a:extLst>
            <a:ext uri="{FF2B5EF4-FFF2-40B4-BE49-F238E27FC236}">
              <a16:creationId xmlns:a16="http://schemas.microsoft.com/office/drawing/2014/main" id="{CCD065D5-0839-AF45-94F0-241D376AF668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56" name="AutoShape 1785" descr="note-add">
          <a:extLst>
            <a:ext uri="{FF2B5EF4-FFF2-40B4-BE49-F238E27FC236}">
              <a16:creationId xmlns:a16="http://schemas.microsoft.com/office/drawing/2014/main" id="{50EDADA9-5B7D-1745-873E-AE0F62758F7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57" name="AutoShape 1786" descr="alert toggle">
          <a:extLst>
            <a:ext uri="{FF2B5EF4-FFF2-40B4-BE49-F238E27FC236}">
              <a16:creationId xmlns:a16="http://schemas.microsoft.com/office/drawing/2014/main" id="{3A4E5E0D-A03E-D446-8FD8-E219AC9AC23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258" name="AutoShape 1789" descr="note-add">
          <a:extLst>
            <a:ext uri="{FF2B5EF4-FFF2-40B4-BE49-F238E27FC236}">
              <a16:creationId xmlns:a16="http://schemas.microsoft.com/office/drawing/2014/main" id="{A7B9C6BF-CDD3-BA41-8634-6E22EC8440FF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259" name="AutoShape 1790" descr="alert toggle">
          <a:extLst>
            <a:ext uri="{FF2B5EF4-FFF2-40B4-BE49-F238E27FC236}">
              <a16:creationId xmlns:a16="http://schemas.microsoft.com/office/drawing/2014/main" id="{6D8E54B2-2270-F04E-8E65-B005EC4B82C7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60" name="AutoShape 1793" descr="note-add">
          <a:extLst>
            <a:ext uri="{FF2B5EF4-FFF2-40B4-BE49-F238E27FC236}">
              <a16:creationId xmlns:a16="http://schemas.microsoft.com/office/drawing/2014/main" id="{154B487D-6812-1A4C-91A9-FAA68C20F89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261" name="AutoShape 1794" descr="alert toggle">
          <a:extLst>
            <a:ext uri="{FF2B5EF4-FFF2-40B4-BE49-F238E27FC236}">
              <a16:creationId xmlns:a16="http://schemas.microsoft.com/office/drawing/2014/main" id="{905E1E89-DBEE-1E47-9177-1ADA3CE5E4B4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262" name="AutoShape 1797" descr="note-add">
          <a:extLst>
            <a:ext uri="{FF2B5EF4-FFF2-40B4-BE49-F238E27FC236}">
              <a16:creationId xmlns:a16="http://schemas.microsoft.com/office/drawing/2014/main" id="{325D0386-0162-3C46-AAAA-DDD428E7FF1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263" name="AutoShape 1798" descr="alert toggle">
          <a:extLst>
            <a:ext uri="{FF2B5EF4-FFF2-40B4-BE49-F238E27FC236}">
              <a16:creationId xmlns:a16="http://schemas.microsoft.com/office/drawing/2014/main" id="{AA2862C4-B720-3643-A6D5-A9DF6325293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1958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264" name="AutoShape 1801" descr="note-add">
          <a:extLst>
            <a:ext uri="{FF2B5EF4-FFF2-40B4-BE49-F238E27FC236}">
              <a16:creationId xmlns:a16="http://schemas.microsoft.com/office/drawing/2014/main" id="{5027F741-F95B-A543-8E9D-7C75FFFCEA8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265" name="AutoShape 1802" descr="alert toggle">
          <a:extLst>
            <a:ext uri="{FF2B5EF4-FFF2-40B4-BE49-F238E27FC236}">
              <a16:creationId xmlns:a16="http://schemas.microsoft.com/office/drawing/2014/main" id="{3A0E31A1-7A87-0245-A113-4819A570D07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1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266" name="AutoShape 1805" descr="note-add">
          <a:extLst>
            <a:ext uri="{FF2B5EF4-FFF2-40B4-BE49-F238E27FC236}">
              <a16:creationId xmlns:a16="http://schemas.microsoft.com/office/drawing/2014/main" id="{3A90C1A3-7677-7940-9E8C-CFCEDAD05A4F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267" name="AutoShape 1806" descr="alert toggle">
          <a:extLst>
            <a:ext uri="{FF2B5EF4-FFF2-40B4-BE49-F238E27FC236}">
              <a16:creationId xmlns:a16="http://schemas.microsoft.com/office/drawing/2014/main" id="{EC92FC80-9B85-7B4F-9551-6D30544560A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3900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268" name="AutoShape 1809" descr="note-add">
          <a:extLst>
            <a:ext uri="{FF2B5EF4-FFF2-40B4-BE49-F238E27FC236}">
              <a16:creationId xmlns:a16="http://schemas.microsoft.com/office/drawing/2014/main" id="{684A277C-A26C-864F-A537-5C8D11ADE232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269" name="AutoShape 1810" descr="alert toggle">
          <a:extLst>
            <a:ext uri="{FF2B5EF4-FFF2-40B4-BE49-F238E27FC236}">
              <a16:creationId xmlns:a16="http://schemas.microsoft.com/office/drawing/2014/main" id="{0A5CC8FE-B71B-404E-A02E-1E9F8CEEF66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26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270" name="AutoShape 1813" descr="note-add">
          <a:extLst>
            <a:ext uri="{FF2B5EF4-FFF2-40B4-BE49-F238E27FC236}">
              <a16:creationId xmlns:a16="http://schemas.microsoft.com/office/drawing/2014/main" id="{658D04B7-0B57-FD4F-BAE4-F9232FD4AF6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271" name="AutoShape 1814" descr="alert toggle">
          <a:extLst>
            <a:ext uri="{FF2B5EF4-FFF2-40B4-BE49-F238E27FC236}">
              <a16:creationId xmlns:a16="http://schemas.microsoft.com/office/drawing/2014/main" id="{563A7470-4F76-DF4A-9A3B-F76327F5A04B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0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72" name="AutoShape 1817" descr="note-add">
          <a:extLst>
            <a:ext uri="{FF2B5EF4-FFF2-40B4-BE49-F238E27FC236}">
              <a16:creationId xmlns:a16="http://schemas.microsoft.com/office/drawing/2014/main" id="{329F77C8-60F8-E14D-ACF8-9D0F0A389EC4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73" name="AutoShape 1818" descr="alert toggle">
          <a:extLst>
            <a:ext uri="{FF2B5EF4-FFF2-40B4-BE49-F238E27FC236}">
              <a16:creationId xmlns:a16="http://schemas.microsoft.com/office/drawing/2014/main" id="{FA8036BC-6E44-5B4A-9CA1-9DEC43ECCA1B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74" name="AutoShape 1821" descr="note-add">
          <a:extLst>
            <a:ext uri="{FF2B5EF4-FFF2-40B4-BE49-F238E27FC236}">
              <a16:creationId xmlns:a16="http://schemas.microsoft.com/office/drawing/2014/main" id="{DD71FF6E-E05E-6C49-8851-A344D637B13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75" name="AutoShape 1822" descr="alert toggle">
          <a:extLst>
            <a:ext uri="{FF2B5EF4-FFF2-40B4-BE49-F238E27FC236}">
              <a16:creationId xmlns:a16="http://schemas.microsoft.com/office/drawing/2014/main" id="{07BD66B9-D092-F249-9AD6-952420DCE0B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25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276" name="AutoShape 1825" descr="note-add">
          <a:extLst>
            <a:ext uri="{FF2B5EF4-FFF2-40B4-BE49-F238E27FC236}">
              <a16:creationId xmlns:a16="http://schemas.microsoft.com/office/drawing/2014/main" id="{DA21517D-0CBF-7D45-9AA9-8DB88FC4FED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277" name="AutoShape 1826" descr="alert toggle">
          <a:extLst>
            <a:ext uri="{FF2B5EF4-FFF2-40B4-BE49-F238E27FC236}">
              <a16:creationId xmlns:a16="http://schemas.microsoft.com/office/drawing/2014/main" id="{5770C5C4-8820-AA41-8F08-A41D42AAA17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469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278" name="AutoShape 1829" descr="note-add">
          <a:extLst>
            <a:ext uri="{FF2B5EF4-FFF2-40B4-BE49-F238E27FC236}">
              <a16:creationId xmlns:a16="http://schemas.microsoft.com/office/drawing/2014/main" id="{CC126D02-CC5B-1C45-B0F3-2094E9D15102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4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279" name="AutoShape 1833" descr="note-add">
          <a:extLst>
            <a:ext uri="{FF2B5EF4-FFF2-40B4-BE49-F238E27FC236}">
              <a16:creationId xmlns:a16="http://schemas.microsoft.com/office/drawing/2014/main" id="{1E140AD6-D33D-434F-B6B9-B6C67825171C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685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280" name="AutoShape 1837" descr="note-add">
          <a:extLst>
            <a:ext uri="{FF2B5EF4-FFF2-40B4-BE49-F238E27FC236}">
              <a16:creationId xmlns:a16="http://schemas.microsoft.com/office/drawing/2014/main" id="{8ED472C5-E72B-0544-9512-43DB77477C46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281" name="AutoShape 1838" descr="alert toggle">
          <a:extLst>
            <a:ext uri="{FF2B5EF4-FFF2-40B4-BE49-F238E27FC236}">
              <a16:creationId xmlns:a16="http://schemas.microsoft.com/office/drawing/2014/main" id="{37B98BB6-0B3A-0A44-802F-63C97D194AE2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39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282" name="AutoShape 1841" descr="note-add">
          <a:extLst>
            <a:ext uri="{FF2B5EF4-FFF2-40B4-BE49-F238E27FC236}">
              <a16:creationId xmlns:a16="http://schemas.microsoft.com/office/drawing/2014/main" id="{C8F00729-68A0-2248-93E6-2E6A583ACCF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283" name="AutoShape 1842" descr="alert toggle">
          <a:extLst>
            <a:ext uri="{FF2B5EF4-FFF2-40B4-BE49-F238E27FC236}">
              <a16:creationId xmlns:a16="http://schemas.microsoft.com/office/drawing/2014/main" id="{0EDCA491-4095-5849-ACC2-5E3BA00CB34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117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84" name="AutoShape 1845" descr="note-add">
          <a:extLst>
            <a:ext uri="{FF2B5EF4-FFF2-40B4-BE49-F238E27FC236}">
              <a16:creationId xmlns:a16="http://schemas.microsoft.com/office/drawing/2014/main" id="{FB7FE1A3-E219-7B4D-97DA-8F586770C8EE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85" name="AutoShape 1846" descr="alert toggle">
          <a:extLst>
            <a:ext uri="{FF2B5EF4-FFF2-40B4-BE49-F238E27FC236}">
              <a16:creationId xmlns:a16="http://schemas.microsoft.com/office/drawing/2014/main" id="{987C5369-8D67-A54E-AA18-2215A7887BE6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86" name="AutoShape 1849" descr="note-add">
          <a:extLst>
            <a:ext uri="{FF2B5EF4-FFF2-40B4-BE49-F238E27FC236}">
              <a16:creationId xmlns:a16="http://schemas.microsoft.com/office/drawing/2014/main" id="{DFF89F22-7855-4649-9644-5DCE57DF8F26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87" name="AutoShape 1850" descr="alert toggle">
          <a:extLst>
            <a:ext uri="{FF2B5EF4-FFF2-40B4-BE49-F238E27FC236}">
              <a16:creationId xmlns:a16="http://schemas.microsoft.com/office/drawing/2014/main" id="{70EEBA28-BEA7-C54C-9202-83BCC8F4AAE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3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88" name="AutoShape 1853" descr="note-add">
          <a:extLst>
            <a:ext uri="{FF2B5EF4-FFF2-40B4-BE49-F238E27FC236}">
              <a16:creationId xmlns:a16="http://schemas.microsoft.com/office/drawing/2014/main" id="{6BE75F28-A906-BB46-A921-96BD3D520124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89" name="AutoShape 1854" descr="alert toggle">
          <a:extLst>
            <a:ext uri="{FF2B5EF4-FFF2-40B4-BE49-F238E27FC236}">
              <a16:creationId xmlns:a16="http://schemas.microsoft.com/office/drawing/2014/main" id="{238E9E20-4E8A-BC46-9766-28D899DABA9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90" name="AutoShape 1857" descr="note-add">
          <a:extLst>
            <a:ext uri="{FF2B5EF4-FFF2-40B4-BE49-F238E27FC236}">
              <a16:creationId xmlns:a16="http://schemas.microsoft.com/office/drawing/2014/main" id="{53E0DA40-E4DA-244E-9C7B-37177A012732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91" name="AutoShape 1858" descr="alert toggle">
          <a:extLst>
            <a:ext uri="{FF2B5EF4-FFF2-40B4-BE49-F238E27FC236}">
              <a16:creationId xmlns:a16="http://schemas.microsoft.com/office/drawing/2014/main" id="{C423CBC4-CCC1-9745-91E6-6E870C4EF18F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47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292" name="AutoShape 1861" descr="note-add">
          <a:extLst>
            <a:ext uri="{FF2B5EF4-FFF2-40B4-BE49-F238E27FC236}">
              <a16:creationId xmlns:a16="http://schemas.microsoft.com/office/drawing/2014/main" id="{42D5A730-AEA0-2540-8247-2E86D071503F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293" name="AutoShape 1862" descr="alert toggle">
          <a:extLst>
            <a:ext uri="{FF2B5EF4-FFF2-40B4-BE49-F238E27FC236}">
              <a16:creationId xmlns:a16="http://schemas.microsoft.com/office/drawing/2014/main" id="{133852B2-F187-C643-80E3-DD41D7F59A7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5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94" name="AutoShape 1865" descr="note-add">
          <a:extLst>
            <a:ext uri="{FF2B5EF4-FFF2-40B4-BE49-F238E27FC236}">
              <a16:creationId xmlns:a16="http://schemas.microsoft.com/office/drawing/2014/main" id="{4B696662-782F-464E-84BC-018C468FBA19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295" name="AutoShape 1866" descr="alert toggle">
          <a:extLst>
            <a:ext uri="{FF2B5EF4-FFF2-40B4-BE49-F238E27FC236}">
              <a16:creationId xmlns:a16="http://schemas.microsoft.com/office/drawing/2014/main" id="{491AECCC-72F7-9540-9FD0-31BFC24243A3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96" name="AutoShape 1869" descr="note-add">
          <a:extLst>
            <a:ext uri="{FF2B5EF4-FFF2-40B4-BE49-F238E27FC236}">
              <a16:creationId xmlns:a16="http://schemas.microsoft.com/office/drawing/2014/main" id="{5C0C8884-38F2-C247-8A94-2F9E080EA72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756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</xdr:row>
      <xdr:rowOff>0</xdr:rowOff>
    </xdr:from>
    <xdr:ext cx="304800" cy="279400"/>
    <xdr:sp macro="" textlink="">
      <xdr:nvSpPr>
        <xdr:cNvPr id="297" name="AutoShape 2167" descr="note-add">
          <a:extLst>
            <a:ext uri="{FF2B5EF4-FFF2-40B4-BE49-F238E27FC236}">
              <a16:creationId xmlns:a16="http://schemas.microsoft.com/office/drawing/2014/main" id="{87FC6EEC-9A00-2044-A29F-C38CCF9A61CD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871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</xdr:row>
      <xdr:rowOff>0</xdr:rowOff>
    </xdr:from>
    <xdr:ext cx="304800" cy="279400"/>
    <xdr:sp macro="" textlink="">
      <xdr:nvSpPr>
        <xdr:cNvPr id="298" name="AutoShape 2168" descr="alert toggle">
          <a:extLst>
            <a:ext uri="{FF2B5EF4-FFF2-40B4-BE49-F238E27FC236}">
              <a16:creationId xmlns:a16="http://schemas.microsoft.com/office/drawing/2014/main" id="{0A3FA567-C533-4F45-821A-68AF1BFDA893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871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279400"/>
    <xdr:sp macro="" textlink="">
      <xdr:nvSpPr>
        <xdr:cNvPr id="299" name="AutoShape 2171" descr="note-add">
          <a:extLst>
            <a:ext uri="{FF2B5EF4-FFF2-40B4-BE49-F238E27FC236}">
              <a16:creationId xmlns:a16="http://schemas.microsoft.com/office/drawing/2014/main" id="{FB81802E-A05A-C247-B226-9E0502401CD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892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53</xdr:row>
      <xdr:rowOff>0</xdr:rowOff>
    </xdr:from>
    <xdr:ext cx="304800" cy="279400"/>
    <xdr:sp macro="" textlink="">
      <xdr:nvSpPr>
        <xdr:cNvPr id="300" name="AutoShape 2172" descr="alert toggle">
          <a:extLst>
            <a:ext uri="{FF2B5EF4-FFF2-40B4-BE49-F238E27FC236}">
              <a16:creationId xmlns:a16="http://schemas.microsoft.com/office/drawing/2014/main" id="{B7D5320C-1D1D-9A4C-B3C5-FD920EDC20CC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892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162</xdr:row>
      <xdr:rowOff>0</xdr:rowOff>
    </xdr:from>
    <xdr:ext cx="304800" cy="279400"/>
    <xdr:sp macro="" textlink="">
      <xdr:nvSpPr>
        <xdr:cNvPr id="301" name="AutoShape 2175" descr="note-add">
          <a:extLst>
            <a:ext uri="{FF2B5EF4-FFF2-40B4-BE49-F238E27FC236}">
              <a16:creationId xmlns:a16="http://schemas.microsoft.com/office/drawing/2014/main" id="{E5DC36D9-5065-AA4C-BE61-66DB1D34025D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979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162</xdr:row>
      <xdr:rowOff>0</xdr:rowOff>
    </xdr:from>
    <xdr:ext cx="304800" cy="279400"/>
    <xdr:sp macro="" textlink="">
      <xdr:nvSpPr>
        <xdr:cNvPr id="302" name="AutoShape 2176" descr="alert toggle">
          <a:extLst>
            <a:ext uri="{FF2B5EF4-FFF2-40B4-BE49-F238E27FC236}">
              <a16:creationId xmlns:a16="http://schemas.microsoft.com/office/drawing/2014/main" id="{EB756351-5305-BB4B-8148-769912A97DAE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979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182</xdr:row>
      <xdr:rowOff>0</xdr:rowOff>
    </xdr:from>
    <xdr:ext cx="304800" cy="279400"/>
    <xdr:sp macro="" textlink="">
      <xdr:nvSpPr>
        <xdr:cNvPr id="303" name="AutoShape 2179" descr="note-add">
          <a:extLst>
            <a:ext uri="{FF2B5EF4-FFF2-40B4-BE49-F238E27FC236}">
              <a16:creationId xmlns:a16="http://schemas.microsoft.com/office/drawing/2014/main" id="{E930C969-EB95-CE49-9828-C3BEF3C0FEF9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000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182</xdr:row>
      <xdr:rowOff>0</xdr:rowOff>
    </xdr:from>
    <xdr:ext cx="304800" cy="279400"/>
    <xdr:sp macro="" textlink="">
      <xdr:nvSpPr>
        <xdr:cNvPr id="304" name="AutoShape 2180" descr="alert toggle">
          <a:extLst>
            <a:ext uri="{FF2B5EF4-FFF2-40B4-BE49-F238E27FC236}">
              <a16:creationId xmlns:a16="http://schemas.microsoft.com/office/drawing/2014/main" id="{67D0786B-2D5F-F642-8890-833E1B9B351C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000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210</xdr:row>
      <xdr:rowOff>0</xdr:rowOff>
    </xdr:from>
    <xdr:ext cx="304800" cy="279400"/>
    <xdr:sp macro="" textlink="">
      <xdr:nvSpPr>
        <xdr:cNvPr id="305" name="AutoShape 2183" descr="note-add">
          <a:extLst>
            <a:ext uri="{FF2B5EF4-FFF2-40B4-BE49-F238E27FC236}">
              <a16:creationId xmlns:a16="http://schemas.microsoft.com/office/drawing/2014/main" id="{D48D2BB7-41F8-5745-90E7-AFAB2CD65C34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0439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210</xdr:row>
      <xdr:rowOff>0</xdr:rowOff>
    </xdr:from>
    <xdr:ext cx="304800" cy="279400"/>
    <xdr:sp macro="" textlink="">
      <xdr:nvSpPr>
        <xdr:cNvPr id="306" name="AutoShape 2184" descr="alert toggle">
          <a:extLst>
            <a:ext uri="{FF2B5EF4-FFF2-40B4-BE49-F238E27FC236}">
              <a16:creationId xmlns:a16="http://schemas.microsoft.com/office/drawing/2014/main" id="{E98416A9-EFAC-0D4F-90D3-30D8E396FACD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0439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279400"/>
    <xdr:sp macro="" textlink="">
      <xdr:nvSpPr>
        <xdr:cNvPr id="307" name="AutoShape 2187" descr="note-add">
          <a:extLst>
            <a:ext uri="{FF2B5EF4-FFF2-40B4-BE49-F238E27FC236}">
              <a16:creationId xmlns:a16="http://schemas.microsoft.com/office/drawing/2014/main" id="{5E60CE55-E214-A842-A0CD-2A035B80F4A4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08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320</xdr:row>
      <xdr:rowOff>0</xdr:rowOff>
    </xdr:from>
    <xdr:ext cx="304800" cy="279400"/>
    <xdr:sp macro="" textlink="">
      <xdr:nvSpPr>
        <xdr:cNvPr id="308" name="AutoShape 2188" descr="alert toggle">
          <a:extLst>
            <a:ext uri="{FF2B5EF4-FFF2-40B4-BE49-F238E27FC236}">
              <a16:creationId xmlns:a16="http://schemas.microsoft.com/office/drawing/2014/main" id="{90125F32-CD30-5B4D-B0EB-A7AB73EFDEDF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08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325</xdr:row>
      <xdr:rowOff>0</xdr:rowOff>
    </xdr:from>
    <xdr:ext cx="304800" cy="279400"/>
    <xdr:sp macro="" textlink="">
      <xdr:nvSpPr>
        <xdr:cNvPr id="309" name="AutoShape 2191" descr="note-add">
          <a:extLst>
            <a:ext uri="{FF2B5EF4-FFF2-40B4-BE49-F238E27FC236}">
              <a16:creationId xmlns:a16="http://schemas.microsoft.com/office/drawing/2014/main" id="{B5077381-8BC2-7E44-A57B-8CF9BC9F931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30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325</xdr:row>
      <xdr:rowOff>0</xdr:rowOff>
    </xdr:from>
    <xdr:ext cx="304800" cy="279400"/>
    <xdr:sp macro="" textlink="">
      <xdr:nvSpPr>
        <xdr:cNvPr id="310" name="AutoShape 2192" descr="alert toggle">
          <a:extLst>
            <a:ext uri="{FF2B5EF4-FFF2-40B4-BE49-F238E27FC236}">
              <a16:creationId xmlns:a16="http://schemas.microsoft.com/office/drawing/2014/main" id="{3C78E970-DECC-2C42-A178-3E4BCDEA47C0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30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359</xdr:row>
      <xdr:rowOff>0</xdr:rowOff>
    </xdr:from>
    <xdr:ext cx="304800" cy="279400"/>
    <xdr:sp macro="" textlink="">
      <xdr:nvSpPr>
        <xdr:cNvPr id="311" name="AutoShape 2195" descr="note-add">
          <a:extLst>
            <a:ext uri="{FF2B5EF4-FFF2-40B4-BE49-F238E27FC236}">
              <a16:creationId xmlns:a16="http://schemas.microsoft.com/office/drawing/2014/main" id="{2B2B5FAF-1DEA-4849-B748-18BC9E66EB3C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95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359</xdr:row>
      <xdr:rowOff>0</xdr:rowOff>
    </xdr:from>
    <xdr:ext cx="304800" cy="279400"/>
    <xdr:sp macro="" textlink="">
      <xdr:nvSpPr>
        <xdr:cNvPr id="312" name="AutoShape 2196" descr="alert toggle">
          <a:extLst>
            <a:ext uri="{FF2B5EF4-FFF2-40B4-BE49-F238E27FC236}">
              <a16:creationId xmlns:a16="http://schemas.microsoft.com/office/drawing/2014/main" id="{B3647687-E0BB-2145-9A64-EAD73A7D5BFA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95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279400"/>
    <xdr:sp macro="" textlink="">
      <xdr:nvSpPr>
        <xdr:cNvPr id="313" name="AutoShape 2199" descr="note-add">
          <a:extLst>
            <a:ext uri="{FF2B5EF4-FFF2-40B4-BE49-F238E27FC236}">
              <a16:creationId xmlns:a16="http://schemas.microsoft.com/office/drawing/2014/main" id="{2E81BF44-CF3D-E348-AE52-F54C4804CC85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2166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379</xdr:row>
      <xdr:rowOff>0</xdr:rowOff>
    </xdr:from>
    <xdr:ext cx="304800" cy="279400"/>
    <xdr:sp macro="" textlink="">
      <xdr:nvSpPr>
        <xdr:cNvPr id="314" name="AutoShape 2200" descr="alert toggle">
          <a:extLst>
            <a:ext uri="{FF2B5EF4-FFF2-40B4-BE49-F238E27FC236}">
              <a16:creationId xmlns:a16="http://schemas.microsoft.com/office/drawing/2014/main" id="{8FD30A18-7A04-1B46-B973-1E3D0A6C3FFB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2166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261</xdr:row>
      <xdr:rowOff>0</xdr:rowOff>
    </xdr:from>
    <xdr:ext cx="304800" cy="279400"/>
    <xdr:sp macro="" textlink="">
      <xdr:nvSpPr>
        <xdr:cNvPr id="315" name="AutoShape 2203" descr="note-add">
          <a:extLst>
            <a:ext uri="{FF2B5EF4-FFF2-40B4-BE49-F238E27FC236}">
              <a16:creationId xmlns:a16="http://schemas.microsoft.com/office/drawing/2014/main" id="{3CB30270-B47F-1244-AB9B-28B00B86BDB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065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261</xdr:row>
      <xdr:rowOff>0</xdr:rowOff>
    </xdr:from>
    <xdr:ext cx="304800" cy="279400"/>
    <xdr:sp macro="" textlink="">
      <xdr:nvSpPr>
        <xdr:cNvPr id="316" name="AutoShape 2204" descr="alert toggle">
          <a:extLst>
            <a:ext uri="{FF2B5EF4-FFF2-40B4-BE49-F238E27FC236}">
              <a16:creationId xmlns:a16="http://schemas.microsoft.com/office/drawing/2014/main" id="{90AFF3DF-5384-7C41-9CE6-BE7AE1B2694C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065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279400"/>
    <xdr:sp macro="" textlink="">
      <xdr:nvSpPr>
        <xdr:cNvPr id="317" name="AutoShape 2207" descr="note-add">
          <a:extLst>
            <a:ext uri="{FF2B5EF4-FFF2-40B4-BE49-F238E27FC236}">
              <a16:creationId xmlns:a16="http://schemas.microsoft.com/office/drawing/2014/main" id="{F2D9D27C-5A32-3C4C-908B-505AC23F9EBD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08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320</xdr:row>
      <xdr:rowOff>0</xdr:rowOff>
    </xdr:from>
    <xdr:ext cx="304800" cy="279400"/>
    <xdr:sp macro="" textlink="">
      <xdr:nvSpPr>
        <xdr:cNvPr id="318" name="AutoShape 2208" descr="alert toggle">
          <a:extLst>
            <a:ext uri="{FF2B5EF4-FFF2-40B4-BE49-F238E27FC236}">
              <a16:creationId xmlns:a16="http://schemas.microsoft.com/office/drawing/2014/main" id="{BB42693C-E4D9-5042-9A9A-5FD95605B51D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08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279400"/>
    <xdr:sp macro="" textlink="">
      <xdr:nvSpPr>
        <xdr:cNvPr id="319" name="AutoShape 2211" descr="note-add">
          <a:extLst>
            <a:ext uri="{FF2B5EF4-FFF2-40B4-BE49-F238E27FC236}">
              <a16:creationId xmlns:a16="http://schemas.microsoft.com/office/drawing/2014/main" id="{9C189A57-9381-7244-9954-4E58DED70918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2166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379</xdr:row>
      <xdr:rowOff>0</xdr:rowOff>
    </xdr:from>
    <xdr:ext cx="304800" cy="279400"/>
    <xdr:sp macro="" textlink="">
      <xdr:nvSpPr>
        <xdr:cNvPr id="320" name="AutoShape 2212" descr="alert toggle">
          <a:extLst>
            <a:ext uri="{FF2B5EF4-FFF2-40B4-BE49-F238E27FC236}">
              <a16:creationId xmlns:a16="http://schemas.microsoft.com/office/drawing/2014/main" id="{93AA0C17-415E-864D-B948-6544FC7F8D49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2166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304799"/>
    <xdr:sp macro="" textlink="">
      <xdr:nvSpPr>
        <xdr:cNvPr id="321" name="AutoShape 2215" descr="note-add">
          <a:extLst>
            <a:ext uri="{FF2B5EF4-FFF2-40B4-BE49-F238E27FC236}">
              <a16:creationId xmlns:a16="http://schemas.microsoft.com/office/drawing/2014/main" id="{C5C202B7-6A4E-4C46-980A-EE0E0156EAD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2166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379</xdr:row>
      <xdr:rowOff>0</xdr:rowOff>
    </xdr:from>
    <xdr:ext cx="304800" cy="304799"/>
    <xdr:sp macro="" textlink="">
      <xdr:nvSpPr>
        <xdr:cNvPr id="322" name="AutoShape 2216" descr="alert toggle">
          <a:extLst>
            <a:ext uri="{FF2B5EF4-FFF2-40B4-BE49-F238E27FC236}">
              <a16:creationId xmlns:a16="http://schemas.microsoft.com/office/drawing/2014/main" id="{17E5AD5F-9894-9444-9386-B1BA2A96CDC1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2166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279400"/>
    <xdr:sp macro="" textlink="">
      <xdr:nvSpPr>
        <xdr:cNvPr id="323" name="AutoShape 2509" descr="note-add">
          <a:extLst>
            <a:ext uri="{FF2B5EF4-FFF2-40B4-BE49-F238E27FC236}">
              <a16:creationId xmlns:a16="http://schemas.microsoft.com/office/drawing/2014/main" id="{F24CD317-CB3D-2B4F-B60E-A35AA985BED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800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</xdr:row>
      <xdr:rowOff>0</xdr:rowOff>
    </xdr:from>
    <xdr:ext cx="304800" cy="279400"/>
    <xdr:sp macro="" textlink="">
      <xdr:nvSpPr>
        <xdr:cNvPr id="324" name="AutoShape 2510" descr="alert toggle">
          <a:extLst>
            <a:ext uri="{FF2B5EF4-FFF2-40B4-BE49-F238E27FC236}">
              <a16:creationId xmlns:a16="http://schemas.microsoft.com/office/drawing/2014/main" id="{B7C46A3C-9470-7244-BB0F-CB5639FC9181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800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76</xdr:row>
      <xdr:rowOff>0</xdr:rowOff>
    </xdr:from>
    <xdr:ext cx="304800" cy="279400"/>
    <xdr:sp macro="" textlink="">
      <xdr:nvSpPr>
        <xdr:cNvPr id="325" name="AutoShape 2513" descr="note-add">
          <a:extLst>
            <a:ext uri="{FF2B5EF4-FFF2-40B4-BE49-F238E27FC236}">
              <a16:creationId xmlns:a16="http://schemas.microsoft.com/office/drawing/2014/main" id="{FFEDE620-57F0-8C48-B5A6-63BEA1285D1E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843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76</xdr:row>
      <xdr:rowOff>0</xdr:rowOff>
    </xdr:from>
    <xdr:ext cx="304800" cy="279400"/>
    <xdr:sp macro="" textlink="">
      <xdr:nvSpPr>
        <xdr:cNvPr id="326" name="AutoShape 2514" descr="alert toggle">
          <a:extLst>
            <a:ext uri="{FF2B5EF4-FFF2-40B4-BE49-F238E27FC236}">
              <a16:creationId xmlns:a16="http://schemas.microsoft.com/office/drawing/2014/main" id="{8CB45B3D-CB9E-6144-A1E9-1B01EED2918F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843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146</xdr:row>
      <xdr:rowOff>0</xdr:rowOff>
    </xdr:from>
    <xdr:ext cx="304800" cy="279400"/>
    <xdr:sp macro="" textlink="">
      <xdr:nvSpPr>
        <xdr:cNvPr id="327" name="AutoShape 2517" descr="note-add">
          <a:extLst>
            <a:ext uri="{FF2B5EF4-FFF2-40B4-BE49-F238E27FC236}">
              <a16:creationId xmlns:a16="http://schemas.microsoft.com/office/drawing/2014/main" id="{C6E8C7C7-56B1-8044-8873-CB2725AB632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865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146</xdr:row>
      <xdr:rowOff>0</xdr:rowOff>
    </xdr:from>
    <xdr:ext cx="304800" cy="279400"/>
    <xdr:sp macro="" textlink="">
      <xdr:nvSpPr>
        <xdr:cNvPr id="328" name="AutoShape 2518" descr="alert toggle">
          <a:extLst>
            <a:ext uri="{FF2B5EF4-FFF2-40B4-BE49-F238E27FC236}">
              <a16:creationId xmlns:a16="http://schemas.microsoft.com/office/drawing/2014/main" id="{B1D3FFFA-D042-8348-86CD-018DF6F0854F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865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146</xdr:row>
      <xdr:rowOff>0</xdr:rowOff>
    </xdr:from>
    <xdr:ext cx="304800" cy="279400"/>
    <xdr:sp macro="" textlink="">
      <xdr:nvSpPr>
        <xdr:cNvPr id="329" name="AutoShape 2521" descr="note-add">
          <a:extLst>
            <a:ext uri="{FF2B5EF4-FFF2-40B4-BE49-F238E27FC236}">
              <a16:creationId xmlns:a16="http://schemas.microsoft.com/office/drawing/2014/main" id="{BD87963D-0917-504B-80D7-53766F27D6C9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865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146</xdr:row>
      <xdr:rowOff>0</xdr:rowOff>
    </xdr:from>
    <xdr:ext cx="304800" cy="279400"/>
    <xdr:sp macro="" textlink="">
      <xdr:nvSpPr>
        <xdr:cNvPr id="330" name="AutoShape 2522" descr="alert toggle">
          <a:extLst>
            <a:ext uri="{FF2B5EF4-FFF2-40B4-BE49-F238E27FC236}">
              <a16:creationId xmlns:a16="http://schemas.microsoft.com/office/drawing/2014/main" id="{C3627B51-7346-A642-8EA4-7CFB50BCD1BC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865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158</xdr:row>
      <xdr:rowOff>0</xdr:rowOff>
    </xdr:from>
    <xdr:ext cx="304800" cy="279400"/>
    <xdr:sp macro="" textlink="">
      <xdr:nvSpPr>
        <xdr:cNvPr id="331" name="AutoShape 2525" descr="note-add">
          <a:extLst>
            <a:ext uri="{FF2B5EF4-FFF2-40B4-BE49-F238E27FC236}">
              <a16:creationId xmlns:a16="http://schemas.microsoft.com/office/drawing/2014/main" id="{BE8BC87A-1742-EC49-B49A-69AD9441087A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886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158</xdr:row>
      <xdr:rowOff>0</xdr:rowOff>
    </xdr:from>
    <xdr:ext cx="304800" cy="279400"/>
    <xdr:sp macro="" textlink="">
      <xdr:nvSpPr>
        <xdr:cNvPr id="332" name="AutoShape 2526" descr="alert toggle">
          <a:extLst>
            <a:ext uri="{FF2B5EF4-FFF2-40B4-BE49-F238E27FC236}">
              <a16:creationId xmlns:a16="http://schemas.microsoft.com/office/drawing/2014/main" id="{8E3A72CC-733B-2D45-BE5C-BF0DFD039133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8867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178</xdr:row>
      <xdr:rowOff>0</xdr:rowOff>
    </xdr:from>
    <xdr:ext cx="304800" cy="279400"/>
    <xdr:sp macro="" textlink="">
      <xdr:nvSpPr>
        <xdr:cNvPr id="333" name="AutoShape 2529" descr="note-add">
          <a:extLst>
            <a:ext uri="{FF2B5EF4-FFF2-40B4-BE49-F238E27FC236}">
              <a16:creationId xmlns:a16="http://schemas.microsoft.com/office/drawing/2014/main" id="{C30C8B3B-406F-9443-8DE0-CB13E15A2E0F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908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178</xdr:row>
      <xdr:rowOff>0</xdr:rowOff>
    </xdr:from>
    <xdr:ext cx="304800" cy="279400"/>
    <xdr:sp macro="" textlink="">
      <xdr:nvSpPr>
        <xdr:cNvPr id="334" name="AutoShape 2530" descr="alert toggle">
          <a:extLst>
            <a:ext uri="{FF2B5EF4-FFF2-40B4-BE49-F238E27FC236}">
              <a16:creationId xmlns:a16="http://schemas.microsoft.com/office/drawing/2014/main" id="{F0F5D496-7E8B-3A4F-BD5F-4C23859C5558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908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188</xdr:row>
      <xdr:rowOff>0</xdr:rowOff>
    </xdr:from>
    <xdr:ext cx="304800" cy="279400"/>
    <xdr:sp macro="" textlink="">
      <xdr:nvSpPr>
        <xdr:cNvPr id="335" name="AutoShape 2533" descr="note-add">
          <a:extLst>
            <a:ext uri="{FF2B5EF4-FFF2-40B4-BE49-F238E27FC236}">
              <a16:creationId xmlns:a16="http://schemas.microsoft.com/office/drawing/2014/main" id="{9298E1FE-513A-8645-81DE-EBECB62BC5F3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929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188</xdr:row>
      <xdr:rowOff>0</xdr:rowOff>
    </xdr:from>
    <xdr:ext cx="304800" cy="279400"/>
    <xdr:sp macro="" textlink="">
      <xdr:nvSpPr>
        <xdr:cNvPr id="336" name="AutoShape 2534" descr="alert toggle">
          <a:extLst>
            <a:ext uri="{FF2B5EF4-FFF2-40B4-BE49-F238E27FC236}">
              <a16:creationId xmlns:a16="http://schemas.microsoft.com/office/drawing/2014/main" id="{9BE36B25-7B04-174F-96F9-882A27DCAA0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929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206</xdr:row>
      <xdr:rowOff>0</xdr:rowOff>
    </xdr:from>
    <xdr:ext cx="304800" cy="279400"/>
    <xdr:sp macro="" textlink="">
      <xdr:nvSpPr>
        <xdr:cNvPr id="337" name="AutoShape 2537" descr="note-add">
          <a:extLst>
            <a:ext uri="{FF2B5EF4-FFF2-40B4-BE49-F238E27FC236}">
              <a16:creationId xmlns:a16="http://schemas.microsoft.com/office/drawing/2014/main" id="{7CD35F42-90C6-AC42-95A4-34D2B12ED8EF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9514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206</xdr:row>
      <xdr:rowOff>0</xdr:rowOff>
    </xdr:from>
    <xdr:ext cx="304800" cy="279400"/>
    <xdr:sp macro="" textlink="">
      <xdr:nvSpPr>
        <xdr:cNvPr id="338" name="AutoShape 2538" descr="alert toggle">
          <a:extLst>
            <a:ext uri="{FF2B5EF4-FFF2-40B4-BE49-F238E27FC236}">
              <a16:creationId xmlns:a16="http://schemas.microsoft.com/office/drawing/2014/main" id="{B37B6449-9618-E249-873B-CBB62A45729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9514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257</xdr:row>
      <xdr:rowOff>0</xdr:rowOff>
    </xdr:from>
    <xdr:ext cx="304800" cy="279400"/>
    <xdr:sp macro="" textlink="">
      <xdr:nvSpPr>
        <xdr:cNvPr id="339" name="AutoShape 2541" descr="note-add">
          <a:extLst>
            <a:ext uri="{FF2B5EF4-FFF2-40B4-BE49-F238E27FC236}">
              <a16:creationId xmlns:a16="http://schemas.microsoft.com/office/drawing/2014/main" id="{B3F83AAD-8830-1C48-B23D-E13B652557E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973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257</xdr:row>
      <xdr:rowOff>0</xdr:rowOff>
    </xdr:from>
    <xdr:ext cx="304800" cy="279400"/>
    <xdr:sp macro="" textlink="">
      <xdr:nvSpPr>
        <xdr:cNvPr id="340" name="AutoShape 2542" descr="alert toggle">
          <a:extLst>
            <a:ext uri="{FF2B5EF4-FFF2-40B4-BE49-F238E27FC236}">
              <a16:creationId xmlns:a16="http://schemas.microsoft.com/office/drawing/2014/main" id="{EC97EEDA-A4AA-CB49-8B5C-0C6D3F678A19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973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257</xdr:row>
      <xdr:rowOff>0</xdr:rowOff>
    </xdr:from>
    <xdr:ext cx="304800" cy="279400"/>
    <xdr:sp macro="" textlink="">
      <xdr:nvSpPr>
        <xdr:cNvPr id="341" name="AutoShape 2545" descr="note-add">
          <a:extLst>
            <a:ext uri="{FF2B5EF4-FFF2-40B4-BE49-F238E27FC236}">
              <a16:creationId xmlns:a16="http://schemas.microsoft.com/office/drawing/2014/main" id="{E3B35A2C-0DC8-3945-B751-E4999E47FC10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973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257</xdr:row>
      <xdr:rowOff>0</xdr:rowOff>
    </xdr:from>
    <xdr:ext cx="304800" cy="279400"/>
    <xdr:sp macro="" textlink="">
      <xdr:nvSpPr>
        <xdr:cNvPr id="342" name="AutoShape 2546" descr="alert toggle">
          <a:extLst>
            <a:ext uri="{FF2B5EF4-FFF2-40B4-BE49-F238E27FC236}">
              <a16:creationId xmlns:a16="http://schemas.microsoft.com/office/drawing/2014/main" id="{DC593F99-D5BF-5E48-AC5C-B5A9E7117156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973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315</xdr:row>
      <xdr:rowOff>0</xdr:rowOff>
    </xdr:from>
    <xdr:ext cx="304800" cy="279400"/>
    <xdr:sp macro="" textlink="">
      <xdr:nvSpPr>
        <xdr:cNvPr id="343" name="AutoShape 2549" descr="note-add">
          <a:extLst>
            <a:ext uri="{FF2B5EF4-FFF2-40B4-BE49-F238E27FC236}">
              <a16:creationId xmlns:a16="http://schemas.microsoft.com/office/drawing/2014/main" id="{E8E87454-1B86-E94B-B6DB-AB74A24D0B28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7994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315</xdr:row>
      <xdr:rowOff>0</xdr:rowOff>
    </xdr:from>
    <xdr:ext cx="304800" cy="279400"/>
    <xdr:sp macro="" textlink="">
      <xdr:nvSpPr>
        <xdr:cNvPr id="344" name="AutoShape 2550" descr="alert toggle">
          <a:extLst>
            <a:ext uri="{FF2B5EF4-FFF2-40B4-BE49-F238E27FC236}">
              <a16:creationId xmlns:a16="http://schemas.microsoft.com/office/drawing/2014/main" id="{A25FF92C-09C6-A749-8367-09DE50EEA82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7994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321</xdr:row>
      <xdr:rowOff>0</xdr:rowOff>
    </xdr:from>
    <xdr:ext cx="304800" cy="279400"/>
    <xdr:sp macro="" textlink="">
      <xdr:nvSpPr>
        <xdr:cNvPr id="345" name="AutoShape 2553" descr="note-add">
          <a:extLst>
            <a:ext uri="{FF2B5EF4-FFF2-40B4-BE49-F238E27FC236}">
              <a16:creationId xmlns:a16="http://schemas.microsoft.com/office/drawing/2014/main" id="{9088A7EC-B981-9C4F-ADD6-D1DE069D9FE1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8016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321</xdr:row>
      <xdr:rowOff>0</xdr:rowOff>
    </xdr:from>
    <xdr:ext cx="304800" cy="279400"/>
    <xdr:sp macro="" textlink="">
      <xdr:nvSpPr>
        <xdr:cNvPr id="346" name="AutoShape 2554" descr="alert toggle">
          <a:extLst>
            <a:ext uri="{FF2B5EF4-FFF2-40B4-BE49-F238E27FC236}">
              <a16:creationId xmlns:a16="http://schemas.microsoft.com/office/drawing/2014/main" id="{A93AA020-D4A0-8F4B-BD9E-83A8C92D0D93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8016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326</xdr:row>
      <xdr:rowOff>0</xdr:rowOff>
    </xdr:from>
    <xdr:ext cx="304800" cy="279400"/>
    <xdr:sp macro="" textlink="">
      <xdr:nvSpPr>
        <xdr:cNvPr id="347" name="AutoShape 2557" descr="note-add">
          <a:extLst>
            <a:ext uri="{FF2B5EF4-FFF2-40B4-BE49-F238E27FC236}">
              <a16:creationId xmlns:a16="http://schemas.microsoft.com/office/drawing/2014/main" id="{1D259F51-6BDC-A444-BD42-4A01E9F504B7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80378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326</xdr:row>
      <xdr:rowOff>0</xdr:rowOff>
    </xdr:from>
    <xdr:ext cx="304800" cy="279400"/>
    <xdr:sp macro="" textlink="">
      <xdr:nvSpPr>
        <xdr:cNvPr id="348" name="AutoShape 2558" descr="alert toggle">
          <a:extLst>
            <a:ext uri="{FF2B5EF4-FFF2-40B4-BE49-F238E27FC236}">
              <a16:creationId xmlns:a16="http://schemas.microsoft.com/office/drawing/2014/main" id="{D8059A06-90F5-1640-B086-051688023815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80378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355</xdr:row>
      <xdr:rowOff>0</xdr:rowOff>
    </xdr:from>
    <xdr:ext cx="304800" cy="292101"/>
    <xdr:sp macro="" textlink="">
      <xdr:nvSpPr>
        <xdr:cNvPr id="349" name="AutoShape 2561" descr="note-add">
          <a:extLst>
            <a:ext uri="{FF2B5EF4-FFF2-40B4-BE49-F238E27FC236}">
              <a16:creationId xmlns:a16="http://schemas.microsoft.com/office/drawing/2014/main" id="{976A3D20-69F5-8643-AD45-F530818D0F22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805942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355</xdr:row>
      <xdr:rowOff>0</xdr:rowOff>
    </xdr:from>
    <xdr:ext cx="304800" cy="292101"/>
    <xdr:sp macro="" textlink="">
      <xdr:nvSpPr>
        <xdr:cNvPr id="350" name="AutoShape 2562" descr="alert toggle">
          <a:extLst>
            <a:ext uri="{FF2B5EF4-FFF2-40B4-BE49-F238E27FC236}">
              <a16:creationId xmlns:a16="http://schemas.microsoft.com/office/drawing/2014/main" id="{3F0C7BED-C5C3-3446-8AD4-2E1105C321FD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805942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375</xdr:row>
      <xdr:rowOff>0</xdr:rowOff>
    </xdr:from>
    <xdr:ext cx="304800" cy="292101"/>
    <xdr:sp macro="" textlink="">
      <xdr:nvSpPr>
        <xdr:cNvPr id="351" name="AutoShape 2565" descr="note-add">
          <a:extLst>
            <a:ext uri="{FF2B5EF4-FFF2-40B4-BE49-F238E27FC236}">
              <a16:creationId xmlns:a16="http://schemas.microsoft.com/office/drawing/2014/main" id="{0653624C-57FF-C54B-B473-37AF2D4E04C5}"/>
            </a:ext>
          </a:extLst>
        </xdr:cNvPr>
        <xdr:cNvSpPr>
          <a:spLocks noChangeAspect="1" noChangeArrowheads="1"/>
        </xdr:cNvSpPr>
      </xdr:nvSpPr>
      <xdr:spPr bwMode="auto">
        <a:xfrm>
          <a:off x="22580600" y="80810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375</xdr:row>
      <xdr:rowOff>0</xdr:rowOff>
    </xdr:from>
    <xdr:ext cx="304800" cy="292101"/>
    <xdr:sp macro="" textlink="">
      <xdr:nvSpPr>
        <xdr:cNvPr id="352" name="AutoShape 2566" descr="alert toggle">
          <a:extLst>
            <a:ext uri="{FF2B5EF4-FFF2-40B4-BE49-F238E27FC236}">
              <a16:creationId xmlns:a16="http://schemas.microsoft.com/office/drawing/2014/main" id="{C698A332-61CD-144C-8E07-FB77C6140DE4}"/>
            </a:ext>
          </a:extLst>
        </xdr:cNvPr>
        <xdr:cNvSpPr>
          <a:spLocks noChangeAspect="1" noChangeArrowheads="1"/>
        </xdr:cNvSpPr>
      </xdr:nvSpPr>
      <xdr:spPr bwMode="auto">
        <a:xfrm>
          <a:off x="22898100" y="80810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</xdr:row>
      <xdr:rowOff>0</xdr:rowOff>
    </xdr:from>
    <xdr:ext cx="304800" cy="279400"/>
    <xdr:sp macro="" textlink="">
      <xdr:nvSpPr>
        <xdr:cNvPr id="353" name="AutoShape 3101" descr="note-add">
          <a:extLst>
            <a:ext uri="{FF2B5EF4-FFF2-40B4-BE49-F238E27FC236}">
              <a16:creationId xmlns:a16="http://schemas.microsoft.com/office/drawing/2014/main" id="{EE98146E-F14A-C74C-9451-DBE0089E6F1F}"/>
            </a:ext>
          </a:extLst>
        </xdr:cNvPr>
        <xdr:cNvSpPr>
          <a:spLocks noChangeAspect="1" noChangeArrowheads="1"/>
        </xdr:cNvSpPr>
      </xdr:nvSpPr>
      <xdr:spPr bwMode="auto">
        <a:xfrm>
          <a:off x="29362400" y="61290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</xdr:row>
      <xdr:rowOff>0</xdr:rowOff>
    </xdr:from>
    <xdr:ext cx="304800" cy="279400"/>
    <xdr:sp macro="" textlink="">
      <xdr:nvSpPr>
        <xdr:cNvPr id="354" name="AutoShape 3102" descr="alert toggle">
          <a:extLst>
            <a:ext uri="{FF2B5EF4-FFF2-40B4-BE49-F238E27FC236}">
              <a16:creationId xmlns:a16="http://schemas.microsoft.com/office/drawing/2014/main" id="{A8162DA3-C8F5-6B43-A7D0-8CFB652F815E}"/>
            </a:ext>
          </a:extLst>
        </xdr:cNvPr>
        <xdr:cNvSpPr>
          <a:spLocks noChangeAspect="1" noChangeArrowheads="1"/>
        </xdr:cNvSpPr>
      </xdr:nvSpPr>
      <xdr:spPr bwMode="auto">
        <a:xfrm>
          <a:off x="29679900" y="61290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128</xdr:row>
      <xdr:rowOff>0</xdr:rowOff>
    </xdr:from>
    <xdr:ext cx="304800" cy="279400"/>
    <xdr:sp macro="" textlink="">
      <xdr:nvSpPr>
        <xdr:cNvPr id="355" name="AutoShape 3278" descr="note-add">
          <a:extLst>
            <a:ext uri="{FF2B5EF4-FFF2-40B4-BE49-F238E27FC236}">
              <a16:creationId xmlns:a16="http://schemas.microsoft.com/office/drawing/2014/main" id="{EBF3A2E8-EFEC-2B43-9683-6761D528010A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1937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128</xdr:row>
      <xdr:rowOff>0</xdr:rowOff>
    </xdr:from>
    <xdr:ext cx="304800" cy="279400"/>
    <xdr:sp macro="" textlink="">
      <xdr:nvSpPr>
        <xdr:cNvPr id="356" name="AutoShape 3279" descr="alert toggle">
          <a:extLst>
            <a:ext uri="{FF2B5EF4-FFF2-40B4-BE49-F238E27FC236}">
              <a16:creationId xmlns:a16="http://schemas.microsoft.com/office/drawing/2014/main" id="{733DB190-4421-A144-819E-503D81FC90B5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1937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159</xdr:row>
      <xdr:rowOff>0</xdr:rowOff>
    </xdr:from>
    <xdr:ext cx="304800" cy="279400"/>
    <xdr:sp macro="" textlink="">
      <xdr:nvSpPr>
        <xdr:cNvPr id="357" name="AutoShape 3282" descr="note-add">
          <a:extLst>
            <a:ext uri="{FF2B5EF4-FFF2-40B4-BE49-F238E27FC236}">
              <a16:creationId xmlns:a16="http://schemas.microsoft.com/office/drawing/2014/main" id="{41D45080-2C7F-DD47-B6BD-02D67D0EFE85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236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159</xdr:row>
      <xdr:rowOff>0</xdr:rowOff>
    </xdr:from>
    <xdr:ext cx="304800" cy="279400"/>
    <xdr:sp macro="" textlink="">
      <xdr:nvSpPr>
        <xdr:cNvPr id="358" name="AutoShape 3286" descr="note-add">
          <a:extLst>
            <a:ext uri="{FF2B5EF4-FFF2-40B4-BE49-F238E27FC236}">
              <a16:creationId xmlns:a16="http://schemas.microsoft.com/office/drawing/2014/main" id="{73AA22AE-4FA5-E14B-AABF-8E50474B1B1E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236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159</xdr:row>
      <xdr:rowOff>0</xdr:rowOff>
    </xdr:from>
    <xdr:ext cx="304800" cy="279400"/>
    <xdr:sp macro="" textlink="">
      <xdr:nvSpPr>
        <xdr:cNvPr id="359" name="AutoShape 3287" descr="alert toggle">
          <a:extLst>
            <a:ext uri="{FF2B5EF4-FFF2-40B4-BE49-F238E27FC236}">
              <a16:creationId xmlns:a16="http://schemas.microsoft.com/office/drawing/2014/main" id="{8B9FBB41-C89D-1D4B-A93B-6377290736E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236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179</xdr:row>
      <xdr:rowOff>0</xdr:rowOff>
    </xdr:from>
    <xdr:ext cx="304800" cy="279400"/>
    <xdr:sp macro="" textlink="">
      <xdr:nvSpPr>
        <xdr:cNvPr id="360" name="AutoShape 3290" descr="note-add">
          <a:extLst>
            <a:ext uri="{FF2B5EF4-FFF2-40B4-BE49-F238E27FC236}">
              <a16:creationId xmlns:a16="http://schemas.microsoft.com/office/drawing/2014/main" id="{B6EEDBE8-592D-7849-918A-CDF943F4D92E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258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179</xdr:row>
      <xdr:rowOff>0</xdr:rowOff>
    </xdr:from>
    <xdr:ext cx="304800" cy="279400"/>
    <xdr:sp macro="" textlink="">
      <xdr:nvSpPr>
        <xdr:cNvPr id="361" name="AutoShape 3291" descr="alert toggle">
          <a:extLst>
            <a:ext uri="{FF2B5EF4-FFF2-40B4-BE49-F238E27FC236}">
              <a16:creationId xmlns:a16="http://schemas.microsoft.com/office/drawing/2014/main" id="{D06D1891-8352-2945-88AB-17876AF4BCAA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258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189</xdr:row>
      <xdr:rowOff>0</xdr:rowOff>
    </xdr:from>
    <xdr:ext cx="304800" cy="279400"/>
    <xdr:sp macro="" textlink="">
      <xdr:nvSpPr>
        <xdr:cNvPr id="362" name="AutoShape 3294" descr="note-add">
          <a:extLst>
            <a:ext uri="{FF2B5EF4-FFF2-40B4-BE49-F238E27FC236}">
              <a16:creationId xmlns:a16="http://schemas.microsoft.com/office/drawing/2014/main" id="{DAAD80BF-DB6A-154F-B43C-A4275028013B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2801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189</xdr:row>
      <xdr:rowOff>0</xdr:rowOff>
    </xdr:from>
    <xdr:ext cx="304800" cy="279400"/>
    <xdr:sp macro="" textlink="">
      <xdr:nvSpPr>
        <xdr:cNvPr id="363" name="AutoShape 3295" descr="alert toggle">
          <a:extLst>
            <a:ext uri="{FF2B5EF4-FFF2-40B4-BE49-F238E27FC236}">
              <a16:creationId xmlns:a16="http://schemas.microsoft.com/office/drawing/2014/main" id="{02572219-2CBF-F64E-A7C9-E0B99CAE51B1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2801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207</xdr:row>
      <xdr:rowOff>0</xdr:rowOff>
    </xdr:from>
    <xdr:ext cx="304800" cy="279400"/>
    <xdr:sp macro="" textlink="">
      <xdr:nvSpPr>
        <xdr:cNvPr id="364" name="AutoShape 3298" descr="note-add">
          <a:extLst>
            <a:ext uri="{FF2B5EF4-FFF2-40B4-BE49-F238E27FC236}">
              <a16:creationId xmlns:a16="http://schemas.microsoft.com/office/drawing/2014/main" id="{5469E30E-BDB3-BC45-887A-87BCC875E1FC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301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207</xdr:row>
      <xdr:rowOff>0</xdr:rowOff>
    </xdr:from>
    <xdr:ext cx="304800" cy="279400"/>
    <xdr:sp macro="" textlink="">
      <xdr:nvSpPr>
        <xdr:cNvPr id="365" name="AutoShape 3299" descr="alert toggle">
          <a:extLst>
            <a:ext uri="{FF2B5EF4-FFF2-40B4-BE49-F238E27FC236}">
              <a16:creationId xmlns:a16="http://schemas.microsoft.com/office/drawing/2014/main" id="{C90E7DDD-F065-7446-B779-F1A4F6633419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301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258</xdr:row>
      <xdr:rowOff>0</xdr:rowOff>
    </xdr:from>
    <xdr:ext cx="304800" cy="279400"/>
    <xdr:sp macro="" textlink="">
      <xdr:nvSpPr>
        <xdr:cNvPr id="366" name="AutoShape 3302" descr="note-add">
          <a:extLst>
            <a:ext uri="{FF2B5EF4-FFF2-40B4-BE49-F238E27FC236}">
              <a16:creationId xmlns:a16="http://schemas.microsoft.com/office/drawing/2014/main" id="{312FD981-0FA2-8143-BBC8-36AAE5A2B135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3233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258</xdr:row>
      <xdr:rowOff>0</xdr:rowOff>
    </xdr:from>
    <xdr:ext cx="304800" cy="279400"/>
    <xdr:sp macro="" textlink="">
      <xdr:nvSpPr>
        <xdr:cNvPr id="367" name="AutoShape 3303" descr="alert toggle">
          <a:extLst>
            <a:ext uri="{FF2B5EF4-FFF2-40B4-BE49-F238E27FC236}">
              <a16:creationId xmlns:a16="http://schemas.microsoft.com/office/drawing/2014/main" id="{43F90FCE-9BAB-B74E-9C63-11617187AD1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3233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316</xdr:row>
      <xdr:rowOff>0</xdr:rowOff>
    </xdr:from>
    <xdr:ext cx="304800" cy="279400"/>
    <xdr:sp macro="" textlink="">
      <xdr:nvSpPr>
        <xdr:cNvPr id="368" name="AutoShape 3306" descr="note-add">
          <a:extLst>
            <a:ext uri="{FF2B5EF4-FFF2-40B4-BE49-F238E27FC236}">
              <a16:creationId xmlns:a16="http://schemas.microsoft.com/office/drawing/2014/main" id="{1DAB4325-769C-5345-8E44-FFCFBFB28D17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344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316</xdr:row>
      <xdr:rowOff>0</xdr:rowOff>
    </xdr:from>
    <xdr:ext cx="304800" cy="279400"/>
    <xdr:sp macro="" textlink="">
      <xdr:nvSpPr>
        <xdr:cNvPr id="369" name="AutoShape 3307" descr="alert toggle">
          <a:extLst>
            <a:ext uri="{FF2B5EF4-FFF2-40B4-BE49-F238E27FC236}">
              <a16:creationId xmlns:a16="http://schemas.microsoft.com/office/drawing/2014/main" id="{D27BE525-B048-8040-BB50-68515485A671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344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316</xdr:row>
      <xdr:rowOff>0</xdr:rowOff>
    </xdr:from>
    <xdr:ext cx="304800" cy="279400"/>
    <xdr:sp macro="" textlink="">
      <xdr:nvSpPr>
        <xdr:cNvPr id="370" name="AutoShape 3310" descr="note-add">
          <a:extLst>
            <a:ext uri="{FF2B5EF4-FFF2-40B4-BE49-F238E27FC236}">
              <a16:creationId xmlns:a16="http://schemas.microsoft.com/office/drawing/2014/main" id="{C39881BB-DCE3-9F43-A38F-FEFE86B58FBC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344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316</xdr:row>
      <xdr:rowOff>0</xdr:rowOff>
    </xdr:from>
    <xdr:ext cx="304800" cy="279400"/>
    <xdr:sp macro="" textlink="">
      <xdr:nvSpPr>
        <xdr:cNvPr id="371" name="AutoShape 3311" descr="alert toggle">
          <a:extLst>
            <a:ext uri="{FF2B5EF4-FFF2-40B4-BE49-F238E27FC236}">
              <a16:creationId xmlns:a16="http://schemas.microsoft.com/office/drawing/2014/main" id="{674A8B89-F7E6-BB46-85A7-E87CF8DEE1FC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344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322</xdr:row>
      <xdr:rowOff>0</xdr:rowOff>
    </xdr:from>
    <xdr:ext cx="304800" cy="279400"/>
    <xdr:sp macro="" textlink="">
      <xdr:nvSpPr>
        <xdr:cNvPr id="372" name="AutoShape 3314" descr="note-add">
          <a:extLst>
            <a:ext uri="{FF2B5EF4-FFF2-40B4-BE49-F238E27FC236}">
              <a16:creationId xmlns:a16="http://schemas.microsoft.com/office/drawing/2014/main" id="{B455BE35-94CA-3C42-9392-99F5453BE6BD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366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322</xdr:row>
      <xdr:rowOff>0</xdr:rowOff>
    </xdr:from>
    <xdr:ext cx="304800" cy="279400"/>
    <xdr:sp macro="" textlink="">
      <xdr:nvSpPr>
        <xdr:cNvPr id="373" name="AutoShape 3315" descr="alert toggle">
          <a:extLst>
            <a:ext uri="{FF2B5EF4-FFF2-40B4-BE49-F238E27FC236}">
              <a16:creationId xmlns:a16="http://schemas.microsoft.com/office/drawing/2014/main" id="{BF1C50E5-9E0D-F443-B3A2-B2796242388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366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74" name="AutoShape 3318" descr="note-add">
          <a:extLst>
            <a:ext uri="{FF2B5EF4-FFF2-40B4-BE49-F238E27FC236}">
              <a16:creationId xmlns:a16="http://schemas.microsoft.com/office/drawing/2014/main" id="{A8B1E0EF-E97F-1E41-A193-DC826DA1D835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75" name="AutoShape 3319" descr="alert toggle">
          <a:extLst>
            <a:ext uri="{FF2B5EF4-FFF2-40B4-BE49-F238E27FC236}">
              <a16:creationId xmlns:a16="http://schemas.microsoft.com/office/drawing/2014/main" id="{4F15F4CA-784D-E949-B4BE-0B7313B58739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76" name="AutoShape 3322" descr="note-add">
          <a:extLst>
            <a:ext uri="{FF2B5EF4-FFF2-40B4-BE49-F238E27FC236}">
              <a16:creationId xmlns:a16="http://schemas.microsoft.com/office/drawing/2014/main" id="{91A26C48-7285-7041-8394-6B6E8D69BF25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77" name="AutoShape 3323" descr="alert toggle">
          <a:extLst>
            <a:ext uri="{FF2B5EF4-FFF2-40B4-BE49-F238E27FC236}">
              <a16:creationId xmlns:a16="http://schemas.microsoft.com/office/drawing/2014/main" id="{BDF33579-9E9C-BB4D-B460-12748FF5E39E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96</xdr:row>
      <xdr:rowOff>0</xdr:rowOff>
    </xdr:from>
    <xdr:ext cx="304800" cy="279400"/>
    <xdr:sp macro="" textlink="">
      <xdr:nvSpPr>
        <xdr:cNvPr id="378" name="AutoShape 3326" descr="note-add">
          <a:extLst>
            <a:ext uri="{FF2B5EF4-FFF2-40B4-BE49-F238E27FC236}">
              <a16:creationId xmlns:a16="http://schemas.microsoft.com/office/drawing/2014/main" id="{E8820BC0-054D-5940-9EF2-852184FAEAC5}"/>
            </a:ext>
          </a:extLst>
        </xdr:cNvPr>
        <xdr:cNvSpPr>
          <a:spLocks noChangeAspect="1" noChangeArrowheads="1"/>
        </xdr:cNvSpPr>
      </xdr:nvSpPr>
      <xdr:spPr bwMode="auto">
        <a:xfrm>
          <a:off x="25450800" y="6588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79" name="AutoShape 3330" descr="note-add">
          <a:extLst>
            <a:ext uri="{FF2B5EF4-FFF2-40B4-BE49-F238E27FC236}">
              <a16:creationId xmlns:a16="http://schemas.microsoft.com/office/drawing/2014/main" id="{795B770E-A039-8C45-89A4-33C578FD4E10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80" name="AutoShape 3331" descr="alert toggle">
          <a:extLst>
            <a:ext uri="{FF2B5EF4-FFF2-40B4-BE49-F238E27FC236}">
              <a16:creationId xmlns:a16="http://schemas.microsoft.com/office/drawing/2014/main" id="{FFF2A511-8B37-B14D-82E3-ACCB1ACA73C3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81" name="AutoShape 3334" descr="note-add">
          <a:extLst>
            <a:ext uri="{FF2B5EF4-FFF2-40B4-BE49-F238E27FC236}">
              <a16:creationId xmlns:a16="http://schemas.microsoft.com/office/drawing/2014/main" id="{FAAF0330-94E0-724F-AD6D-73CB70295938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82" name="AutoShape 3335" descr="alert toggle">
          <a:extLst>
            <a:ext uri="{FF2B5EF4-FFF2-40B4-BE49-F238E27FC236}">
              <a16:creationId xmlns:a16="http://schemas.microsoft.com/office/drawing/2014/main" id="{4696F2E9-6442-D842-BFF6-A71894ECB3E7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640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</xdr:row>
      <xdr:rowOff>0</xdr:rowOff>
    </xdr:from>
    <xdr:ext cx="304800" cy="279400"/>
    <xdr:sp macro="" textlink="">
      <xdr:nvSpPr>
        <xdr:cNvPr id="383" name="AutoShape 3852" descr="note-add">
          <a:extLst>
            <a:ext uri="{FF2B5EF4-FFF2-40B4-BE49-F238E27FC236}">
              <a16:creationId xmlns:a16="http://schemas.microsoft.com/office/drawing/2014/main" id="{9EB91F06-61EA-9E49-8F4C-57EF1DC7C527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871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</xdr:row>
      <xdr:rowOff>0</xdr:rowOff>
    </xdr:from>
    <xdr:ext cx="304800" cy="279400"/>
    <xdr:sp macro="" textlink="">
      <xdr:nvSpPr>
        <xdr:cNvPr id="384" name="AutoShape 3853" descr="alert toggle">
          <a:extLst>
            <a:ext uri="{FF2B5EF4-FFF2-40B4-BE49-F238E27FC236}">
              <a16:creationId xmlns:a16="http://schemas.microsoft.com/office/drawing/2014/main" id="{E9A96AAA-5B80-6043-9496-8C3A55669205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871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279400"/>
    <xdr:sp macro="" textlink="">
      <xdr:nvSpPr>
        <xdr:cNvPr id="385" name="AutoShape 3856" descr="note-add">
          <a:extLst>
            <a:ext uri="{FF2B5EF4-FFF2-40B4-BE49-F238E27FC236}">
              <a16:creationId xmlns:a16="http://schemas.microsoft.com/office/drawing/2014/main" id="{7A3673C1-70B6-A74D-A2DE-31934A37ADE4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892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53</xdr:row>
      <xdr:rowOff>0</xdr:rowOff>
    </xdr:from>
    <xdr:ext cx="304800" cy="279400"/>
    <xdr:sp macro="" textlink="">
      <xdr:nvSpPr>
        <xdr:cNvPr id="386" name="AutoShape 3857" descr="alert toggle">
          <a:extLst>
            <a:ext uri="{FF2B5EF4-FFF2-40B4-BE49-F238E27FC236}">
              <a16:creationId xmlns:a16="http://schemas.microsoft.com/office/drawing/2014/main" id="{7B0DC42F-7A08-484D-874C-2DBFFAD3CD88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892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129</xdr:row>
      <xdr:rowOff>0</xdr:rowOff>
    </xdr:from>
    <xdr:ext cx="304800" cy="279400"/>
    <xdr:sp macro="" textlink="">
      <xdr:nvSpPr>
        <xdr:cNvPr id="387" name="AutoShape 3860" descr="note-add">
          <a:extLst>
            <a:ext uri="{FF2B5EF4-FFF2-40B4-BE49-F238E27FC236}">
              <a16:creationId xmlns:a16="http://schemas.microsoft.com/office/drawing/2014/main" id="{58F79FC7-DD5F-A64A-9B56-AFE756159F0A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9359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129</xdr:row>
      <xdr:rowOff>0</xdr:rowOff>
    </xdr:from>
    <xdr:ext cx="304800" cy="279400"/>
    <xdr:sp macro="" textlink="">
      <xdr:nvSpPr>
        <xdr:cNvPr id="388" name="AutoShape 3861" descr="alert toggle">
          <a:extLst>
            <a:ext uri="{FF2B5EF4-FFF2-40B4-BE49-F238E27FC236}">
              <a16:creationId xmlns:a16="http://schemas.microsoft.com/office/drawing/2014/main" id="{5324DE27-B8EF-864A-BADD-A35BEF24BAE4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9359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150</xdr:row>
      <xdr:rowOff>0</xdr:rowOff>
    </xdr:from>
    <xdr:ext cx="304800" cy="279400"/>
    <xdr:sp macro="" textlink="">
      <xdr:nvSpPr>
        <xdr:cNvPr id="389" name="AutoShape 3864" descr="note-add">
          <a:extLst>
            <a:ext uri="{FF2B5EF4-FFF2-40B4-BE49-F238E27FC236}">
              <a16:creationId xmlns:a16="http://schemas.microsoft.com/office/drawing/2014/main" id="{BBA55609-3B00-7A4C-B3F4-8F726385B4A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9575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150</xdr:row>
      <xdr:rowOff>0</xdr:rowOff>
    </xdr:from>
    <xdr:ext cx="304800" cy="279400"/>
    <xdr:sp macro="" textlink="">
      <xdr:nvSpPr>
        <xdr:cNvPr id="390" name="AutoShape 3865" descr="alert toggle">
          <a:extLst>
            <a:ext uri="{FF2B5EF4-FFF2-40B4-BE49-F238E27FC236}">
              <a16:creationId xmlns:a16="http://schemas.microsoft.com/office/drawing/2014/main" id="{0F2035D5-EAB6-2244-B5D4-565D4B7D0B84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9575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162</xdr:row>
      <xdr:rowOff>0</xdr:rowOff>
    </xdr:from>
    <xdr:ext cx="304800" cy="279400"/>
    <xdr:sp macro="" textlink="">
      <xdr:nvSpPr>
        <xdr:cNvPr id="391" name="AutoShape 3868" descr="note-add">
          <a:extLst>
            <a:ext uri="{FF2B5EF4-FFF2-40B4-BE49-F238E27FC236}">
              <a16:creationId xmlns:a16="http://schemas.microsoft.com/office/drawing/2014/main" id="{9B2DAF91-6CA3-344E-BC38-22E3CB358FC0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979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162</xdr:row>
      <xdr:rowOff>0</xdr:rowOff>
    </xdr:from>
    <xdr:ext cx="304800" cy="279400"/>
    <xdr:sp macro="" textlink="">
      <xdr:nvSpPr>
        <xdr:cNvPr id="392" name="AutoShape 3869" descr="alert toggle">
          <a:extLst>
            <a:ext uri="{FF2B5EF4-FFF2-40B4-BE49-F238E27FC236}">
              <a16:creationId xmlns:a16="http://schemas.microsoft.com/office/drawing/2014/main" id="{FE9457DF-45AD-5548-9409-AC4B6B75AF34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979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182</xdr:row>
      <xdr:rowOff>0</xdr:rowOff>
    </xdr:from>
    <xdr:ext cx="304800" cy="279400"/>
    <xdr:sp macro="" textlink="">
      <xdr:nvSpPr>
        <xdr:cNvPr id="393" name="AutoShape 3872" descr="note-add">
          <a:extLst>
            <a:ext uri="{FF2B5EF4-FFF2-40B4-BE49-F238E27FC236}">
              <a16:creationId xmlns:a16="http://schemas.microsoft.com/office/drawing/2014/main" id="{C6B5F4B1-4E0C-BA45-B3FE-B62559F9AF45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000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182</xdr:row>
      <xdr:rowOff>0</xdr:rowOff>
    </xdr:from>
    <xdr:ext cx="304800" cy="279400"/>
    <xdr:sp macro="" textlink="">
      <xdr:nvSpPr>
        <xdr:cNvPr id="394" name="AutoShape 3873" descr="alert toggle">
          <a:extLst>
            <a:ext uri="{FF2B5EF4-FFF2-40B4-BE49-F238E27FC236}">
              <a16:creationId xmlns:a16="http://schemas.microsoft.com/office/drawing/2014/main" id="{319AC531-13C8-5E49-8E4A-45FB3B8E0435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000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279400"/>
    <xdr:sp macro="" textlink="">
      <xdr:nvSpPr>
        <xdr:cNvPr id="395" name="AutoShape 3876" descr="note-add">
          <a:extLst>
            <a:ext uri="{FF2B5EF4-FFF2-40B4-BE49-F238E27FC236}">
              <a16:creationId xmlns:a16="http://schemas.microsoft.com/office/drawing/2014/main" id="{35C049E3-7A82-1F45-B376-0E8F5011F956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0223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192</xdr:row>
      <xdr:rowOff>0</xdr:rowOff>
    </xdr:from>
    <xdr:ext cx="304800" cy="279400"/>
    <xdr:sp macro="" textlink="">
      <xdr:nvSpPr>
        <xdr:cNvPr id="396" name="AutoShape 3877" descr="alert toggle">
          <a:extLst>
            <a:ext uri="{FF2B5EF4-FFF2-40B4-BE49-F238E27FC236}">
              <a16:creationId xmlns:a16="http://schemas.microsoft.com/office/drawing/2014/main" id="{D48F70AE-2030-9B45-96DC-2460AD1523D0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0223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210</xdr:row>
      <xdr:rowOff>0</xdr:rowOff>
    </xdr:from>
    <xdr:ext cx="304800" cy="279400"/>
    <xdr:sp macro="" textlink="">
      <xdr:nvSpPr>
        <xdr:cNvPr id="397" name="AutoShape 3880" descr="note-add">
          <a:extLst>
            <a:ext uri="{FF2B5EF4-FFF2-40B4-BE49-F238E27FC236}">
              <a16:creationId xmlns:a16="http://schemas.microsoft.com/office/drawing/2014/main" id="{69AE4765-468D-3E4D-9349-24150E8D02B6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0439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210</xdr:row>
      <xdr:rowOff>0</xdr:rowOff>
    </xdr:from>
    <xdr:ext cx="304800" cy="279400"/>
    <xdr:sp macro="" textlink="">
      <xdr:nvSpPr>
        <xdr:cNvPr id="398" name="AutoShape 3881" descr="alert toggle">
          <a:extLst>
            <a:ext uri="{FF2B5EF4-FFF2-40B4-BE49-F238E27FC236}">
              <a16:creationId xmlns:a16="http://schemas.microsoft.com/office/drawing/2014/main" id="{B051544C-9660-F04F-823C-FB61D6AC42DB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0439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261</xdr:row>
      <xdr:rowOff>0</xdr:rowOff>
    </xdr:from>
    <xdr:ext cx="304800" cy="279400"/>
    <xdr:sp macro="" textlink="">
      <xdr:nvSpPr>
        <xdr:cNvPr id="399" name="AutoShape 3884" descr="note-add">
          <a:extLst>
            <a:ext uri="{FF2B5EF4-FFF2-40B4-BE49-F238E27FC236}">
              <a16:creationId xmlns:a16="http://schemas.microsoft.com/office/drawing/2014/main" id="{A56386BB-663D-4041-8E62-332F0FD7CB90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065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261</xdr:row>
      <xdr:rowOff>0</xdr:rowOff>
    </xdr:from>
    <xdr:ext cx="304800" cy="279400"/>
    <xdr:sp macro="" textlink="">
      <xdr:nvSpPr>
        <xdr:cNvPr id="400" name="AutoShape 3885" descr="alert toggle">
          <a:extLst>
            <a:ext uri="{FF2B5EF4-FFF2-40B4-BE49-F238E27FC236}">
              <a16:creationId xmlns:a16="http://schemas.microsoft.com/office/drawing/2014/main" id="{11EFBB9E-768A-D343-A731-3DFD5A21F739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065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279400"/>
    <xdr:sp macro="" textlink="">
      <xdr:nvSpPr>
        <xdr:cNvPr id="401" name="AutoShape 3888" descr="note-add">
          <a:extLst>
            <a:ext uri="{FF2B5EF4-FFF2-40B4-BE49-F238E27FC236}">
              <a16:creationId xmlns:a16="http://schemas.microsoft.com/office/drawing/2014/main" id="{CA3DA2F8-BD12-5947-8481-8270EA8CFB9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08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320</xdr:row>
      <xdr:rowOff>0</xdr:rowOff>
    </xdr:from>
    <xdr:ext cx="304800" cy="279400"/>
    <xdr:sp macro="" textlink="">
      <xdr:nvSpPr>
        <xdr:cNvPr id="402" name="AutoShape 3889" descr="alert toggle">
          <a:extLst>
            <a:ext uri="{FF2B5EF4-FFF2-40B4-BE49-F238E27FC236}">
              <a16:creationId xmlns:a16="http://schemas.microsoft.com/office/drawing/2014/main" id="{0CFCD2C5-A940-6846-A9F1-C5D8541C3276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08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325</xdr:row>
      <xdr:rowOff>0</xdr:rowOff>
    </xdr:from>
    <xdr:ext cx="304800" cy="279400"/>
    <xdr:sp macro="" textlink="">
      <xdr:nvSpPr>
        <xdr:cNvPr id="403" name="AutoShape 3892" descr="note-add">
          <a:extLst>
            <a:ext uri="{FF2B5EF4-FFF2-40B4-BE49-F238E27FC236}">
              <a16:creationId xmlns:a16="http://schemas.microsoft.com/office/drawing/2014/main" id="{DDAF63BA-02AB-2B46-B8A8-B8F64F5F65CC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30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325</xdr:row>
      <xdr:rowOff>0</xdr:rowOff>
    </xdr:from>
    <xdr:ext cx="304800" cy="279400"/>
    <xdr:sp macro="" textlink="">
      <xdr:nvSpPr>
        <xdr:cNvPr id="404" name="AutoShape 3893" descr="alert toggle">
          <a:extLst>
            <a:ext uri="{FF2B5EF4-FFF2-40B4-BE49-F238E27FC236}">
              <a16:creationId xmlns:a16="http://schemas.microsoft.com/office/drawing/2014/main" id="{D8A73A98-59EF-F145-BAC0-29B5FBA6A1D2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30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342</xdr:row>
      <xdr:rowOff>0</xdr:rowOff>
    </xdr:from>
    <xdr:ext cx="304800" cy="279400"/>
    <xdr:sp macro="" textlink="">
      <xdr:nvSpPr>
        <xdr:cNvPr id="405" name="AutoShape 3896" descr="note-add">
          <a:extLst>
            <a:ext uri="{FF2B5EF4-FFF2-40B4-BE49-F238E27FC236}">
              <a16:creationId xmlns:a16="http://schemas.microsoft.com/office/drawing/2014/main" id="{34BFF794-F4BB-E744-811E-5C09B5CBB9A7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73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342</xdr:row>
      <xdr:rowOff>0</xdr:rowOff>
    </xdr:from>
    <xdr:ext cx="304800" cy="279400"/>
    <xdr:sp macro="" textlink="">
      <xdr:nvSpPr>
        <xdr:cNvPr id="406" name="AutoShape 3897" descr="alert toggle">
          <a:extLst>
            <a:ext uri="{FF2B5EF4-FFF2-40B4-BE49-F238E27FC236}">
              <a16:creationId xmlns:a16="http://schemas.microsoft.com/office/drawing/2014/main" id="{521C5769-9D51-E54C-8C40-96FDFEC62FB8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173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359</xdr:row>
      <xdr:rowOff>0</xdr:rowOff>
    </xdr:from>
    <xdr:ext cx="304800" cy="279400"/>
    <xdr:sp macro="" textlink="">
      <xdr:nvSpPr>
        <xdr:cNvPr id="407" name="AutoShape 3900" descr="note-add">
          <a:extLst>
            <a:ext uri="{FF2B5EF4-FFF2-40B4-BE49-F238E27FC236}">
              <a16:creationId xmlns:a16="http://schemas.microsoft.com/office/drawing/2014/main" id="{3D7AF58B-53FD-2147-951A-A43F641DA307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195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279400"/>
    <xdr:sp macro="" textlink="">
      <xdr:nvSpPr>
        <xdr:cNvPr id="408" name="AutoShape 3904" descr="note-add">
          <a:extLst>
            <a:ext uri="{FF2B5EF4-FFF2-40B4-BE49-F238E27FC236}">
              <a16:creationId xmlns:a16="http://schemas.microsoft.com/office/drawing/2014/main" id="{88544FC7-4E27-6E46-8171-BA71498FA639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2166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04801"/>
    <xdr:sp macro="" textlink="">
      <xdr:nvSpPr>
        <xdr:cNvPr id="409" name="AutoShape 4473" descr="note-add">
          <a:extLst>
            <a:ext uri="{FF2B5EF4-FFF2-40B4-BE49-F238E27FC236}">
              <a16:creationId xmlns:a16="http://schemas.microsoft.com/office/drawing/2014/main" id="{7E8589F7-979A-C347-AFDD-93EC9B0E0AE9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5412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54</xdr:row>
      <xdr:rowOff>0</xdr:rowOff>
    </xdr:from>
    <xdr:ext cx="304800" cy="304801"/>
    <xdr:sp macro="" textlink="">
      <xdr:nvSpPr>
        <xdr:cNvPr id="410" name="AutoShape 4474" descr="alert toggle">
          <a:extLst>
            <a:ext uri="{FF2B5EF4-FFF2-40B4-BE49-F238E27FC236}">
              <a16:creationId xmlns:a16="http://schemas.microsoft.com/office/drawing/2014/main" id="{7D7D1329-DBD3-D84D-99E6-06A97A136948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5412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331</xdr:row>
      <xdr:rowOff>0</xdr:rowOff>
    </xdr:from>
    <xdr:ext cx="304800" cy="304799"/>
    <xdr:sp macro="" textlink="">
      <xdr:nvSpPr>
        <xdr:cNvPr id="411" name="AutoShape 4477" descr="note-add">
          <a:extLst>
            <a:ext uri="{FF2B5EF4-FFF2-40B4-BE49-F238E27FC236}">
              <a16:creationId xmlns:a16="http://schemas.microsoft.com/office/drawing/2014/main" id="{5D8BA07A-96B4-3F49-8B12-C9B80E9DD6B8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7355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331</xdr:row>
      <xdr:rowOff>0</xdr:rowOff>
    </xdr:from>
    <xdr:ext cx="304800" cy="304799"/>
    <xdr:sp macro="" textlink="">
      <xdr:nvSpPr>
        <xdr:cNvPr id="412" name="AutoShape 4478" descr="alert toggle">
          <a:extLst>
            <a:ext uri="{FF2B5EF4-FFF2-40B4-BE49-F238E27FC236}">
              <a16:creationId xmlns:a16="http://schemas.microsoft.com/office/drawing/2014/main" id="{E254E432-EEAB-4740-BABB-C4EE78D23E8F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7355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380</xdr:row>
      <xdr:rowOff>0</xdr:rowOff>
    </xdr:from>
    <xdr:ext cx="304800" cy="304799"/>
    <xdr:sp macro="" textlink="">
      <xdr:nvSpPr>
        <xdr:cNvPr id="413" name="AutoShape 4481" descr="note-add">
          <a:extLst>
            <a:ext uri="{FF2B5EF4-FFF2-40B4-BE49-F238E27FC236}">
              <a16:creationId xmlns:a16="http://schemas.microsoft.com/office/drawing/2014/main" id="{8B9F511C-12F0-BC45-B7EE-C146D1F97032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7571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380</xdr:row>
      <xdr:rowOff>0</xdr:rowOff>
    </xdr:from>
    <xdr:ext cx="304800" cy="304799"/>
    <xdr:sp macro="" textlink="">
      <xdr:nvSpPr>
        <xdr:cNvPr id="414" name="AutoShape 4482" descr="alert toggle">
          <a:extLst>
            <a:ext uri="{FF2B5EF4-FFF2-40B4-BE49-F238E27FC236}">
              <a16:creationId xmlns:a16="http://schemas.microsoft.com/office/drawing/2014/main" id="{0DBBE593-9F52-574B-BCD5-FBFE8758C0B3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7571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305</xdr:row>
      <xdr:rowOff>0</xdr:rowOff>
    </xdr:from>
    <xdr:ext cx="304800" cy="304801"/>
    <xdr:sp macro="" textlink="">
      <xdr:nvSpPr>
        <xdr:cNvPr id="415" name="AutoShape 4485" descr="note-add">
          <a:extLst>
            <a:ext uri="{FF2B5EF4-FFF2-40B4-BE49-F238E27FC236}">
              <a16:creationId xmlns:a16="http://schemas.microsoft.com/office/drawing/2014/main" id="{622AA1E7-EA29-3044-9351-CADF5B7E05A4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692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305</xdr:row>
      <xdr:rowOff>0</xdr:rowOff>
    </xdr:from>
    <xdr:ext cx="304800" cy="304801"/>
    <xdr:sp macro="" textlink="">
      <xdr:nvSpPr>
        <xdr:cNvPr id="416" name="AutoShape 4486" descr="alert toggle">
          <a:extLst>
            <a:ext uri="{FF2B5EF4-FFF2-40B4-BE49-F238E27FC236}">
              <a16:creationId xmlns:a16="http://schemas.microsoft.com/office/drawing/2014/main" id="{32CDA194-D492-084C-9895-4DB884D18A8C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692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305</xdr:row>
      <xdr:rowOff>0</xdr:rowOff>
    </xdr:from>
    <xdr:ext cx="304800" cy="304800"/>
    <xdr:sp macro="" textlink="">
      <xdr:nvSpPr>
        <xdr:cNvPr id="417" name="AutoShape 4489" descr="note-add">
          <a:extLst>
            <a:ext uri="{FF2B5EF4-FFF2-40B4-BE49-F238E27FC236}">
              <a16:creationId xmlns:a16="http://schemas.microsoft.com/office/drawing/2014/main" id="{E02335E6-CF40-B14C-A32B-D60DC42AADDA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6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305</xdr:row>
      <xdr:rowOff>0</xdr:rowOff>
    </xdr:from>
    <xdr:ext cx="304800" cy="304800"/>
    <xdr:sp macro="" textlink="">
      <xdr:nvSpPr>
        <xdr:cNvPr id="418" name="AutoShape 4490" descr="alert toggle">
          <a:extLst>
            <a:ext uri="{FF2B5EF4-FFF2-40B4-BE49-F238E27FC236}">
              <a16:creationId xmlns:a16="http://schemas.microsoft.com/office/drawing/2014/main" id="{460871D4-6C68-E34B-BDDA-2BB2792A8608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6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331</xdr:row>
      <xdr:rowOff>0</xdr:rowOff>
    </xdr:from>
    <xdr:ext cx="304800" cy="304800"/>
    <xdr:sp macro="" textlink="">
      <xdr:nvSpPr>
        <xdr:cNvPr id="419" name="AutoShape 4493" descr="note-add">
          <a:extLst>
            <a:ext uri="{FF2B5EF4-FFF2-40B4-BE49-F238E27FC236}">
              <a16:creationId xmlns:a16="http://schemas.microsoft.com/office/drawing/2014/main" id="{C356E569-5F6C-884E-82AF-6DD6B39813E1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73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380</xdr:row>
      <xdr:rowOff>0</xdr:rowOff>
    </xdr:from>
    <xdr:ext cx="304800" cy="304799"/>
    <xdr:sp macro="" textlink="">
      <xdr:nvSpPr>
        <xdr:cNvPr id="420" name="AutoShape 4497" descr="note-add">
          <a:extLst>
            <a:ext uri="{FF2B5EF4-FFF2-40B4-BE49-F238E27FC236}">
              <a16:creationId xmlns:a16="http://schemas.microsoft.com/office/drawing/2014/main" id="{1119F1E5-90CF-F046-8139-02F1EC373B4C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7571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380</xdr:row>
      <xdr:rowOff>0</xdr:rowOff>
    </xdr:from>
    <xdr:ext cx="304800" cy="304799"/>
    <xdr:sp macro="" textlink="">
      <xdr:nvSpPr>
        <xdr:cNvPr id="421" name="AutoShape 4498" descr="alert toggle">
          <a:extLst>
            <a:ext uri="{FF2B5EF4-FFF2-40B4-BE49-F238E27FC236}">
              <a16:creationId xmlns:a16="http://schemas.microsoft.com/office/drawing/2014/main" id="{10A0F031-23CF-294E-9136-DBFDB61A1C4E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7571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305</xdr:row>
      <xdr:rowOff>0</xdr:rowOff>
    </xdr:from>
    <xdr:ext cx="304800" cy="304800"/>
    <xdr:sp macro="" textlink="">
      <xdr:nvSpPr>
        <xdr:cNvPr id="422" name="AutoShape 4501" descr="note-add">
          <a:extLst>
            <a:ext uri="{FF2B5EF4-FFF2-40B4-BE49-F238E27FC236}">
              <a16:creationId xmlns:a16="http://schemas.microsoft.com/office/drawing/2014/main" id="{251E4202-D3A2-BE4F-97AD-D1960AFE94BA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6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305</xdr:row>
      <xdr:rowOff>0</xdr:rowOff>
    </xdr:from>
    <xdr:ext cx="304800" cy="304800"/>
    <xdr:sp macro="" textlink="">
      <xdr:nvSpPr>
        <xdr:cNvPr id="423" name="AutoShape 4502" descr="alert toggle">
          <a:extLst>
            <a:ext uri="{FF2B5EF4-FFF2-40B4-BE49-F238E27FC236}">
              <a16:creationId xmlns:a16="http://schemas.microsoft.com/office/drawing/2014/main" id="{F02DF2B2-59C2-FA4E-BC07-CC606E6311D2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6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145</xdr:row>
      <xdr:rowOff>0</xdr:rowOff>
    </xdr:from>
    <xdr:ext cx="304800" cy="279400"/>
    <xdr:sp macro="" textlink="">
      <xdr:nvSpPr>
        <xdr:cNvPr id="424" name="AutoShape 3906" descr="note-add">
          <a:extLst>
            <a:ext uri="{FF2B5EF4-FFF2-40B4-BE49-F238E27FC236}">
              <a16:creationId xmlns:a16="http://schemas.microsoft.com/office/drawing/2014/main" id="{3F21B192-BFFF-584E-BDEB-AA5B82985A2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384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145</xdr:row>
      <xdr:rowOff>0</xdr:rowOff>
    </xdr:from>
    <xdr:ext cx="304800" cy="279400"/>
    <xdr:sp macro="" textlink="">
      <xdr:nvSpPr>
        <xdr:cNvPr id="425" name="AutoShape 3907" descr="alert toggle">
          <a:extLst>
            <a:ext uri="{FF2B5EF4-FFF2-40B4-BE49-F238E27FC236}">
              <a16:creationId xmlns:a16="http://schemas.microsoft.com/office/drawing/2014/main" id="{A409AAB2-E7E8-F34C-B15E-6F26A42750B5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384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157</xdr:row>
      <xdr:rowOff>0</xdr:rowOff>
    </xdr:from>
    <xdr:ext cx="304800" cy="279400"/>
    <xdr:sp macro="" textlink="">
      <xdr:nvSpPr>
        <xdr:cNvPr id="426" name="AutoShape 3910" descr="note-add">
          <a:extLst>
            <a:ext uri="{FF2B5EF4-FFF2-40B4-BE49-F238E27FC236}">
              <a16:creationId xmlns:a16="http://schemas.microsoft.com/office/drawing/2014/main" id="{D06C1A1D-70D3-7147-9BE6-674C8A926E53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4058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157</xdr:row>
      <xdr:rowOff>0</xdr:rowOff>
    </xdr:from>
    <xdr:ext cx="304800" cy="279400"/>
    <xdr:sp macro="" textlink="">
      <xdr:nvSpPr>
        <xdr:cNvPr id="427" name="AutoShape 3911" descr="alert toggle">
          <a:extLst>
            <a:ext uri="{FF2B5EF4-FFF2-40B4-BE49-F238E27FC236}">
              <a16:creationId xmlns:a16="http://schemas.microsoft.com/office/drawing/2014/main" id="{C12C522C-69CE-0A4A-B30B-97E9A69FF8F8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4058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75</xdr:row>
      <xdr:rowOff>0</xdr:rowOff>
    </xdr:from>
    <xdr:ext cx="304800" cy="279400"/>
    <xdr:sp macro="" textlink="">
      <xdr:nvSpPr>
        <xdr:cNvPr id="428" name="AutoShape 3914" descr="note-add">
          <a:extLst>
            <a:ext uri="{FF2B5EF4-FFF2-40B4-BE49-F238E27FC236}">
              <a16:creationId xmlns:a16="http://schemas.microsoft.com/office/drawing/2014/main" id="{CDE62C5A-E5B9-4C4E-BBEE-CFC5AF48B011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339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75</xdr:row>
      <xdr:rowOff>0</xdr:rowOff>
    </xdr:from>
    <xdr:ext cx="304800" cy="279400"/>
    <xdr:sp macro="" textlink="">
      <xdr:nvSpPr>
        <xdr:cNvPr id="429" name="AutoShape 3915" descr="alert toggle">
          <a:extLst>
            <a:ext uri="{FF2B5EF4-FFF2-40B4-BE49-F238E27FC236}">
              <a16:creationId xmlns:a16="http://schemas.microsoft.com/office/drawing/2014/main" id="{96F83C8E-062A-6640-9628-65DA0F464908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339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372</xdr:row>
      <xdr:rowOff>0</xdr:rowOff>
    </xdr:from>
    <xdr:ext cx="304800" cy="279400"/>
    <xdr:sp macro="" textlink="">
      <xdr:nvSpPr>
        <xdr:cNvPr id="430" name="AutoShape 3918" descr="note-add">
          <a:extLst>
            <a:ext uri="{FF2B5EF4-FFF2-40B4-BE49-F238E27FC236}">
              <a16:creationId xmlns:a16="http://schemas.microsoft.com/office/drawing/2014/main" id="{1EE2C91A-8C58-7A40-A5DD-C0962C449ED5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5646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372</xdr:row>
      <xdr:rowOff>0</xdr:rowOff>
    </xdr:from>
    <xdr:ext cx="304800" cy="279400"/>
    <xdr:sp macro="" textlink="">
      <xdr:nvSpPr>
        <xdr:cNvPr id="431" name="AutoShape 3919" descr="alert toggle">
          <a:extLst>
            <a:ext uri="{FF2B5EF4-FFF2-40B4-BE49-F238E27FC236}">
              <a16:creationId xmlns:a16="http://schemas.microsoft.com/office/drawing/2014/main" id="{95A0C987-F811-724B-9B46-F18552DC94B4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5646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176</xdr:row>
      <xdr:rowOff>0</xdr:rowOff>
    </xdr:from>
    <xdr:ext cx="304800" cy="279400"/>
    <xdr:sp macro="" textlink="">
      <xdr:nvSpPr>
        <xdr:cNvPr id="432" name="AutoShape 3946" descr="note-add">
          <a:extLst>
            <a:ext uri="{FF2B5EF4-FFF2-40B4-BE49-F238E27FC236}">
              <a16:creationId xmlns:a16="http://schemas.microsoft.com/office/drawing/2014/main" id="{2BF99FF8-1E44-A042-8084-612EDF59BAF9}"/>
            </a:ext>
          </a:extLst>
        </xdr:cNvPr>
        <xdr:cNvSpPr>
          <a:spLocks noChangeAspect="1" noChangeArrowheads="1"/>
        </xdr:cNvSpPr>
      </xdr:nvSpPr>
      <xdr:spPr bwMode="auto">
        <a:xfrm>
          <a:off x="31343600" y="32461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176</xdr:row>
      <xdr:rowOff>0</xdr:rowOff>
    </xdr:from>
    <xdr:ext cx="304800" cy="279400"/>
    <xdr:sp macro="" textlink="">
      <xdr:nvSpPr>
        <xdr:cNvPr id="433" name="AutoShape 3947" descr="alert toggle">
          <a:extLst>
            <a:ext uri="{FF2B5EF4-FFF2-40B4-BE49-F238E27FC236}">
              <a16:creationId xmlns:a16="http://schemas.microsoft.com/office/drawing/2014/main" id="{B9C9F4D9-AE05-A44F-AE3B-F44C71A4E87A}"/>
            </a:ext>
          </a:extLst>
        </xdr:cNvPr>
        <xdr:cNvSpPr>
          <a:spLocks noChangeAspect="1" noChangeArrowheads="1"/>
        </xdr:cNvSpPr>
      </xdr:nvSpPr>
      <xdr:spPr bwMode="auto">
        <a:xfrm>
          <a:off x="31661100" y="32461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155</xdr:row>
      <xdr:rowOff>0</xdr:rowOff>
    </xdr:from>
    <xdr:ext cx="304800" cy="279400"/>
    <xdr:sp macro="" textlink="">
      <xdr:nvSpPr>
        <xdr:cNvPr id="434" name="AutoShape 3962" descr="note-add">
          <a:extLst>
            <a:ext uri="{FF2B5EF4-FFF2-40B4-BE49-F238E27FC236}">
              <a16:creationId xmlns:a16="http://schemas.microsoft.com/office/drawing/2014/main" id="{401C6176-7B76-E04B-9A91-D3A188973123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4972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155</xdr:row>
      <xdr:rowOff>0</xdr:rowOff>
    </xdr:from>
    <xdr:ext cx="304800" cy="279400"/>
    <xdr:sp macro="" textlink="">
      <xdr:nvSpPr>
        <xdr:cNvPr id="435" name="AutoShape 3963" descr="alert toggle">
          <a:extLst>
            <a:ext uri="{FF2B5EF4-FFF2-40B4-BE49-F238E27FC236}">
              <a16:creationId xmlns:a16="http://schemas.microsoft.com/office/drawing/2014/main" id="{2C2BCB49-E69F-BC4E-943E-1842A055F430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4972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370</xdr:row>
      <xdr:rowOff>0</xdr:rowOff>
    </xdr:from>
    <xdr:ext cx="304800" cy="279400"/>
    <xdr:sp macro="" textlink="">
      <xdr:nvSpPr>
        <xdr:cNvPr id="436" name="AutoShape 3966" descr="note-add">
          <a:extLst>
            <a:ext uri="{FF2B5EF4-FFF2-40B4-BE49-F238E27FC236}">
              <a16:creationId xmlns:a16="http://schemas.microsoft.com/office/drawing/2014/main" id="{AA5A3316-9044-1B4C-A606-951CB8B21C64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5016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370</xdr:row>
      <xdr:rowOff>0</xdr:rowOff>
    </xdr:from>
    <xdr:ext cx="304800" cy="279400"/>
    <xdr:sp macro="" textlink="">
      <xdr:nvSpPr>
        <xdr:cNvPr id="437" name="AutoShape 3967" descr="alert toggle">
          <a:extLst>
            <a:ext uri="{FF2B5EF4-FFF2-40B4-BE49-F238E27FC236}">
              <a16:creationId xmlns:a16="http://schemas.microsoft.com/office/drawing/2014/main" id="{CC47835B-AEBC-9646-9C96-1242F0E53313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5016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370</xdr:row>
      <xdr:rowOff>0</xdr:rowOff>
    </xdr:from>
    <xdr:ext cx="304800" cy="279400"/>
    <xdr:sp macro="" textlink="">
      <xdr:nvSpPr>
        <xdr:cNvPr id="438" name="AutoShape 3970" descr="note-add">
          <a:extLst>
            <a:ext uri="{FF2B5EF4-FFF2-40B4-BE49-F238E27FC236}">
              <a16:creationId xmlns:a16="http://schemas.microsoft.com/office/drawing/2014/main" id="{00BFF7F4-138A-FB49-8303-EBC19F0D141B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5016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370</xdr:row>
      <xdr:rowOff>0</xdr:rowOff>
    </xdr:from>
    <xdr:ext cx="304800" cy="279400"/>
    <xdr:sp macro="" textlink="">
      <xdr:nvSpPr>
        <xdr:cNvPr id="439" name="AutoShape 3971" descr="alert toggle">
          <a:extLst>
            <a:ext uri="{FF2B5EF4-FFF2-40B4-BE49-F238E27FC236}">
              <a16:creationId xmlns:a16="http://schemas.microsoft.com/office/drawing/2014/main" id="{EDC7C222-8B9C-5B45-8F2F-36855DFBBD7C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5016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79400"/>
    <xdr:sp macro="" textlink="">
      <xdr:nvSpPr>
        <xdr:cNvPr id="440" name="AutoShape 3986" descr="note-add">
          <a:extLst>
            <a:ext uri="{FF2B5EF4-FFF2-40B4-BE49-F238E27FC236}">
              <a16:creationId xmlns:a16="http://schemas.microsoft.com/office/drawing/2014/main" id="{28D4807B-05F9-F944-BF64-B7B6D23AC4C5}"/>
            </a:ext>
          </a:extLst>
        </xdr:cNvPr>
        <xdr:cNvSpPr>
          <a:spLocks noChangeAspect="1" noChangeArrowheads="1"/>
        </xdr:cNvSpPr>
      </xdr:nvSpPr>
      <xdr:spPr bwMode="auto">
        <a:xfrm>
          <a:off x="28295600" y="8348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198</xdr:row>
      <xdr:rowOff>0</xdr:rowOff>
    </xdr:from>
    <xdr:ext cx="304800" cy="279400"/>
    <xdr:sp macro="" textlink="">
      <xdr:nvSpPr>
        <xdr:cNvPr id="441" name="AutoShape 3987" descr="alert toggle">
          <a:extLst>
            <a:ext uri="{FF2B5EF4-FFF2-40B4-BE49-F238E27FC236}">
              <a16:creationId xmlns:a16="http://schemas.microsoft.com/office/drawing/2014/main" id="{5B00ABCD-9FC4-FC40-8CB3-C86F6C4148DB}"/>
            </a:ext>
          </a:extLst>
        </xdr:cNvPr>
        <xdr:cNvSpPr>
          <a:spLocks noChangeAspect="1" noChangeArrowheads="1"/>
        </xdr:cNvSpPr>
      </xdr:nvSpPr>
      <xdr:spPr bwMode="auto">
        <a:xfrm>
          <a:off x="28613100" y="8348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15</xdr:col>
      <xdr:colOff>0</xdr:colOff>
      <xdr:row>282</xdr:row>
      <xdr:rowOff>0</xdr:rowOff>
    </xdr:from>
    <xdr:to>
      <xdr:col>15</xdr:col>
      <xdr:colOff>304800</xdr:colOff>
      <xdr:row>283</xdr:row>
      <xdr:rowOff>101599</xdr:rowOff>
    </xdr:to>
    <xdr:sp macro="" textlink="">
      <xdr:nvSpPr>
        <xdr:cNvPr id="442" name="AutoShape 4098" descr="note-add">
          <a:extLst>
            <a:ext uri="{FF2B5EF4-FFF2-40B4-BE49-F238E27FC236}">
              <a16:creationId xmlns:a16="http://schemas.microsoft.com/office/drawing/2014/main" id="{F0132FDE-C7AF-1E44-95A5-506ED4A3F849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874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286</xdr:row>
      <xdr:rowOff>0</xdr:rowOff>
    </xdr:from>
    <xdr:ext cx="304800" cy="279400"/>
    <xdr:sp macro="" textlink="">
      <xdr:nvSpPr>
        <xdr:cNvPr id="443" name="AutoShape 4181" descr="note-add">
          <a:extLst>
            <a:ext uri="{FF2B5EF4-FFF2-40B4-BE49-F238E27FC236}">
              <a16:creationId xmlns:a16="http://schemas.microsoft.com/office/drawing/2014/main" id="{1D669488-29D5-0C4A-BB21-846F403E061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842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286</xdr:row>
      <xdr:rowOff>0</xdr:rowOff>
    </xdr:from>
    <xdr:ext cx="304800" cy="279400"/>
    <xdr:sp macro="" textlink="">
      <xdr:nvSpPr>
        <xdr:cNvPr id="444" name="AutoShape 4182" descr="alert toggle">
          <a:extLst>
            <a:ext uri="{FF2B5EF4-FFF2-40B4-BE49-F238E27FC236}">
              <a16:creationId xmlns:a16="http://schemas.microsoft.com/office/drawing/2014/main" id="{81CA54A7-F648-BD4E-AD6C-EBBF8B9A88C1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842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281</xdr:row>
      <xdr:rowOff>0</xdr:rowOff>
    </xdr:from>
    <xdr:ext cx="304800" cy="279400"/>
    <xdr:sp macro="" textlink="">
      <xdr:nvSpPr>
        <xdr:cNvPr id="445" name="AutoShape 4185" descr="note-add">
          <a:extLst>
            <a:ext uri="{FF2B5EF4-FFF2-40B4-BE49-F238E27FC236}">
              <a16:creationId xmlns:a16="http://schemas.microsoft.com/office/drawing/2014/main" id="{41D1CBF4-1B9F-994D-9A72-DCFFEF358834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8211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281</xdr:row>
      <xdr:rowOff>0</xdr:rowOff>
    </xdr:from>
    <xdr:ext cx="304800" cy="279400"/>
    <xdr:sp macro="" textlink="">
      <xdr:nvSpPr>
        <xdr:cNvPr id="446" name="AutoShape 4186" descr="alert toggle">
          <a:extLst>
            <a:ext uri="{FF2B5EF4-FFF2-40B4-BE49-F238E27FC236}">
              <a16:creationId xmlns:a16="http://schemas.microsoft.com/office/drawing/2014/main" id="{9D9AE784-5841-AB49-818C-47CC0E490418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8211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279400"/>
    <xdr:sp macro="" textlink="">
      <xdr:nvSpPr>
        <xdr:cNvPr id="447" name="AutoShape 4189" descr="note-add">
          <a:extLst>
            <a:ext uri="{FF2B5EF4-FFF2-40B4-BE49-F238E27FC236}">
              <a16:creationId xmlns:a16="http://schemas.microsoft.com/office/drawing/2014/main" id="{4A065FE4-7575-994A-96E0-61CDBB0355F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7373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223</xdr:row>
      <xdr:rowOff>0</xdr:rowOff>
    </xdr:from>
    <xdr:ext cx="304800" cy="279400"/>
    <xdr:sp macro="" textlink="">
      <xdr:nvSpPr>
        <xdr:cNvPr id="448" name="AutoShape 4190" descr="alert toggle">
          <a:extLst>
            <a:ext uri="{FF2B5EF4-FFF2-40B4-BE49-F238E27FC236}">
              <a16:creationId xmlns:a16="http://schemas.microsoft.com/office/drawing/2014/main" id="{57AFC821-1877-F047-B147-42DFB8735381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7373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354</xdr:row>
      <xdr:rowOff>0</xdr:rowOff>
    </xdr:from>
    <xdr:ext cx="304800" cy="279400"/>
    <xdr:sp macro="" textlink="">
      <xdr:nvSpPr>
        <xdr:cNvPr id="449" name="AutoShape 4193" descr="note-add">
          <a:extLst>
            <a:ext uri="{FF2B5EF4-FFF2-40B4-BE49-F238E27FC236}">
              <a16:creationId xmlns:a16="http://schemas.microsoft.com/office/drawing/2014/main" id="{18F350DC-29E0-7640-8910-C0067EA8CF7B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967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354</xdr:row>
      <xdr:rowOff>0</xdr:rowOff>
    </xdr:from>
    <xdr:ext cx="304800" cy="279400"/>
    <xdr:sp macro="" textlink="">
      <xdr:nvSpPr>
        <xdr:cNvPr id="450" name="AutoShape 4194" descr="alert toggle">
          <a:extLst>
            <a:ext uri="{FF2B5EF4-FFF2-40B4-BE49-F238E27FC236}">
              <a16:creationId xmlns:a16="http://schemas.microsoft.com/office/drawing/2014/main" id="{5DE2C6F9-D3D0-DF41-9AA3-FCCA3E5C7A98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967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251</xdr:row>
      <xdr:rowOff>0</xdr:rowOff>
    </xdr:from>
    <xdr:ext cx="304800" cy="279400"/>
    <xdr:sp macro="" textlink="">
      <xdr:nvSpPr>
        <xdr:cNvPr id="451" name="AutoShape 4197" descr="note-add">
          <a:extLst>
            <a:ext uri="{FF2B5EF4-FFF2-40B4-BE49-F238E27FC236}">
              <a16:creationId xmlns:a16="http://schemas.microsoft.com/office/drawing/2014/main" id="{0CBE63DA-2638-B046-937D-1918B7DE1B43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7792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251</xdr:row>
      <xdr:rowOff>0</xdr:rowOff>
    </xdr:from>
    <xdr:ext cx="304800" cy="279400"/>
    <xdr:sp macro="" textlink="">
      <xdr:nvSpPr>
        <xdr:cNvPr id="452" name="AutoShape 4198" descr="alert toggle">
          <a:extLst>
            <a:ext uri="{FF2B5EF4-FFF2-40B4-BE49-F238E27FC236}">
              <a16:creationId xmlns:a16="http://schemas.microsoft.com/office/drawing/2014/main" id="{6A898A2B-66BF-204F-BD11-6E7C0585A67B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7792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276</xdr:row>
      <xdr:rowOff>0</xdr:rowOff>
    </xdr:from>
    <xdr:ext cx="304800" cy="279400"/>
    <xdr:sp macro="" textlink="">
      <xdr:nvSpPr>
        <xdr:cNvPr id="453" name="AutoShape 4201" descr="note-add">
          <a:extLst>
            <a:ext uri="{FF2B5EF4-FFF2-40B4-BE49-F238E27FC236}">
              <a16:creationId xmlns:a16="http://schemas.microsoft.com/office/drawing/2014/main" id="{38AE45D1-461A-394A-A646-14A13BCEC0A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17995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276</xdr:row>
      <xdr:rowOff>0</xdr:rowOff>
    </xdr:from>
    <xdr:ext cx="304800" cy="279400"/>
    <xdr:sp macro="" textlink="">
      <xdr:nvSpPr>
        <xdr:cNvPr id="454" name="AutoShape 4202" descr="alert toggle">
          <a:extLst>
            <a:ext uri="{FF2B5EF4-FFF2-40B4-BE49-F238E27FC236}">
              <a16:creationId xmlns:a16="http://schemas.microsoft.com/office/drawing/2014/main" id="{1667596E-FABD-4A46-9A35-A5E40F908B06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17995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308</xdr:row>
      <xdr:rowOff>0</xdr:rowOff>
    </xdr:from>
    <xdr:ext cx="304800" cy="279400"/>
    <xdr:sp macro="" textlink="">
      <xdr:nvSpPr>
        <xdr:cNvPr id="455" name="AutoShape 4371" descr="note-add">
          <a:extLst>
            <a:ext uri="{FF2B5EF4-FFF2-40B4-BE49-F238E27FC236}">
              <a16:creationId xmlns:a16="http://schemas.microsoft.com/office/drawing/2014/main" id="{62BCB082-3FED-4E45-83A1-D88CDCFEB364}"/>
            </a:ext>
          </a:extLst>
        </xdr:cNvPr>
        <xdr:cNvSpPr>
          <a:spLocks noChangeAspect="1" noChangeArrowheads="1"/>
        </xdr:cNvSpPr>
      </xdr:nvSpPr>
      <xdr:spPr bwMode="auto">
        <a:xfrm>
          <a:off x="26581100" y="2590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308</xdr:row>
      <xdr:rowOff>0</xdr:rowOff>
    </xdr:from>
    <xdr:ext cx="304800" cy="279400"/>
    <xdr:sp macro="" textlink="">
      <xdr:nvSpPr>
        <xdr:cNvPr id="456" name="AutoShape 4372" descr="alert toggle">
          <a:extLst>
            <a:ext uri="{FF2B5EF4-FFF2-40B4-BE49-F238E27FC236}">
              <a16:creationId xmlns:a16="http://schemas.microsoft.com/office/drawing/2014/main" id="{F27CCE9D-2758-EA41-B173-D6AA0BAF4658}"/>
            </a:ext>
          </a:extLst>
        </xdr:cNvPr>
        <xdr:cNvSpPr>
          <a:spLocks noChangeAspect="1" noChangeArrowheads="1"/>
        </xdr:cNvSpPr>
      </xdr:nvSpPr>
      <xdr:spPr bwMode="auto">
        <a:xfrm>
          <a:off x="26898600" y="2590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304800"/>
    <xdr:sp macro="" textlink="">
      <xdr:nvSpPr>
        <xdr:cNvPr id="457" name="AutoShape 4405" descr="note-add">
          <a:extLst>
            <a:ext uri="{FF2B5EF4-FFF2-40B4-BE49-F238E27FC236}">
              <a16:creationId xmlns:a16="http://schemas.microsoft.com/office/drawing/2014/main" id="{9E7C36C0-595D-4E4B-ACD0-587457BA0505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58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55</xdr:row>
      <xdr:rowOff>0</xdr:rowOff>
    </xdr:from>
    <xdr:ext cx="304800" cy="304800"/>
    <xdr:sp macro="" textlink="">
      <xdr:nvSpPr>
        <xdr:cNvPr id="458" name="AutoShape 4406" descr="alert toggle">
          <a:extLst>
            <a:ext uri="{FF2B5EF4-FFF2-40B4-BE49-F238E27FC236}">
              <a16:creationId xmlns:a16="http://schemas.microsoft.com/office/drawing/2014/main" id="{7BF257ED-DF37-9C48-8D8D-378A89375817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58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332</xdr:row>
      <xdr:rowOff>0</xdr:rowOff>
    </xdr:from>
    <xdr:ext cx="304800" cy="279400"/>
    <xdr:sp macro="" textlink="">
      <xdr:nvSpPr>
        <xdr:cNvPr id="459" name="AutoShape 4409" descr="note-add">
          <a:extLst>
            <a:ext uri="{FF2B5EF4-FFF2-40B4-BE49-F238E27FC236}">
              <a16:creationId xmlns:a16="http://schemas.microsoft.com/office/drawing/2014/main" id="{5FA29B3C-B6F1-314B-B2BB-B736F9FCA62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0642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332</xdr:row>
      <xdr:rowOff>0</xdr:rowOff>
    </xdr:from>
    <xdr:ext cx="304800" cy="279400"/>
    <xdr:sp macro="" textlink="">
      <xdr:nvSpPr>
        <xdr:cNvPr id="460" name="AutoShape 4410" descr="alert toggle">
          <a:extLst>
            <a:ext uri="{FF2B5EF4-FFF2-40B4-BE49-F238E27FC236}">
              <a16:creationId xmlns:a16="http://schemas.microsoft.com/office/drawing/2014/main" id="{CD06237A-C9EA-6844-9911-17AAA105835F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0642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296</xdr:row>
      <xdr:rowOff>0</xdr:rowOff>
    </xdr:from>
    <xdr:ext cx="304800" cy="279399"/>
    <xdr:sp macro="" textlink="">
      <xdr:nvSpPr>
        <xdr:cNvPr id="461" name="AutoShape 4413" descr="note-add">
          <a:extLst>
            <a:ext uri="{FF2B5EF4-FFF2-40B4-BE49-F238E27FC236}">
              <a16:creationId xmlns:a16="http://schemas.microsoft.com/office/drawing/2014/main" id="{8A357A59-58CE-414C-A861-F6B731D0E417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00075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296</xdr:row>
      <xdr:rowOff>0</xdr:rowOff>
    </xdr:from>
    <xdr:ext cx="304800" cy="279399"/>
    <xdr:sp macro="" textlink="">
      <xdr:nvSpPr>
        <xdr:cNvPr id="462" name="AutoShape 4414" descr="alert toggle">
          <a:extLst>
            <a:ext uri="{FF2B5EF4-FFF2-40B4-BE49-F238E27FC236}">
              <a16:creationId xmlns:a16="http://schemas.microsoft.com/office/drawing/2014/main" id="{330169FF-1858-034E-9F04-1488121BF78B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00075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306</xdr:row>
      <xdr:rowOff>0</xdr:rowOff>
    </xdr:from>
    <xdr:ext cx="304800" cy="279399"/>
    <xdr:sp macro="" textlink="">
      <xdr:nvSpPr>
        <xdr:cNvPr id="463" name="AutoShape 4417" descr="note-add">
          <a:extLst>
            <a:ext uri="{FF2B5EF4-FFF2-40B4-BE49-F238E27FC236}">
              <a16:creationId xmlns:a16="http://schemas.microsoft.com/office/drawing/2014/main" id="{47F14851-FCF5-E341-BD10-24ACCCCA274A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0210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306</xdr:row>
      <xdr:rowOff>0</xdr:rowOff>
    </xdr:from>
    <xdr:ext cx="304800" cy="279399"/>
    <xdr:sp macro="" textlink="">
      <xdr:nvSpPr>
        <xdr:cNvPr id="464" name="AutoShape 4418" descr="alert toggle">
          <a:extLst>
            <a:ext uri="{FF2B5EF4-FFF2-40B4-BE49-F238E27FC236}">
              <a16:creationId xmlns:a16="http://schemas.microsoft.com/office/drawing/2014/main" id="{EC97F1BD-C716-C64A-A84B-821E171B3334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0210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311</xdr:row>
      <xdr:rowOff>0</xdr:rowOff>
    </xdr:from>
    <xdr:ext cx="304800" cy="279399"/>
    <xdr:sp macro="" textlink="">
      <xdr:nvSpPr>
        <xdr:cNvPr id="465" name="AutoShape 4421" descr="note-add">
          <a:extLst>
            <a:ext uri="{FF2B5EF4-FFF2-40B4-BE49-F238E27FC236}">
              <a16:creationId xmlns:a16="http://schemas.microsoft.com/office/drawing/2014/main" id="{5EF252E0-8663-594C-8F5E-187C93688C5F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04266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311</xdr:row>
      <xdr:rowOff>0</xdr:rowOff>
    </xdr:from>
    <xdr:ext cx="304800" cy="279399"/>
    <xdr:sp macro="" textlink="">
      <xdr:nvSpPr>
        <xdr:cNvPr id="466" name="AutoShape 4422" descr="alert toggle">
          <a:extLst>
            <a:ext uri="{FF2B5EF4-FFF2-40B4-BE49-F238E27FC236}">
              <a16:creationId xmlns:a16="http://schemas.microsoft.com/office/drawing/2014/main" id="{5799AFA8-F4D9-264E-BB6F-EFB211591FA5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04266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332</xdr:row>
      <xdr:rowOff>0</xdr:rowOff>
    </xdr:from>
    <xdr:ext cx="304800" cy="279400"/>
    <xdr:sp macro="" textlink="">
      <xdr:nvSpPr>
        <xdr:cNvPr id="467" name="AutoShape 4425" descr="note-add">
          <a:extLst>
            <a:ext uri="{FF2B5EF4-FFF2-40B4-BE49-F238E27FC236}">
              <a16:creationId xmlns:a16="http://schemas.microsoft.com/office/drawing/2014/main" id="{F662D518-3235-B74E-8CC1-7DD55A96030D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0642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332</xdr:row>
      <xdr:rowOff>0</xdr:rowOff>
    </xdr:from>
    <xdr:ext cx="304800" cy="279400"/>
    <xdr:sp macro="" textlink="">
      <xdr:nvSpPr>
        <xdr:cNvPr id="468" name="AutoShape 4426" descr="alert toggle">
          <a:extLst>
            <a:ext uri="{FF2B5EF4-FFF2-40B4-BE49-F238E27FC236}">
              <a16:creationId xmlns:a16="http://schemas.microsoft.com/office/drawing/2014/main" id="{F692C728-76F3-8640-B904-5A8F0494AE6D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0642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332</xdr:row>
      <xdr:rowOff>0</xdr:rowOff>
    </xdr:from>
    <xdr:ext cx="304800" cy="279400"/>
    <xdr:sp macro="" textlink="">
      <xdr:nvSpPr>
        <xdr:cNvPr id="469" name="AutoShape 4429" descr="note-add">
          <a:extLst>
            <a:ext uri="{FF2B5EF4-FFF2-40B4-BE49-F238E27FC236}">
              <a16:creationId xmlns:a16="http://schemas.microsoft.com/office/drawing/2014/main" id="{176692D7-6E48-E24D-AFA8-68910367200B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0642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332</xdr:row>
      <xdr:rowOff>0</xdr:rowOff>
    </xdr:from>
    <xdr:ext cx="304800" cy="279400"/>
    <xdr:sp macro="" textlink="">
      <xdr:nvSpPr>
        <xdr:cNvPr id="470" name="AutoShape 4430" descr="alert toggle">
          <a:extLst>
            <a:ext uri="{FF2B5EF4-FFF2-40B4-BE49-F238E27FC236}">
              <a16:creationId xmlns:a16="http://schemas.microsoft.com/office/drawing/2014/main" id="{227F0E77-841A-AA41-9845-42174C9ADBFC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0642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390</xdr:row>
      <xdr:rowOff>0</xdr:rowOff>
    </xdr:from>
    <xdr:ext cx="304800" cy="279400"/>
    <xdr:sp macro="" textlink="">
      <xdr:nvSpPr>
        <xdr:cNvPr id="471" name="AutoShape 4433" descr="note-add">
          <a:extLst>
            <a:ext uri="{FF2B5EF4-FFF2-40B4-BE49-F238E27FC236}">
              <a16:creationId xmlns:a16="http://schemas.microsoft.com/office/drawing/2014/main" id="{7E524F81-510A-7748-B7DD-9DE7DA1933D3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1074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390</xdr:row>
      <xdr:rowOff>0</xdr:rowOff>
    </xdr:from>
    <xdr:ext cx="304800" cy="279400"/>
    <xdr:sp macro="" textlink="">
      <xdr:nvSpPr>
        <xdr:cNvPr id="472" name="AutoShape 4434" descr="alert toggle">
          <a:extLst>
            <a:ext uri="{FF2B5EF4-FFF2-40B4-BE49-F238E27FC236}">
              <a16:creationId xmlns:a16="http://schemas.microsoft.com/office/drawing/2014/main" id="{256F1167-8600-014D-A0B5-9E93C9F2E256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1074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390</xdr:row>
      <xdr:rowOff>0</xdr:rowOff>
    </xdr:from>
    <xdr:ext cx="304800" cy="279400"/>
    <xdr:sp macro="" textlink="">
      <xdr:nvSpPr>
        <xdr:cNvPr id="473" name="AutoShape 4437" descr="note-add">
          <a:extLst>
            <a:ext uri="{FF2B5EF4-FFF2-40B4-BE49-F238E27FC236}">
              <a16:creationId xmlns:a16="http://schemas.microsoft.com/office/drawing/2014/main" id="{06B62AF0-C4DF-FE41-A9CF-D2A55922BF47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61074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390</xdr:row>
      <xdr:rowOff>0</xdr:rowOff>
    </xdr:from>
    <xdr:ext cx="304800" cy="279400"/>
    <xdr:sp macro="" textlink="">
      <xdr:nvSpPr>
        <xdr:cNvPr id="474" name="AutoShape 4438" descr="alert toggle">
          <a:extLst>
            <a:ext uri="{FF2B5EF4-FFF2-40B4-BE49-F238E27FC236}">
              <a16:creationId xmlns:a16="http://schemas.microsoft.com/office/drawing/2014/main" id="{AC82E5A5-BF5D-324C-9C86-FC0BB9114292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61074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5547"/>
    <xdr:sp macro="" textlink="">
      <xdr:nvSpPr>
        <xdr:cNvPr id="475" name="AutoShape 979" descr="note-add">
          <a:extLst>
            <a:ext uri="{FF2B5EF4-FFF2-40B4-BE49-F238E27FC236}">
              <a16:creationId xmlns:a16="http://schemas.microsoft.com/office/drawing/2014/main" id="{28682C20-3F40-0540-981C-A4030132A6AA}"/>
            </a:ext>
          </a:extLst>
        </xdr:cNvPr>
        <xdr:cNvSpPr>
          <a:spLocks noChangeAspect="1" noChangeArrowheads="1"/>
        </xdr:cNvSpPr>
      </xdr:nvSpPr>
      <xdr:spPr bwMode="auto">
        <a:xfrm>
          <a:off x="25450800" y="546100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32</xdr:row>
      <xdr:rowOff>0</xdr:rowOff>
    </xdr:from>
    <xdr:ext cx="304800" cy="305547"/>
    <xdr:sp macro="" textlink="">
      <xdr:nvSpPr>
        <xdr:cNvPr id="476" name="AutoShape 980" descr="alert toggle">
          <a:extLst>
            <a:ext uri="{FF2B5EF4-FFF2-40B4-BE49-F238E27FC236}">
              <a16:creationId xmlns:a16="http://schemas.microsoft.com/office/drawing/2014/main" id="{9280E374-230B-4E4B-8DB4-2B2D3CFC6208}"/>
            </a:ext>
          </a:extLst>
        </xdr:cNvPr>
        <xdr:cNvSpPr>
          <a:spLocks noChangeAspect="1" noChangeArrowheads="1"/>
        </xdr:cNvSpPr>
      </xdr:nvSpPr>
      <xdr:spPr bwMode="auto">
        <a:xfrm>
          <a:off x="25768300" y="546100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277534"/>
    <xdr:sp macro="" textlink="">
      <xdr:nvSpPr>
        <xdr:cNvPr id="477" name="AutoShape 4405" descr="note-add">
          <a:extLst>
            <a:ext uri="{FF2B5EF4-FFF2-40B4-BE49-F238E27FC236}">
              <a16:creationId xmlns:a16="http://schemas.microsoft.com/office/drawing/2014/main" id="{37F9B326-EBD8-D848-A681-ACFFCC01F378}"/>
            </a:ext>
          </a:extLst>
        </xdr:cNvPr>
        <xdr:cNvSpPr>
          <a:spLocks noChangeAspect="1" noChangeArrowheads="1"/>
        </xdr:cNvSpPr>
      </xdr:nvSpPr>
      <xdr:spPr bwMode="auto">
        <a:xfrm>
          <a:off x="28295600" y="754126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54</xdr:row>
      <xdr:rowOff>0</xdr:rowOff>
    </xdr:from>
    <xdr:ext cx="304800" cy="277534"/>
    <xdr:sp macro="" textlink="">
      <xdr:nvSpPr>
        <xdr:cNvPr id="478" name="AutoShape 4406" descr="alert toggle">
          <a:extLst>
            <a:ext uri="{FF2B5EF4-FFF2-40B4-BE49-F238E27FC236}">
              <a16:creationId xmlns:a16="http://schemas.microsoft.com/office/drawing/2014/main" id="{BF539001-0E1A-BE40-A37D-2BF406195C40}"/>
            </a:ext>
          </a:extLst>
        </xdr:cNvPr>
        <xdr:cNvSpPr>
          <a:spLocks noChangeAspect="1" noChangeArrowheads="1"/>
        </xdr:cNvSpPr>
      </xdr:nvSpPr>
      <xdr:spPr bwMode="auto">
        <a:xfrm>
          <a:off x="28613100" y="754126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77534"/>
    <xdr:sp macro="" textlink="">
      <xdr:nvSpPr>
        <xdr:cNvPr id="479" name="AutoShape 4405" descr="note-add">
          <a:extLst>
            <a:ext uri="{FF2B5EF4-FFF2-40B4-BE49-F238E27FC236}">
              <a16:creationId xmlns:a16="http://schemas.microsoft.com/office/drawing/2014/main" id="{907859D0-3639-1748-87A6-5A1B621CC9C9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754126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54</xdr:row>
      <xdr:rowOff>0</xdr:rowOff>
    </xdr:from>
    <xdr:ext cx="304800" cy="277534"/>
    <xdr:sp macro="" textlink="">
      <xdr:nvSpPr>
        <xdr:cNvPr id="480" name="AutoShape 4406" descr="alert toggle">
          <a:extLst>
            <a:ext uri="{FF2B5EF4-FFF2-40B4-BE49-F238E27FC236}">
              <a16:creationId xmlns:a16="http://schemas.microsoft.com/office/drawing/2014/main" id="{965F351E-05C7-3245-BA1B-4265F2770350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754126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77534"/>
    <xdr:sp macro="" textlink="">
      <xdr:nvSpPr>
        <xdr:cNvPr id="481" name="AutoShape 4405" descr="note-add">
          <a:extLst>
            <a:ext uri="{FF2B5EF4-FFF2-40B4-BE49-F238E27FC236}">
              <a16:creationId xmlns:a16="http://schemas.microsoft.com/office/drawing/2014/main" id="{AF20A5A3-0E8C-4243-A7B8-CC73B1EBC06E}"/>
            </a:ext>
          </a:extLst>
        </xdr:cNvPr>
        <xdr:cNvSpPr>
          <a:spLocks noChangeAspect="1" noChangeArrowheads="1"/>
        </xdr:cNvSpPr>
      </xdr:nvSpPr>
      <xdr:spPr bwMode="auto">
        <a:xfrm>
          <a:off x="20370800" y="754126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54</xdr:row>
      <xdr:rowOff>0</xdr:rowOff>
    </xdr:from>
    <xdr:ext cx="304800" cy="277534"/>
    <xdr:sp macro="" textlink="">
      <xdr:nvSpPr>
        <xdr:cNvPr id="482" name="AutoShape 4406" descr="alert toggle">
          <a:extLst>
            <a:ext uri="{FF2B5EF4-FFF2-40B4-BE49-F238E27FC236}">
              <a16:creationId xmlns:a16="http://schemas.microsoft.com/office/drawing/2014/main" id="{C5B0C008-6751-A645-AF91-9044CF60E85B}"/>
            </a:ext>
          </a:extLst>
        </xdr:cNvPr>
        <xdr:cNvSpPr>
          <a:spLocks noChangeAspect="1" noChangeArrowheads="1"/>
        </xdr:cNvSpPr>
      </xdr:nvSpPr>
      <xdr:spPr bwMode="auto">
        <a:xfrm>
          <a:off x="20688300" y="754126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277532"/>
    <xdr:sp macro="" textlink="">
      <xdr:nvSpPr>
        <xdr:cNvPr id="483" name="AutoShape 1051" descr="note-add">
          <a:extLst>
            <a:ext uri="{FF2B5EF4-FFF2-40B4-BE49-F238E27FC236}">
              <a16:creationId xmlns:a16="http://schemas.microsoft.com/office/drawing/2014/main" id="{42067AA2-3D00-754A-8046-603790AB13C8}"/>
            </a:ext>
          </a:extLst>
        </xdr:cNvPr>
        <xdr:cNvSpPr>
          <a:spLocks noChangeAspect="1" noChangeArrowheads="1"/>
        </xdr:cNvSpPr>
      </xdr:nvSpPr>
      <xdr:spPr bwMode="auto">
        <a:xfrm>
          <a:off x="17818100" y="754126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54</xdr:row>
      <xdr:rowOff>0</xdr:rowOff>
    </xdr:from>
    <xdr:ext cx="304800" cy="277532"/>
    <xdr:sp macro="" textlink="">
      <xdr:nvSpPr>
        <xdr:cNvPr id="484" name="AutoShape 1052" descr="alert toggle">
          <a:extLst>
            <a:ext uri="{FF2B5EF4-FFF2-40B4-BE49-F238E27FC236}">
              <a16:creationId xmlns:a16="http://schemas.microsoft.com/office/drawing/2014/main" id="{20E549BF-BF4A-644F-833B-8ACD6B7BA28D}"/>
            </a:ext>
          </a:extLst>
        </xdr:cNvPr>
        <xdr:cNvSpPr>
          <a:spLocks noChangeAspect="1" noChangeArrowheads="1"/>
        </xdr:cNvSpPr>
      </xdr:nvSpPr>
      <xdr:spPr bwMode="auto">
        <a:xfrm>
          <a:off x="18135600" y="754126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334</xdr:row>
      <xdr:rowOff>0</xdr:rowOff>
    </xdr:from>
    <xdr:ext cx="304800" cy="304800"/>
    <xdr:sp macro="" textlink="">
      <xdr:nvSpPr>
        <xdr:cNvPr id="2" name="AutoShape 38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7E4AC2-E5C3-E843-8EC1-C14BDFF9FAC3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714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323</xdr:row>
      <xdr:rowOff>0</xdr:rowOff>
    </xdr:from>
    <xdr:ext cx="304800" cy="304800"/>
    <xdr:sp macro="" textlink="">
      <xdr:nvSpPr>
        <xdr:cNvPr id="3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BCC563-27F3-F744-B3A7-AB052DF8BACA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691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323</xdr:row>
      <xdr:rowOff>0</xdr:rowOff>
    </xdr:from>
    <xdr:ext cx="304800" cy="313267"/>
    <xdr:sp macro="" textlink="">
      <xdr:nvSpPr>
        <xdr:cNvPr id="4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A82477-35BB-2B43-BDEF-314464234AB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9176900"/>
          <a:ext cx="304800" cy="31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33</xdr:row>
      <xdr:rowOff>0</xdr:rowOff>
    </xdr:from>
    <xdr:ext cx="304800" cy="304800"/>
    <xdr:sp macro="" textlink="">
      <xdr:nvSpPr>
        <xdr:cNvPr id="5" name="AutoShape 778" descr="note-add">
          <a:extLst>
            <a:ext uri="{FF2B5EF4-FFF2-40B4-BE49-F238E27FC236}">
              <a16:creationId xmlns:a16="http://schemas.microsoft.com/office/drawing/2014/main" id="{85A64B10-AD38-C942-850F-9975D1B05D2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33</xdr:row>
      <xdr:rowOff>0</xdr:rowOff>
    </xdr:from>
    <xdr:ext cx="304800" cy="304800"/>
    <xdr:sp macro="" textlink="">
      <xdr:nvSpPr>
        <xdr:cNvPr id="6" name="AutoShape 779" descr="alert toggle">
          <a:extLst>
            <a:ext uri="{FF2B5EF4-FFF2-40B4-BE49-F238E27FC236}">
              <a16:creationId xmlns:a16="http://schemas.microsoft.com/office/drawing/2014/main" id="{A4D1B1F7-F936-C14D-A364-CB9ABB568DD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</xdr:row>
      <xdr:rowOff>0</xdr:rowOff>
    </xdr:from>
    <xdr:ext cx="317500" cy="279400"/>
    <xdr:sp macro="" textlink="">
      <xdr:nvSpPr>
        <xdr:cNvPr id="7" name="AutoShape 464" descr="note-add">
          <a:extLst>
            <a:ext uri="{FF2B5EF4-FFF2-40B4-BE49-F238E27FC236}">
              <a16:creationId xmlns:a16="http://schemas.microsoft.com/office/drawing/2014/main" id="{975F634F-7785-9544-AE86-8E9B4D5D6B2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442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</xdr:row>
      <xdr:rowOff>0</xdr:rowOff>
    </xdr:from>
    <xdr:ext cx="304800" cy="279400"/>
    <xdr:sp macro="" textlink="">
      <xdr:nvSpPr>
        <xdr:cNvPr id="8" name="AutoShape 465" descr="alert toggle">
          <a:extLst>
            <a:ext uri="{FF2B5EF4-FFF2-40B4-BE49-F238E27FC236}">
              <a16:creationId xmlns:a16="http://schemas.microsoft.com/office/drawing/2014/main" id="{A83833C9-9A51-1A44-BF82-3E98BBC1B5D9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44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17500" cy="279400"/>
    <xdr:sp macro="" textlink="">
      <xdr:nvSpPr>
        <xdr:cNvPr id="9" name="AutoShape 466" descr="note-add">
          <a:extLst>
            <a:ext uri="{FF2B5EF4-FFF2-40B4-BE49-F238E27FC236}">
              <a16:creationId xmlns:a16="http://schemas.microsoft.com/office/drawing/2014/main" id="{B88FAC68-48E9-BA4F-A102-DB0B62C5EFD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0248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48</xdr:row>
      <xdr:rowOff>0</xdr:rowOff>
    </xdr:from>
    <xdr:ext cx="304800" cy="279400"/>
    <xdr:sp macro="" textlink="">
      <xdr:nvSpPr>
        <xdr:cNvPr id="10" name="AutoShape 467" descr="alert toggle">
          <a:extLst>
            <a:ext uri="{FF2B5EF4-FFF2-40B4-BE49-F238E27FC236}">
              <a16:creationId xmlns:a16="http://schemas.microsoft.com/office/drawing/2014/main" id="{B375C29E-7F0A-3D42-9427-D5A4204E0B7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0248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84</xdr:row>
      <xdr:rowOff>0</xdr:rowOff>
    </xdr:from>
    <xdr:ext cx="317500" cy="301299"/>
    <xdr:sp macro="" textlink="">
      <xdr:nvSpPr>
        <xdr:cNvPr id="11" name="AutoShape 468" descr="note-add">
          <a:extLst>
            <a:ext uri="{FF2B5EF4-FFF2-40B4-BE49-F238E27FC236}">
              <a16:creationId xmlns:a16="http://schemas.microsoft.com/office/drawing/2014/main" id="{A8DA39BD-D32C-5C4D-832E-8B8D72D314A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8034000"/>
          <a:ext cx="3175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84</xdr:row>
      <xdr:rowOff>0</xdr:rowOff>
    </xdr:from>
    <xdr:ext cx="304800" cy="301299"/>
    <xdr:sp macro="" textlink="">
      <xdr:nvSpPr>
        <xdr:cNvPr id="12" name="AutoShape 469" descr="alert toggle">
          <a:extLst>
            <a:ext uri="{FF2B5EF4-FFF2-40B4-BE49-F238E27FC236}">
              <a16:creationId xmlns:a16="http://schemas.microsoft.com/office/drawing/2014/main" id="{83D35F2D-ED1F-CE4D-B816-B318FE4923C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8034000"/>
          <a:ext cx="3048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89</xdr:row>
      <xdr:rowOff>0</xdr:rowOff>
    </xdr:from>
    <xdr:ext cx="317500" cy="279400"/>
    <xdr:sp macro="" textlink="">
      <xdr:nvSpPr>
        <xdr:cNvPr id="13" name="AutoShape 470" descr="note-add">
          <a:extLst>
            <a:ext uri="{FF2B5EF4-FFF2-40B4-BE49-F238E27FC236}">
              <a16:creationId xmlns:a16="http://schemas.microsoft.com/office/drawing/2014/main" id="{4E2CA025-FC6B-7A4C-88E8-C445C70788E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9075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89</xdr:row>
      <xdr:rowOff>0</xdr:rowOff>
    </xdr:from>
    <xdr:ext cx="304800" cy="279400"/>
    <xdr:sp macro="" textlink="">
      <xdr:nvSpPr>
        <xdr:cNvPr id="14" name="AutoShape 471" descr="alert toggle">
          <a:extLst>
            <a:ext uri="{FF2B5EF4-FFF2-40B4-BE49-F238E27FC236}">
              <a16:creationId xmlns:a16="http://schemas.microsoft.com/office/drawing/2014/main" id="{E8AD5B8E-2565-CC42-919E-E39650898FB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9075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94</xdr:row>
      <xdr:rowOff>0</xdr:rowOff>
    </xdr:from>
    <xdr:ext cx="317500" cy="279400"/>
    <xdr:sp macro="" textlink="">
      <xdr:nvSpPr>
        <xdr:cNvPr id="15" name="AutoShape 472" descr="note-add">
          <a:extLst>
            <a:ext uri="{FF2B5EF4-FFF2-40B4-BE49-F238E27FC236}">
              <a16:creationId xmlns:a16="http://schemas.microsoft.com/office/drawing/2014/main" id="{5EE2901B-2282-8145-A609-E4921F9A285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20142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94</xdr:row>
      <xdr:rowOff>0</xdr:rowOff>
    </xdr:from>
    <xdr:ext cx="304800" cy="279400"/>
    <xdr:sp macro="" textlink="">
      <xdr:nvSpPr>
        <xdr:cNvPr id="16" name="AutoShape 473" descr="alert toggle">
          <a:extLst>
            <a:ext uri="{FF2B5EF4-FFF2-40B4-BE49-F238E27FC236}">
              <a16:creationId xmlns:a16="http://schemas.microsoft.com/office/drawing/2014/main" id="{1998206C-1EEF-3F48-B261-70691A2F92A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2014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17500" cy="279400"/>
    <xdr:sp macro="" textlink="">
      <xdr:nvSpPr>
        <xdr:cNvPr id="17" name="AutoShape 474" descr="note-add">
          <a:extLst>
            <a:ext uri="{FF2B5EF4-FFF2-40B4-BE49-F238E27FC236}">
              <a16:creationId xmlns:a16="http://schemas.microsoft.com/office/drawing/2014/main" id="{D077B776-2BE5-DB43-84CD-D831E67EF90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2477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116</xdr:row>
      <xdr:rowOff>0</xdr:rowOff>
    </xdr:from>
    <xdr:ext cx="304800" cy="279400"/>
    <xdr:sp macro="" textlink="">
      <xdr:nvSpPr>
        <xdr:cNvPr id="18" name="AutoShape 475" descr="alert toggle">
          <a:extLst>
            <a:ext uri="{FF2B5EF4-FFF2-40B4-BE49-F238E27FC236}">
              <a16:creationId xmlns:a16="http://schemas.microsoft.com/office/drawing/2014/main" id="{1462856D-C0BD-F643-9F77-D91B2F6E365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2477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213</xdr:row>
      <xdr:rowOff>0</xdr:rowOff>
    </xdr:from>
    <xdr:ext cx="317500" cy="279400"/>
    <xdr:sp macro="" textlink="">
      <xdr:nvSpPr>
        <xdr:cNvPr id="19" name="AutoShape 476" descr="note-add">
          <a:extLst>
            <a:ext uri="{FF2B5EF4-FFF2-40B4-BE49-F238E27FC236}">
              <a16:creationId xmlns:a16="http://schemas.microsoft.com/office/drawing/2014/main" id="{934101EC-BAF5-4F42-BE65-BD35E2F06C8F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5542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213</xdr:row>
      <xdr:rowOff>0</xdr:rowOff>
    </xdr:from>
    <xdr:ext cx="304800" cy="279400"/>
    <xdr:sp macro="" textlink="">
      <xdr:nvSpPr>
        <xdr:cNvPr id="20" name="AutoShape 477" descr="alert toggle">
          <a:extLst>
            <a:ext uri="{FF2B5EF4-FFF2-40B4-BE49-F238E27FC236}">
              <a16:creationId xmlns:a16="http://schemas.microsoft.com/office/drawing/2014/main" id="{89620AB0-76DD-9947-A4F8-85CFA2F3410B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5542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218</xdr:row>
      <xdr:rowOff>0</xdr:rowOff>
    </xdr:from>
    <xdr:ext cx="317500" cy="279400"/>
    <xdr:sp macro="" textlink="">
      <xdr:nvSpPr>
        <xdr:cNvPr id="21" name="AutoShape 478" descr="note-add">
          <a:extLst>
            <a:ext uri="{FF2B5EF4-FFF2-40B4-BE49-F238E27FC236}">
              <a16:creationId xmlns:a16="http://schemas.microsoft.com/office/drawing/2014/main" id="{49675619-522D-DA40-85B3-F7E3594931D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6621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228</xdr:row>
      <xdr:rowOff>0</xdr:rowOff>
    </xdr:from>
    <xdr:ext cx="317500" cy="279400"/>
    <xdr:sp macro="" textlink="">
      <xdr:nvSpPr>
        <xdr:cNvPr id="22" name="AutoShape 480" descr="note-add">
          <a:extLst>
            <a:ext uri="{FF2B5EF4-FFF2-40B4-BE49-F238E27FC236}">
              <a16:creationId xmlns:a16="http://schemas.microsoft.com/office/drawing/2014/main" id="{1699E2B7-3E0B-9649-A89A-1261FC9EDCB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8742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228</xdr:row>
      <xdr:rowOff>0</xdr:rowOff>
    </xdr:from>
    <xdr:ext cx="304800" cy="279400"/>
    <xdr:sp macro="" textlink="">
      <xdr:nvSpPr>
        <xdr:cNvPr id="23" name="AutoShape 481" descr="alert toggle">
          <a:extLst>
            <a:ext uri="{FF2B5EF4-FFF2-40B4-BE49-F238E27FC236}">
              <a16:creationId xmlns:a16="http://schemas.microsoft.com/office/drawing/2014/main" id="{389BE6E2-5D4F-6B4D-95C6-E658B8D4DCB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8742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237</xdr:row>
      <xdr:rowOff>0</xdr:rowOff>
    </xdr:from>
    <xdr:ext cx="317500" cy="279400"/>
    <xdr:sp macro="" textlink="">
      <xdr:nvSpPr>
        <xdr:cNvPr id="24" name="AutoShape 482" descr="note-add">
          <a:extLst>
            <a:ext uri="{FF2B5EF4-FFF2-40B4-BE49-F238E27FC236}">
              <a16:creationId xmlns:a16="http://schemas.microsoft.com/office/drawing/2014/main" id="{E9BA5BC6-0414-4D45-A4D6-1DC9181487B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07111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237</xdr:row>
      <xdr:rowOff>0</xdr:rowOff>
    </xdr:from>
    <xdr:ext cx="304800" cy="279400"/>
    <xdr:sp macro="" textlink="">
      <xdr:nvSpPr>
        <xdr:cNvPr id="25" name="AutoShape 483" descr="alert toggle">
          <a:extLst>
            <a:ext uri="{FF2B5EF4-FFF2-40B4-BE49-F238E27FC236}">
              <a16:creationId xmlns:a16="http://schemas.microsoft.com/office/drawing/2014/main" id="{72FEADCA-CC86-7F48-A030-DD8313AC5C7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071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242</xdr:row>
      <xdr:rowOff>0</xdr:rowOff>
    </xdr:from>
    <xdr:ext cx="317500" cy="279400"/>
    <xdr:sp macro="" textlink="">
      <xdr:nvSpPr>
        <xdr:cNvPr id="26" name="AutoShape 484" descr="note-add">
          <a:extLst>
            <a:ext uri="{FF2B5EF4-FFF2-40B4-BE49-F238E27FC236}">
              <a16:creationId xmlns:a16="http://schemas.microsoft.com/office/drawing/2014/main" id="{90AB6E41-4AD7-134D-844B-721C72EC41B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17525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242</xdr:row>
      <xdr:rowOff>0</xdr:rowOff>
    </xdr:from>
    <xdr:ext cx="304800" cy="279400"/>
    <xdr:sp macro="" textlink="">
      <xdr:nvSpPr>
        <xdr:cNvPr id="27" name="AutoShape 485" descr="alert toggle">
          <a:extLst>
            <a:ext uri="{FF2B5EF4-FFF2-40B4-BE49-F238E27FC236}">
              <a16:creationId xmlns:a16="http://schemas.microsoft.com/office/drawing/2014/main" id="{7DB33DD5-71EA-4E48-8361-04AEEBA6918B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1752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266</xdr:row>
      <xdr:rowOff>0</xdr:rowOff>
    </xdr:from>
    <xdr:ext cx="317500" cy="279400"/>
    <xdr:sp macro="" textlink="">
      <xdr:nvSpPr>
        <xdr:cNvPr id="28" name="AutoShape 486" descr="note-add">
          <a:extLst>
            <a:ext uri="{FF2B5EF4-FFF2-40B4-BE49-F238E27FC236}">
              <a16:creationId xmlns:a16="http://schemas.microsoft.com/office/drawing/2014/main" id="{8FBF4EA2-16C5-7E4B-AEC1-C8E477622EF3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6769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266</xdr:row>
      <xdr:rowOff>0</xdr:rowOff>
    </xdr:from>
    <xdr:ext cx="304800" cy="279400"/>
    <xdr:sp macro="" textlink="">
      <xdr:nvSpPr>
        <xdr:cNvPr id="29" name="AutoShape 487" descr="alert toggle">
          <a:extLst>
            <a:ext uri="{FF2B5EF4-FFF2-40B4-BE49-F238E27FC236}">
              <a16:creationId xmlns:a16="http://schemas.microsoft.com/office/drawing/2014/main" id="{9ABF812A-86B5-AF45-8BF0-7D99599B6F4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6769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271</xdr:row>
      <xdr:rowOff>0</xdr:rowOff>
    </xdr:from>
    <xdr:ext cx="317500" cy="279400"/>
    <xdr:sp macro="" textlink="">
      <xdr:nvSpPr>
        <xdr:cNvPr id="30" name="AutoShape 488" descr="note-add">
          <a:extLst>
            <a:ext uri="{FF2B5EF4-FFF2-40B4-BE49-F238E27FC236}">
              <a16:creationId xmlns:a16="http://schemas.microsoft.com/office/drawing/2014/main" id="{B767FD0F-C3FC-FA47-A600-EBE1A048D5D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78231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271</xdr:row>
      <xdr:rowOff>0</xdr:rowOff>
    </xdr:from>
    <xdr:ext cx="304800" cy="279400"/>
    <xdr:sp macro="" textlink="">
      <xdr:nvSpPr>
        <xdr:cNvPr id="31" name="AutoShape 489" descr="alert toggle">
          <a:extLst>
            <a:ext uri="{FF2B5EF4-FFF2-40B4-BE49-F238E27FC236}">
              <a16:creationId xmlns:a16="http://schemas.microsoft.com/office/drawing/2014/main" id="{35491B63-952A-FA4B-A2B4-A5C6ADDFC35B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7823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340</xdr:row>
      <xdr:rowOff>0</xdr:rowOff>
    </xdr:from>
    <xdr:ext cx="317500" cy="279400"/>
    <xdr:sp macro="" textlink="">
      <xdr:nvSpPr>
        <xdr:cNvPr id="32" name="AutoShape 490" descr="note-add">
          <a:extLst>
            <a:ext uri="{FF2B5EF4-FFF2-40B4-BE49-F238E27FC236}">
              <a16:creationId xmlns:a16="http://schemas.microsoft.com/office/drawing/2014/main" id="{52DEDC71-806E-F543-BE70-ECFE4DD66FB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27075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340</xdr:row>
      <xdr:rowOff>0</xdr:rowOff>
    </xdr:from>
    <xdr:ext cx="304800" cy="279400"/>
    <xdr:sp macro="" textlink="">
      <xdr:nvSpPr>
        <xdr:cNvPr id="33" name="AutoShape 491" descr="alert toggle">
          <a:extLst>
            <a:ext uri="{FF2B5EF4-FFF2-40B4-BE49-F238E27FC236}">
              <a16:creationId xmlns:a16="http://schemas.microsoft.com/office/drawing/2014/main" id="{6532419A-8775-B84F-A701-A02AC73DFA2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270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364</xdr:row>
      <xdr:rowOff>0</xdr:rowOff>
    </xdr:from>
    <xdr:ext cx="317500" cy="279400"/>
    <xdr:sp macro="" textlink="">
      <xdr:nvSpPr>
        <xdr:cNvPr id="34" name="AutoShape 492" descr="note-add">
          <a:extLst>
            <a:ext uri="{FF2B5EF4-FFF2-40B4-BE49-F238E27FC236}">
              <a16:creationId xmlns:a16="http://schemas.microsoft.com/office/drawing/2014/main" id="{9A79C0BF-4F1F-1340-BEB6-EAC2ADF70CF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7673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364</xdr:row>
      <xdr:rowOff>0</xdr:rowOff>
    </xdr:from>
    <xdr:ext cx="304800" cy="279400"/>
    <xdr:sp macro="" textlink="">
      <xdr:nvSpPr>
        <xdr:cNvPr id="35" name="AutoShape 493" descr="alert toggle">
          <a:extLst>
            <a:ext uri="{FF2B5EF4-FFF2-40B4-BE49-F238E27FC236}">
              <a16:creationId xmlns:a16="http://schemas.microsoft.com/office/drawing/2014/main" id="{FB739A2C-CEAC-E042-8FF8-00714D944E4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7673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397</xdr:row>
      <xdr:rowOff>0</xdr:rowOff>
    </xdr:from>
    <xdr:ext cx="317500" cy="279400"/>
    <xdr:sp macro="" textlink="">
      <xdr:nvSpPr>
        <xdr:cNvPr id="36" name="AutoShape 494" descr="note-add">
          <a:extLst>
            <a:ext uri="{FF2B5EF4-FFF2-40B4-BE49-F238E27FC236}">
              <a16:creationId xmlns:a16="http://schemas.microsoft.com/office/drawing/2014/main" id="{12E4D8A4-B151-CA4D-8691-8E4C36CF3B8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4607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397</xdr:row>
      <xdr:rowOff>0</xdr:rowOff>
    </xdr:from>
    <xdr:ext cx="304800" cy="279400"/>
    <xdr:sp macro="" textlink="">
      <xdr:nvSpPr>
        <xdr:cNvPr id="37" name="AutoShape 495" descr="alert toggle">
          <a:extLst>
            <a:ext uri="{FF2B5EF4-FFF2-40B4-BE49-F238E27FC236}">
              <a16:creationId xmlns:a16="http://schemas.microsoft.com/office/drawing/2014/main" id="{A5406C6C-D8C6-6A4F-BA65-7C683BCE2AF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460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402</xdr:row>
      <xdr:rowOff>0</xdr:rowOff>
    </xdr:from>
    <xdr:ext cx="317500" cy="279400"/>
    <xdr:sp macro="" textlink="">
      <xdr:nvSpPr>
        <xdr:cNvPr id="38" name="AutoShape 496" descr="note-add">
          <a:extLst>
            <a:ext uri="{FF2B5EF4-FFF2-40B4-BE49-F238E27FC236}">
              <a16:creationId xmlns:a16="http://schemas.microsoft.com/office/drawing/2014/main" id="{C1BD864D-7565-4040-ABA6-CE34E4E889D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5725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402</xdr:row>
      <xdr:rowOff>0</xdr:rowOff>
    </xdr:from>
    <xdr:ext cx="304800" cy="279400"/>
    <xdr:sp macro="" textlink="">
      <xdr:nvSpPr>
        <xdr:cNvPr id="39" name="AutoShape 497" descr="alert toggle">
          <a:extLst>
            <a:ext uri="{FF2B5EF4-FFF2-40B4-BE49-F238E27FC236}">
              <a16:creationId xmlns:a16="http://schemas.microsoft.com/office/drawing/2014/main" id="{6796C72C-BD90-B748-B815-01D37F735B0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572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309</xdr:row>
      <xdr:rowOff>0</xdr:rowOff>
    </xdr:from>
    <xdr:ext cx="317500" cy="304800"/>
    <xdr:sp macro="" textlink="">
      <xdr:nvSpPr>
        <xdr:cNvPr id="40" name="AutoShape 498" descr="note-add">
          <a:extLst>
            <a:ext uri="{FF2B5EF4-FFF2-40B4-BE49-F238E27FC236}">
              <a16:creationId xmlns:a16="http://schemas.microsoft.com/office/drawing/2014/main" id="{9FF729F5-9E5E-7543-969F-7848DAF8998B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6078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309</xdr:row>
      <xdr:rowOff>0</xdr:rowOff>
    </xdr:from>
    <xdr:ext cx="304800" cy="304800"/>
    <xdr:sp macro="" textlink="">
      <xdr:nvSpPr>
        <xdr:cNvPr id="41" name="AutoShape 499" descr="alert toggle">
          <a:extLst>
            <a:ext uri="{FF2B5EF4-FFF2-40B4-BE49-F238E27FC236}">
              <a16:creationId xmlns:a16="http://schemas.microsoft.com/office/drawing/2014/main" id="{18C546CB-53BC-6549-839C-8E8E2754851E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60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116</xdr:row>
      <xdr:rowOff>0</xdr:rowOff>
    </xdr:from>
    <xdr:ext cx="317500" cy="279400"/>
    <xdr:sp macro="" textlink="">
      <xdr:nvSpPr>
        <xdr:cNvPr id="42" name="AutoShape 500" descr="note-add">
          <a:extLst>
            <a:ext uri="{FF2B5EF4-FFF2-40B4-BE49-F238E27FC236}">
              <a16:creationId xmlns:a16="http://schemas.microsoft.com/office/drawing/2014/main" id="{C26BF126-4F69-8C4F-BECE-5CBB257C28A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477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116</xdr:row>
      <xdr:rowOff>0</xdr:rowOff>
    </xdr:from>
    <xdr:ext cx="317500" cy="279400"/>
    <xdr:sp macro="" textlink="">
      <xdr:nvSpPr>
        <xdr:cNvPr id="43" name="AutoShape 502" descr="note-add">
          <a:extLst>
            <a:ext uri="{FF2B5EF4-FFF2-40B4-BE49-F238E27FC236}">
              <a16:creationId xmlns:a16="http://schemas.microsoft.com/office/drawing/2014/main" id="{FB573896-44B0-D745-ACA2-0F2A675FE4E3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2477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116</xdr:row>
      <xdr:rowOff>0</xdr:rowOff>
    </xdr:from>
    <xdr:ext cx="317500" cy="279400"/>
    <xdr:sp macro="" textlink="">
      <xdr:nvSpPr>
        <xdr:cNvPr id="44" name="AutoShape 506" descr="note-add">
          <a:extLst>
            <a:ext uri="{FF2B5EF4-FFF2-40B4-BE49-F238E27FC236}">
              <a16:creationId xmlns:a16="http://schemas.microsoft.com/office/drawing/2014/main" id="{0BA0EC4B-883F-C54C-940D-507F5B11616B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2477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116</xdr:row>
      <xdr:rowOff>0</xdr:rowOff>
    </xdr:from>
    <xdr:ext cx="292100" cy="279400"/>
    <xdr:sp macro="" textlink="">
      <xdr:nvSpPr>
        <xdr:cNvPr id="45" name="AutoShape 507" descr="alert toggle">
          <a:extLst>
            <a:ext uri="{FF2B5EF4-FFF2-40B4-BE49-F238E27FC236}">
              <a16:creationId xmlns:a16="http://schemas.microsoft.com/office/drawing/2014/main" id="{15BDCD13-EFCF-A146-89B5-EBECB8E1F2C6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24777700"/>
          <a:ext cx="2921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116</xdr:row>
      <xdr:rowOff>0</xdr:rowOff>
    </xdr:from>
    <xdr:ext cx="317500" cy="279400"/>
    <xdr:sp macro="" textlink="">
      <xdr:nvSpPr>
        <xdr:cNvPr id="46" name="AutoShape 508" descr="note-add">
          <a:extLst>
            <a:ext uri="{FF2B5EF4-FFF2-40B4-BE49-F238E27FC236}">
              <a16:creationId xmlns:a16="http://schemas.microsoft.com/office/drawing/2014/main" id="{77D68C3C-3835-DE45-87C2-0A56A0D20129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2477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116</xdr:row>
      <xdr:rowOff>0</xdr:rowOff>
    </xdr:from>
    <xdr:ext cx="304800" cy="279400"/>
    <xdr:sp macro="" textlink="">
      <xdr:nvSpPr>
        <xdr:cNvPr id="47" name="AutoShape 509" descr="alert toggle">
          <a:extLst>
            <a:ext uri="{FF2B5EF4-FFF2-40B4-BE49-F238E27FC236}">
              <a16:creationId xmlns:a16="http://schemas.microsoft.com/office/drawing/2014/main" id="{D2350FEC-2062-FF42-BC7B-CC6FDC176DCB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2477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116</xdr:row>
      <xdr:rowOff>0</xdr:rowOff>
    </xdr:from>
    <xdr:ext cx="317500" cy="279400"/>
    <xdr:sp macro="" textlink="">
      <xdr:nvSpPr>
        <xdr:cNvPr id="48" name="AutoShape 510" descr="note-add">
          <a:extLst>
            <a:ext uri="{FF2B5EF4-FFF2-40B4-BE49-F238E27FC236}">
              <a16:creationId xmlns:a16="http://schemas.microsoft.com/office/drawing/2014/main" id="{C2E532C6-340A-3548-B47B-F6BAB7E907C5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2477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33</xdr:row>
      <xdr:rowOff>0</xdr:rowOff>
    </xdr:from>
    <xdr:ext cx="304800" cy="304800"/>
    <xdr:sp macro="" textlink="">
      <xdr:nvSpPr>
        <xdr:cNvPr id="49" name="AutoShape 580" descr="note-add">
          <a:extLst>
            <a:ext uri="{FF2B5EF4-FFF2-40B4-BE49-F238E27FC236}">
              <a16:creationId xmlns:a16="http://schemas.microsoft.com/office/drawing/2014/main" id="{DBB90DAF-909F-B248-BDA8-B150C5335B27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33</xdr:row>
      <xdr:rowOff>0</xdr:rowOff>
    </xdr:from>
    <xdr:ext cx="304800" cy="304800"/>
    <xdr:sp macro="" textlink="">
      <xdr:nvSpPr>
        <xdr:cNvPr id="50" name="AutoShape 581" descr="alert toggle">
          <a:extLst>
            <a:ext uri="{FF2B5EF4-FFF2-40B4-BE49-F238E27FC236}">
              <a16:creationId xmlns:a16="http://schemas.microsoft.com/office/drawing/2014/main" id="{4FB273F4-9709-964A-A2AD-3B154508230B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83</xdr:row>
      <xdr:rowOff>0</xdr:rowOff>
    </xdr:from>
    <xdr:ext cx="304800" cy="304800"/>
    <xdr:sp macro="" textlink="">
      <xdr:nvSpPr>
        <xdr:cNvPr id="51" name="AutoShape 584" descr="note-add">
          <a:extLst>
            <a:ext uri="{FF2B5EF4-FFF2-40B4-BE49-F238E27FC236}">
              <a16:creationId xmlns:a16="http://schemas.microsoft.com/office/drawing/2014/main" id="{B972DE4A-17DB-2444-854E-DC1E1B3E8557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178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83</xdr:row>
      <xdr:rowOff>0</xdr:rowOff>
    </xdr:from>
    <xdr:ext cx="304800" cy="304800"/>
    <xdr:sp macro="" textlink="">
      <xdr:nvSpPr>
        <xdr:cNvPr id="52" name="AutoShape 585" descr="alert toggle">
          <a:extLst>
            <a:ext uri="{FF2B5EF4-FFF2-40B4-BE49-F238E27FC236}">
              <a16:creationId xmlns:a16="http://schemas.microsoft.com/office/drawing/2014/main" id="{FDE83818-0D9D-9143-956D-EC7692D270F1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178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87</xdr:row>
      <xdr:rowOff>0</xdr:rowOff>
    </xdr:from>
    <xdr:ext cx="304800" cy="304801"/>
    <xdr:sp macro="" textlink="">
      <xdr:nvSpPr>
        <xdr:cNvPr id="53" name="AutoShape 588" descr="note-add">
          <a:extLst>
            <a:ext uri="{FF2B5EF4-FFF2-40B4-BE49-F238E27FC236}">
              <a16:creationId xmlns:a16="http://schemas.microsoft.com/office/drawing/2014/main" id="{166E191C-6E36-4244-A4A3-02D80285551E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18656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87</xdr:row>
      <xdr:rowOff>0</xdr:rowOff>
    </xdr:from>
    <xdr:ext cx="304800" cy="304801"/>
    <xdr:sp macro="" textlink="">
      <xdr:nvSpPr>
        <xdr:cNvPr id="54" name="AutoShape 589" descr="alert toggle">
          <a:extLst>
            <a:ext uri="{FF2B5EF4-FFF2-40B4-BE49-F238E27FC236}">
              <a16:creationId xmlns:a16="http://schemas.microsoft.com/office/drawing/2014/main" id="{282CAE01-27C6-1E45-8140-E9E0C372903D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18656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92</xdr:row>
      <xdr:rowOff>0</xdr:rowOff>
    </xdr:from>
    <xdr:ext cx="304800" cy="304800"/>
    <xdr:sp macro="" textlink="">
      <xdr:nvSpPr>
        <xdr:cNvPr id="55" name="AutoShape 592" descr="note-add">
          <a:extLst>
            <a:ext uri="{FF2B5EF4-FFF2-40B4-BE49-F238E27FC236}">
              <a16:creationId xmlns:a16="http://schemas.microsoft.com/office/drawing/2014/main" id="{D0007DE2-7AA8-0140-9F7B-465CE66B919E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197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92</xdr:row>
      <xdr:rowOff>0</xdr:rowOff>
    </xdr:from>
    <xdr:ext cx="304800" cy="304800"/>
    <xdr:sp macro="" textlink="">
      <xdr:nvSpPr>
        <xdr:cNvPr id="56" name="AutoShape 593" descr="alert toggle">
          <a:extLst>
            <a:ext uri="{FF2B5EF4-FFF2-40B4-BE49-F238E27FC236}">
              <a16:creationId xmlns:a16="http://schemas.microsoft.com/office/drawing/2014/main" id="{3769C679-71F4-5547-B417-3A46C59C8C3F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197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114</xdr:row>
      <xdr:rowOff>0</xdr:rowOff>
    </xdr:from>
    <xdr:ext cx="304800" cy="304800"/>
    <xdr:sp macro="" textlink="">
      <xdr:nvSpPr>
        <xdr:cNvPr id="57" name="AutoShape 596" descr="note-add">
          <a:extLst>
            <a:ext uri="{FF2B5EF4-FFF2-40B4-BE49-F238E27FC236}">
              <a16:creationId xmlns:a16="http://schemas.microsoft.com/office/drawing/2014/main" id="{3169A84F-C636-2345-AFF6-94E06F3F8ADF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243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114</xdr:row>
      <xdr:rowOff>0</xdr:rowOff>
    </xdr:from>
    <xdr:ext cx="304800" cy="304800"/>
    <xdr:sp macro="" textlink="">
      <xdr:nvSpPr>
        <xdr:cNvPr id="58" name="AutoShape 597" descr="alert toggle">
          <a:extLst>
            <a:ext uri="{FF2B5EF4-FFF2-40B4-BE49-F238E27FC236}">
              <a16:creationId xmlns:a16="http://schemas.microsoft.com/office/drawing/2014/main" id="{FAB71BCC-0270-9A49-9FDF-64E8083AF36D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243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136</xdr:row>
      <xdr:rowOff>0</xdr:rowOff>
    </xdr:from>
    <xdr:ext cx="304800" cy="304801"/>
    <xdr:sp macro="" textlink="">
      <xdr:nvSpPr>
        <xdr:cNvPr id="59" name="AutoShape 600" descr="note-add">
          <a:extLst>
            <a:ext uri="{FF2B5EF4-FFF2-40B4-BE49-F238E27FC236}">
              <a16:creationId xmlns:a16="http://schemas.microsoft.com/office/drawing/2014/main" id="{5D50B8A6-B7B1-AD4F-BE3C-88930032DDD2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29095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136</xdr:row>
      <xdr:rowOff>0</xdr:rowOff>
    </xdr:from>
    <xdr:ext cx="304800" cy="304801"/>
    <xdr:sp macro="" textlink="">
      <xdr:nvSpPr>
        <xdr:cNvPr id="60" name="AutoShape 601" descr="alert toggle">
          <a:extLst>
            <a:ext uri="{FF2B5EF4-FFF2-40B4-BE49-F238E27FC236}">
              <a16:creationId xmlns:a16="http://schemas.microsoft.com/office/drawing/2014/main" id="{4D35B26B-E079-8F47-823F-607C1C925E56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29095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216</xdr:row>
      <xdr:rowOff>0</xdr:rowOff>
    </xdr:from>
    <xdr:ext cx="304800" cy="304800"/>
    <xdr:sp macro="" textlink="">
      <xdr:nvSpPr>
        <xdr:cNvPr id="61" name="AutoShape 604" descr="note-add">
          <a:extLst>
            <a:ext uri="{FF2B5EF4-FFF2-40B4-BE49-F238E27FC236}">
              <a16:creationId xmlns:a16="http://schemas.microsoft.com/office/drawing/2014/main" id="{BCDA421D-260C-3C44-9CB9-0D81F7A1CEA2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46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226</xdr:row>
      <xdr:rowOff>0</xdr:rowOff>
    </xdr:from>
    <xdr:ext cx="304800" cy="304801"/>
    <xdr:sp macro="" textlink="">
      <xdr:nvSpPr>
        <xdr:cNvPr id="62" name="AutoShape 608" descr="note-add">
          <a:extLst>
            <a:ext uri="{FF2B5EF4-FFF2-40B4-BE49-F238E27FC236}">
              <a16:creationId xmlns:a16="http://schemas.microsoft.com/office/drawing/2014/main" id="{694E7F19-CF7D-6841-BF58-2107C8FDFC48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48336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226</xdr:row>
      <xdr:rowOff>0</xdr:rowOff>
    </xdr:from>
    <xdr:ext cx="304800" cy="304801"/>
    <xdr:sp macro="" textlink="">
      <xdr:nvSpPr>
        <xdr:cNvPr id="63" name="AutoShape 609" descr="alert toggle">
          <a:extLst>
            <a:ext uri="{FF2B5EF4-FFF2-40B4-BE49-F238E27FC236}">
              <a16:creationId xmlns:a16="http://schemas.microsoft.com/office/drawing/2014/main" id="{A42ECE36-2BCC-7548-87F2-E512DAC518A3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48336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235</xdr:row>
      <xdr:rowOff>0</xdr:rowOff>
    </xdr:from>
    <xdr:ext cx="304800" cy="304800"/>
    <xdr:sp macro="" textlink="">
      <xdr:nvSpPr>
        <xdr:cNvPr id="64" name="AutoShape 612" descr="note-add">
          <a:extLst>
            <a:ext uri="{FF2B5EF4-FFF2-40B4-BE49-F238E27FC236}">
              <a16:creationId xmlns:a16="http://schemas.microsoft.com/office/drawing/2014/main" id="{427FBC2C-AF0E-4B45-9D80-913D096BBB75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02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235</xdr:row>
      <xdr:rowOff>0</xdr:rowOff>
    </xdr:from>
    <xdr:ext cx="304800" cy="304800"/>
    <xdr:sp macro="" textlink="">
      <xdr:nvSpPr>
        <xdr:cNvPr id="65" name="AutoShape 613" descr="alert toggle">
          <a:extLst>
            <a:ext uri="{FF2B5EF4-FFF2-40B4-BE49-F238E27FC236}">
              <a16:creationId xmlns:a16="http://schemas.microsoft.com/office/drawing/2014/main" id="{32F7A181-AD9D-DA4D-9AB7-CE7C8C6D5CB5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02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240</xdr:row>
      <xdr:rowOff>0</xdr:rowOff>
    </xdr:from>
    <xdr:ext cx="304800" cy="304800"/>
    <xdr:sp macro="" textlink="">
      <xdr:nvSpPr>
        <xdr:cNvPr id="66" name="AutoShape 616" descr="note-add">
          <a:extLst>
            <a:ext uri="{FF2B5EF4-FFF2-40B4-BE49-F238E27FC236}">
              <a16:creationId xmlns:a16="http://schemas.microsoft.com/office/drawing/2014/main" id="{1115E2C8-79D5-8340-8F46-AF7E4B077B20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13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240</xdr:row>
      <xdr:rowOff>0</xdr:rowOff>
    </xdr:from>
    <xdr:ext cx="304800" cy="304800"/>
    <xdr:sp macro="" textlink="">
      <xdr:nvSpPr>
        <xdr:cNvPr id="67" name="AutoShape 617" descr="alert toggle">
          <a:extLst>
            <a:ext uri="{FF2B5EF4-FFF2-40B4-BE49-F238E27FC236}">
              <a16:creationId xmlns:a16="http://schemas.microsoft.com/office/drawing/2014/main" id="{7E4A4B77-1F94-B64C-9DF7-FB77E56DC507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13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264</xdr:row>
      <xdr:rowOff>0</xdr:rowOff>
    </xdr:from>
    <xdr:ext cx="304800" cy="304800"/>
    <xdr:sp macro="" textlink="">
      <xdr:nvSpPr>
        <xdr:cNvPr id="68" name="AutoShape 620" descr="note-add">
          <a:extLst>
            <a:ext uri="{FF2B5EF4-FFF2-40B4-BE49-F238E27FC236}">
              <a16:creationId xmlns:a16="http://schemas.microsoft.com/office/drawing/2014/main" id="{078D9C62-9273-6A4D-9BB5-D732B5EC95EA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63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264</xdr:row>
      <xdr:rowOff>0</xdr:rowOff>
    </xdr:from>
    <xdr:ext cx="304800" cy="304800"/>
    <xdr:sp macro="" textlink="">
      <xdr:nvSpPr>
        <xdr:cNvPr id="69" name="AutoShape 621" descr="alert toggle">
          <a:extLst>
            <a:ext uri="{FF2B5EF4-FFF2-40B4-BE49-F238E27FC236}">
              <a16:creationId xmlns:a16="http://schemas.microsoft.com/office/drawing/2014/main" id="{0D0D60FE-A11A-0940-84A8-A3660CFBAFD6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63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338</xdr:row>
      <xdr:rowOff>0</xdr:rowOff>
    </xdr:from>
    <xdr:ext cx="304800" cy="304800"/>
    <xdr:sp macro="" textlink="">
      <xdr:nvSpPr>
        <xdr:cNvPr id="70" name="AutoShape 624" descr="note-add">
          <a:extLst>
            <a:ext uri="{FF2B5EF4-FFF2-40B4-BE49-F238E27FC236}">
              <a16:creationId xmlns:a16="http://schemas.microsoft.com/office/drawing/2014/main" id="{B3E99659-31DD-F24B-BC5C-8FBAFD6E9E07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72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338</xdr:row>
      <xdr:rowOff>0</xdr:rowOff>
    </xdr:from>
    <xdr:ext cx="304800" cy="304800"/>
    <xdr:sp macro="" textlink="">
      <xdr:nvSpPr>
        <xdr:cNvPr id="71" name="AutoShape 625" descr="alert toggle">
          <a:extLst>
            <a:ext uri="{FF2B5EF4-FFF2-40B4-BE49-F238E27FC236}">
              <a16:creationId xmlns:a16="http://schemas.microsoft.com/office/drawing/2014/main" id="{B3527C86-F2D6-A142-B9BE-A698B348E68A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72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338</xdr:row>
      <xdr:rowOff>0</xdr:rowOff>
    </xdr:from>
    <xdr:ext cx="304800" cy="304800"/>
    <xdr:sp macro="" textlink="">
      <xdr:nvSpPr>
        <xdr:cNvPr id="72" name="AutoShape 628" descr="note-add">
          <a:extLst>
            <a:ext uri="{FF2B5EF4-FFF2-40B4-BE49-F238E27FC236}">
              <a16:creationId xmlns:a16="http://schemas.microsoft.com/office/drawing/2014/main" id="{681CC4B3-AAF4-5840-AB5D-61012FF57BBE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72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338</xdr:row>
      <xdr:rowOff>0</xdr:rowOff>
    </xdr:from>
    <xdr:ext cx="304800" cy="304800"/>
    <xdr:sp macro="" textlink="">
      <xdr:nvSpPr>
        <xdr:cNvPr id="73" name="AutoShape 629" descr="alert toggle">
          <a:extLst>
            <a:ext uri="{FF2B5EF4-FFF2-40B4-BE49-F238E27FC236}">
              <a16:creationId xmlns:a16="http://schemas.microsoft.com/office/drawing/2014/main" id="{BD16748D-F54E-7945-86EA-5100F4F0AF38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72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362</xdr:row>
      <xdr:rowOff>0</xdr:rowOff>
    </xdr:from>
    <xdr:ext cx="304800" cy="304800"/>
    <xdr:sp macro="" textlink="">
      <xdr:nvSpPr>
        <xdr:cNvPr id="74" name="AutoShape 632" descr="note-add">
          <a:extLst>
            <a:ext uri="{FF2B5EF4-FFF2-40B4-BE49-F238E27FC236}">
              <a16:creationId xmlns:a16="http://schemas.microsoft.com/office/drawing/2014/main" id="{344D0868-BBF3-EE49-AE23-260D91D43FBF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772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362</xdr:row>
      <xdr:rowOff>0</xdr:rowOff>
    </xdr:from>
    <xdr:ext cx="304800" cy="304800"/>
    <xdr:sp macro="" textlink="">
      <xdr:nvSpPr>
        <xdr:cNvPr id="75" name="AutoShape 633" descr="alert toggle">
          <a:extLst>
            <a:ext uri="{FF2B5EF4-FFF2-40B4-BE49-F238E27FC236}">
              <a16:creationId xmlns:a16="http://schemas.microsoft.com/office/drawing/2014/main" id="{57C556FC-15B5-8B43-8220-108B8DC48CEC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772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396</xdr:row>
      <xdr:rowOff>0</xdr:rowOff>
    </xdr:from>
    <xdr:ext cx="304800" cy="304800"/>
    <xdr:sp macro="" textlink="">
      <xdr:nvSpPr>
        <xdr:cNvPr id="76" name="AutoShape 636" descr="note-add">
          <a:extLst>
            <a:ext uri="{FF2B5EF4-FFF2-40B4-BE49-F238E27FC236}">
              <a16:creationId xmlns:a16="http://schemas.microsoft.com/office/drawing/2014/main" id="{CADE4AED-E81D-BB4E-8EFE-F2DEC9F484CE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396</xdr:row>
      <xdr:rowOff>0</xdr:rowOff>
    </xdr:from>
    <xdr:ext cx="304800" cy="304800"/>
    <xdr:sp macro="" textlink="">
      <xdr:nvSpPr>
        <xdr:cNvPr id="77" name="AutoShape 637" descr="alert toggle">
          <a:extLst>
            <a:ext uri="{FF2B5EF4-FFF2-40B4-BE49-F238E27FC236}">
              <a16:creationId xmlns:a16="http://schemas.microsoft.com/office/drawing/2014/main" id="{FAF98317-EBA0-C84B-A197-28BDAF7C79E6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400</xdr:row>
      <xdr:rowOff>0</xdr:rowOff>
    </xdr:from>
    <xdr:ext cx="304800" cy="304799"/>
    <xdr:sp macro="" textlink="">
      <xdr:nvSpPr>
        <xdr:cNvPr id="78" name="AutoShape 640" descr="note-add">
          <a:extLst>
            <a:ext uri="{FF2B5EF4-FFF2-40B4-BE49-F238E27FC236}">
              <a16:creationId xmlns:a16="http://schemas.microsoft.com/office/drawing/2014/main" id="{988BEB18-013A-8349-A092-367220B8C10B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8526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400</xdr:row>
      <xdr:rowOff>0</xdr:rowOff>
    </xdr:from>
    <xdr:ext cx="304800" cy="304799"/>
    <xdr:sp macro="" textlink="">
      <xdr:nvSpPr>
        <xdr:cNvPr id="79" name="AutoShape 641" descr="alert toggle">
          <a:extLst>
            <a:ext uri="{FF2B5EF4-FFF2-40B4-BE49-F238E27FC236}">
              <a16:creationId xmlns:a16="http://schemas.microsoft.com/office/drawing/2014/main" id="{77EF3925-FE22-9643-B326-A64D812E3D03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85267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307</xdr:row>
      <xdr:rowOff>0</xdr:rowOff>
    </xdr:from>
    <xdr:ext cx="304800" cy="304801"/>
    <xdr:sp macro="" textlink="">
      <xdr:nvSpPr>
        <xdr:cNvPr id="80" name="AutoShape 644" descr="note-add">
          <a:extLst>
            <a:ext uri="{FF2B5EF4-FFF2-40B4-BE49-F238E27FC236}">
              <a16:creationId xmlns:a16="http://schemas.microsoft.com/office/drawing/2014/main" id="{695DCE13-5CC9-3548-80BD-66F0F1957087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65620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307</xdr:row>
      <xdr:rowOff>0</xdr:rowOff>
    </xdr:from>
    <xdr:ext cx="304800" cy="304801"/>
    <xdr:sp macro="" textlink="">
      <xdr:nvSpPr>
        <xdr:cNvPr id="81" name="AutoShape 645" descr="alert toggle">
          <a:extLst>
            <a:ext uri="{FF2B5EF4-FFF2-40B4-BE49-F238E27FC236}">
              <a16:creationId xmlns:a16="http://schemas.microsoft.com/office/drawing/2014/main" id="{3B9D1DE0-B9EA-5941-9D35-DD60371EA39D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65620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</xdr:row>
      <xdr:rowOff>0</xdr:rowOff>
    </xdr:from>
    <xdr:ext cx="304800" cy="304799"/>
    <xdr:sp macro="" textlink="">
      <xdr:nvSpPr>
        <xdr:cNvPr id="82" name="AutoShape 646" descr="note-add">
          <a:extLst>
            <a:ext uri="{FF2B5EF4-FFF2-40B4-BE49-F238E27FC236}">
              <a16:creationId xmlns:a16="http://schemas.microsoft.com/office/drawing/2014/main" id="{8341C02A-28F4-0046-9920-2099FE85B25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07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</xdr:row>
      <xdr:rowOff>0</xdr:rowOff>
    </xdr:from>
    <xdr:ext cx="304800" cy="304799"/>
    <xdr:sp macro="" textlink="">
      <xdr:nvSpPr>
        <xdr:cNvPr id="83" name="AutoShape 647" descr="alert toggle">
          <a:extLst>
            <a:ext uri="{FF2B5EF4-FFF2-40B4-BE49-F238E27FC236}">
              <a16:creationId xmlns:a16="http://schemas.microsoft.com/office/drawing/2014/main" id="{EA991B3E-CE40-DA40-8C15-4D9DA2635776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807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82</xdr:row>
      <xdr:rowOff>0</xdr:rowOff>
    </xdr:from>
    <xdr:ext cx="304800" cy="304800"/>
    <xdr:sp macro="" textlink="">
      <xdr:nvSpPr>
        <xdr:cNvPr id="84" name="AutoShape 650" descr="note-add">
          <a:extLst>
            <a:ext uri="{FF2B5EF4-FFF2-40B4-BE49-F238E27FC236}">
              <a16:creationId xmlns:a16="http://schemas.microsoft.com/office/drawing/2014/main" id="{C5902662-756E-1E47-9D90-C32FF640AC54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82</xdr:row>
      <xdr:rowOff>0</xdr:rowOff>
    </xdr:from>
    <xdr:ext cx="304800" cy="304800"/>
    <xdr:sp macro="" textlink="">
      <xdr:nvSpPr>
        <xdr:cNvPr id="85" name="AutoShape 651" descr="alert toggle">
          <a:extLst>
            <a:ext uri="{FF2B5EF4-FFF2-40B4-BE49-F238E27FC236}">
              <a16:creationId xmlns:a16="http://schemas.microsoft.com/office/drawing/2014/main" id="{1492F65D-4BBD-2042-9DA1-9ED11AF9FA73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86</xdr:row>
      <xdr:rowOff>0</xdr:rowOff>
    </xdr:from>
    <xdr:ext cx="304800" cy="304799"/>
    <xdr:sp macro="" textlink="">
      <xdr:nvSpPr>
        <xdr:cNvPr id="86" name="AutoShape 654" descr="note-add">
          <a:extLst>
            <a:ext uri="{FF2B5EF4-FFF2-40B4-BE49-F238E27FC236}">
              <a16:creationId xmlns:a16="http://schemas.microsoft.com/office/drawing/2014/main" id="{4E2BC347-3DDC-964A-A474-8848BA5C83F8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1845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86</xdr:row>
      <xdr:rowOff>0</xdr:rowOff>
    </xdr:from>
    <xdr:ext cx="304800" cy="304799"/>
    <xdr:sp macro="" textlink="">
      <xdr:nvSpPr>
        <xdr:cNvPr id="87" name="AutoShape 655" descr="alert toggle">
          <a:extLst>
            <a:ext uri="{FF2B5EF4-FFF2-40B4-BE49-F238E27FC236}">
              <a16:creationId xmlns:a16="http://schemas.microsoft.com/office/drawing/2014/main" id="{046701C3-0ED1-904E-B11F-7B45E4BE09A2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1845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107</xdr:row>
      <xdr:rowOff>0</xdr:rowOff>
    </xdr:from>
    <xdr:ext cx="304800" cy="304799"/>
    <xdr:sp macro="" textlink="">
      <xdr:nvSpPr>
        <xdr:cNvPr id="88" name="AutoShape 658" descr="note-add">
          <a:extLst>
            <a:ext uri="{FF2B5EF4-FFF2-40B4-BE49-F238E27FC236}">
              <a16:creationId xmlns:a16="http://schemas.microsoft.com/office/drawing/2014/main" id="{BF83BD67-1CD5-C447-9E5E-01FD0518D99E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2872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107</xdr:row>
      <xdr:rowOff>0</xdr:rowOff>
    </xdr:from>
    <xdr:ext cx="304800" cy="304799"/>
    <xdr:sp macro="" textlink="">
      <xdr:nvSpPr>
        <xdr:cNvPr id="89" name="AutoShape 659" descr="alert toggle">
          <a:extLst>
            <a:ext uri="{FF2B5EF4-FFF2-40B4-BE49-F238E27FC236}">
              <a16:creationId xmlns:a16="http://schemas.microsoft.com/office/drawing/2014/main" id="{5C5EA41C-FBCA-B84B-BF23-98E8DBBD4711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2872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113</xdr:row>
      <xdr:rowOff>0</xdr:rowOff>
    </xdr:from>
    <xdr:ext cx="304800" cy="304800"/>
    <xdr:sp macro="" textlink="">
      <xdr:nvSpPr>
        <xdr:cNvPr id="90" name="AutoShape 662" descr="note-add">
          <a:extLst>
            <a:ext uri="{FF2B5EF4-FFF2-40B4-BE49-F238E27FC236}">
              <a16:creationId xmlns:a16="http://schemas.microsoft.com/office/drawing/2014/main" id="{CC58F823-D7D4-B84E-8ACC-F4DF627D0224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41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113</xdr:row>
      <xdr:rowOff>0</xdr:rowOff>
    </xdr:from>
    <xdr:ext cx="304800" cy="304800"/>
    <xdr:sp macro="" textlink="">
      <xdr:nvSpPr>
        <xdr:cNvPr id="91" name="AutoShape 663" descr="alert toggle">
          <a:extLst>
            <a:ext uri="{FF2B5EF4-FFF2-40B4-BE49-F238E27FC236}">
              <a16:creationId xmlns:a16="http://schemas.microsoft.com/office/drawing/2014/main" id="{4ABB1E32-2B12-F34D-B408-16CD6E11C2FF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41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135</xdr:row>
      <xdr:rowOff>0</xdr:rowOff>
    </xdr:from>
    <xdr:ext cx="304800" cy="304801"/>
    <xdr:sp macro="" textlink="">
      <xdr:nvSpPr>
        <xdr:cNvPr id="92" name="AutoShape 666" descr="note-add">
          <a:extLst>
            <a:ext uri="{FF2B5EF4-FFF2-40B4-BE49-F238E27FC236}">
              <a16:creationId xmlns:a16="http://schemas.microsoft.com/office/drawing/2014/main" id="{1BD41600-EF0F-E641-B110-42036875749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8879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135</xdr:row>
      <xdr:rowOff>0</xdr:rowOff>
    </xdr:from>
    <xdr:ext cx="304800" cy="304801"/>
    <xdr:sp macro="" textlink="">
      <xdr:nvSpPr>
        <xdr:cNvPr id="93" name="AutoShape 667" descr="alert toggle">
          <a:extLst>
            <a:ext uri="{FF2B5EF4-FFF2-40B4-BE49-F238E27FC236}">
              <a16:creationId xmlns:a16="http://schemas.microsoft.com/office/drawing/2014/main" id="{FE087D23-709A-D84A-A9D9-4922A8BBC96C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8879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215</xdr:row>
      <xdr:rowOff>0</xdr:rowOff>
    </xdr:from>
    <xdr:ext cx="304800" cy="304801"/>
    <xdr:sp macro="" textlink="">
      <xdr:nvSpPr>
        <xdr:cNvPr id="94" name="AutoShape 670" descr="note-add">
          <a:extLst>
            <a:ext uri="{FF2B5EF4-FFF2-40B4-BE49-F238E27FC236}">
              <a16:creationId xmlns:a16="http://schemas.microsoft.com/office/drawing/2014/main" id="{2C7BFB59-DA22-6C45-9447-7B5B2C286ECC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5974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215</xdr:row>
      <xdr:rowOff>0</xdr:rowOff>
    </xdr:from>
    <xdr:ext cx="304800" cy="304801"/>
    <xdr:sp macro="" textlink="">
      <xdr:nvSpPr>
        <xdr:cNvPr id="95" name="AutoShape 674" descr="note-add">
          <a:extLst>
            <a:ext uri="{FF2B5EF4-FFF2-40B4-BE49-F238E27FC236}">
              <a16:creationId xmlns:a16="http://schemas.microsoft.com/office/drawing/2014/main" id="{B908CB5D-3488-8843-9D96-B4771C559E56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5974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215</xdr:row>
      <xdr:rowOff>0</xdr:rowOff>
    </xdr:from>
    <xdr:ext cx="304800" cy="304799"/>
    <xdr:sp macro="" textlink="">
      <xdr:nvSpPr>
        <xdr:cNvPr id="96" name="AutoShape 678" descr="note-add">
          <a:extLst>
            <a:ext uri="{FF2B5EF4-FFF2-40B4-BE49-F238E27FC236}">
              <a16:creationId xmlns:a16="http://schemas.microsoft.com/office/drawing/2014/main" id="{D6A42882-3C74-964F-9FA3-371051AF865A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597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225</xdr:row>
      <xdr:rowOff>0</xdr:rowOff>
    </xdr:from>
    <xdr:ext cx="304800" cy="304800"/>
    <xdr:sp macro="" textlink="">
      <xdr:nvSpPr>
        <xdr:cNvPr id="97" name="AutoShape 682" descr="note-add">
          <a:extLst>
            <a:ext uri="{FF2B5EF4-FFF2-40B4-BE49-F238E27FC236}">
              <a16:creationId xmlns:a16="http://schemas.microsoft.com/office/drawing/2014/main" id="{54EDDF6F-A5C3-E34F-84B8-2DD69C90E134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81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225</xdr:row>
      <xdr:rowOff>0</xdr:rowOff>
    </xdr:from>
    <xdr:ext cx="304800" cy="304800"/>
    <xdr:sp macro="" textlink="">
      <xdr:nvSpPr>
        <xdr:cNvPr id="98" name="AutoShape 683" descr="alert toggle">
          <a:extLst>
            <a:ext uri="{FF2B5EF4-FFF2-40B4-BE49-F238E27FC236}">
              <a16:creationId xmlns:a16="http://schemas.microsoft.com/office/drawing/2014/main" id="{31B19352-B328-5D44-9C7F-0EE4B8D7C0CD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481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234</xdr:row>
      <xdr:rowOff>0</xdr:rowOff>
    </xdr:from>
    <xdr:ext cx="304800" cy="304799"/>
    <xdr:sp macro="" textlink="">
      <xdr:nvSpPr>
        <xdr:cNvPr id="99" name="AutoShape 686" descr="note-add">
          <a:extLst>
            <a:ext uri="{FF2B5EF4-FFF2-40B4-BE49-F238E27FC236}">
              <a16:creationId xmlns:a16="http://schemas.microsoft.com/office/drawing/2014/main" id="{8EB0F30F-F9FB-2E4C-954A-477B1F45F792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0063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234</xdr:row>
      <xdr:rowOff>0</xdr:rowOff>
    </xdr:from>
    <xdr:ext cx="304800" cy="304799"/>
    <xdr:sp macro="" textlink="">
      <xdr:nvSpPr>
        <xdr:cNvPr id="100" name="AutoShape 687" descr="alert toggle">
          <a:extLst>
            <a:ext uri="{FF2B5EF4-FFF2-40B4-BE49-F238E27FC236}">
              <a16:creationId xmlns:a16="http://schemas.microsoft.com/office/drawing/2014/main" id="{8F0A1596-7E8F-5C45-B294-FA83B7CE5D17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0063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239</xdr:row>
      <xdr:rowOff>0</xdr:rowOff>
    </xdr:from>
    <xdr:ext cx="304800" cy="304800"/>
    <xdr:sp macro="" textlink="">
      <xdr:nvSpPr>
        <xdr:cNvPr id="101" name="AutoShape 691" descr="alert toggle">
          <a:extLst>
            <a:ext uri="{FF2B5EF4-FFF2-40B4-BE49-F238E27FC236}">
              <a16:creationId xmlns:a16="http://schemas.microsoft.com/office/drawing/2014/main" id="{622C83FC-AB05-C44E-941C-E389C171531F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11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263</xdr:row>
      <xdr:rowOff>0</xdr:rowOff>
    </xdr:from>
    <xdr:ext cx="304800" cy="304799"/>
    <xdr:sp macro="" textlink="">
      <xdr:nvSpPr>
        <xdr:cNvPr id="102" name="AutoShape 694" descr="note-add">
          <a:extLst>
            <a:ext uri="{FF2B5EF4-FFF2-40B4-BE49-F238E27FC236}">
              <a16:creationId xmlns:a16="http://schemas.microsoft.com/office/drawing/2014/main" id="{98632A66-EF4D-E145-837F-15C6EC738F78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263</xdr:row>
      <xdr:rowOff>0</xdr:rowOff>
    </xdr:from>
    <xdr:ext cx="304800" cy="304799"/>
    <xdr:sp macro="" textlink="">
      <xdr:nvSpPr>
        <xdr:cNvPr id="103" name="AutoShape 695" descr="alert toggle">
          <a:extLst>
            <a:ext uri="{FF2B5EF4-FFF2-40B4-BE49-F238E27FC236}">
              <a16:creationId xmlns:a16="http://schemas.microsoft.com/office/drawing/2014/main" id="{CF93ACDF-39A9-C445-AEB1-CB67C8B5EC2E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263</xdr:row>
      <xdr:rowOff>0</xdr:rowOff>
    </xdr:from>
    <xdr:ext cx="304800" cy="304799"/>
    <xdr:sp macro="" textlink="">
      <xdr:nvSpPr>
        <xdr:cNvPr id="104" name="AutoShape 698" descr="note-add">
          <a:extLst>
            <a:ext uri="{FF2B5EF4-FFF2-40B4-BE49-F238E27FC236}">
              <a16:creationId xmlns:a16="http://schemas.microsoft.com/office/drawing/2014/main" id="{2CFDDF86-4A56-FD4D-BFA7-7E8C6CE2E1BE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263</xdr:row>
      <xdr:rowOff>0</xdr:rowOff>
    </xdr:from>
    <xdr:ext cx="304800" cy="304799"/>
    <xdr:sp macro="" textlink="">
      <xdr:nvSpPr>
        <xdr:cNvPr id="105" name="AutoShape 699" descr="alert toggle">
          <a:extLst>
            <a:ext uri="{FF2B5EF4-FFF2-40B4-BE49-F238E27FC236}">
              <a16:creationId xmlns:a16="http://schemas.microsoft.com/office/drawing/2014/main" id="{4EB3CB3F-D0BB-4E40-8B45-53C59E712D2A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337</xdr:row>
      <xdr:rowOff>0</xdr:rowOff>
    </xdr:from>
    <xdr:ext cx="304800" cy="304799"/>
    <xdr:sp macro="" textlink="">
      <xdr:nvSpPr>
        <xdr:cNvPr id="106" name="AutoShape 702" descr="note-add">
          <a:extLst>
            <a:ext uri="{FF2B5EF4-FFF2-40B4-BE49-F238E27FC236}">
              <a16:creationId xmlns:a16="http://schemas.microsoft.com/office/drawing/2014/main" id="{A1A33CFB-B830-F24F-926B-7DF0F25C207C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2097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337</xdr:row>
      <xdr:rowOff>0</xdr:rowOff>
    </xdr:from>
    <xdr:ext cx="304800" cy="304799"/>
    <xdr:sp macro="" textlink="">
      <xdr:nvSpPr>
        <xdr:cNvPr id="107" name="AutoShape 703" descr="alert toggle">
          <a:extLst>
            <a:ext uri="{FF2B5EF4-FFF2-40B4-BE49-F238E27FC236}">
              <a16:creationId xmlns:a16="http://schemas.microsoft.com/office/drawing/2014/main" id="{FAB4F909-4EAD-C84B-AA19-705E4C48D3AB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2097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361</xdr:row>
      <xdr:rowOff>0</xdr:rowOff>
    </xdr:from>
    <xdr:ext cx="304800" cy="304799"/>
    <xdr:sp macro="" textlink="">
      <xdr:nvSpPr>
        <xdr:cNvPr id="108" name="AutoShape 706" descr="note-add">
          <a:extLst>
            <a:ext uri="{FF2B5EF4-FFF2-40B4-BE49-F238E27FC236}">
              <a16:creationId xmlns:a16="http://schemas.microsoft.com/office/drawing/2014/main" id="{1B9206FE-D25A-B34E-8BE6-67DACC3C32F7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706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361</xdr:row>
      <xdr:rowOff>0</xdr:rowOff>
    </xdr:from>
    <xdr:ext cx="304800" cy="304799"/>
    <xdr:sp macro="" textlink="">
      <xdr:nvSpPr>
        <xdr:cNvPr id="109" name="AutoShape 707" descr="alert toggle">
          <a:extLst>
            <a:ext uri="{FF2B5EF4-FFF2-40B4-BE49-F238E27FC236}">
              <a16:creationId xmlns:a16="http://schemas.microsoft.com/office/drawing/2014/main" id="{FB91D240-BDA1-9B49-B354-54EB227255E4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706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395</xdr:row>
      <xdr:rowOff>0</xdr:rowOff>
    </xdr:from>
    <xdr:ext cx="304800" cy="304800"/>
    <xdr:sp macro="" textlink="">
      <xdr:nvSpPr>
        <xdr:cNvPr id="110" name="AutoShape 710" descr="note-add">
          <a:extLst>
            <a:ext uri="{FF2B5EF4-FFF2-40B4-BE49-F238E27FC236}">
              <a16:creationId xmlns:a16="http://schemas.microsoft.com/office/drawing/2014/main" id="{FA8C804A-9176-0549-B3BD-0985F2A4BD8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84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395</xdr:row>
      <xdr:rowOff>0</xdr:rowOff>
    </xdr:from>
    <xdr:ext cx="304800" cy="304800"/>
    <xdr:sp macro="" textlink="">
      <xdr:nvSpPr>
        <xdr:cNvPr id="111" name="AutoShape 711" descr="alert toggle">
          <a:extLst>
            <a:ext uri="{FF2B5EF4-FFF2-40B4-BE49-F238E27FC236}">
              <a16:creationId xmlns:a16="http://schemas.microsoft.com/office/drawing/2014/main" id="{28A39E31-5D34-A04D-894C-8445C0D9FDFE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84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4799"/>
    <xdr:sp macro="" textlink="">
      <xdr:nvSpPr>
        <xdr:cNvPr id="112" name="AutoShape 979" descr="note-add">
          <a:extLst>
            <a:ext uri="{FF2B5EF4-FFF2-40B4-BE49-F238E27FC236}">
              <a16:creationId xmlns:a16="http://schemas.microsoft.com/office/drawing/2014/main" id="{8A49FCD9-9A9D-574C-9D29-7DDF716A2D50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6807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32</xdr:row>
      <xdr:rowOff>0</xdr:rowOff>
    </xdr:from>
    <xdr:ext cx="304800" cy="304799"/>
    <xdr:sp macro="" textlink="">
      <xdr:nvSpPr>
        <xdr:cNvPr id="113" name="AutoShape 980" descr="alert toggle">
          <a:extLst>
            <a:ext uri="{FF2B5EF4-FFF2-40B4-BE49-F238E27FC236}">
              <a16:creationId xmlns:a16="http://schemas.microsoft.com/office/drawing/2014/main" id="{BBC77FC7-1B08-CD49-B8F6-8D8C41BB2CAF}"/>
            </a:ext>
          </a:extLst>
        </xdr:cNvPr>
        <xdr:cNvSpPr>
          <a:spLocks noChangeAspect="1" noChangeArrowheads="1"/>
        </xdr:cNvSpPr>
      </xdr:nvSpPr>
      <xdr:spPr bwMode="auto">
        <a:xfrm>
          <a:off x="35699700" y="6807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82</xdr:row>
      <xdr:rowOff>0</xdr:rowOff>
    </xdr:from>
    <xdr:ext cx="304800" cy="304800"/>
    <xdr:sp macro="" textlink="">
      <xdr:nvSpPr>
        <xdr:cNvPr id="114" name="AutoShape 983" descr="note-add">
          <a:extLst>
            <a:ext uri="{FF2B5EF4-FFF2-40B4-BE49-F238E27FC236}">
              <a16:creationId xmlns:a16="http://schemas.microsoft.com/office/drawing/2014/main" id="{A3136220-28BC-B846-878A-12226C8C249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82</xdr:row>
      <xdr:rowOff>0</xdr:rowOff>
    </xdr:from>
    <xdr:ext cx="304800" cy="304800"/>
    <xdr:sp macro="" textlink="">
      <xdr:nvSpPr>
        <xdr:cNvPr id="115" name="AutoShape 984" descr="alert toggle">
          <a:extLst>
            <a:ext uri="{FF2B5EF4-FFF2-40B4-BE49-F238E27FC236}">
              <a16:creationId xmlns:a16="http://schemas.microsoft.com/office/drawing/2014/main" id="{B7E82CA4-6A20-1A46-B5D8-324C107DEC4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86</xdr:row>
      <xdr:rowOff>0</xdr:rowOff>
    </xdr:from>
    <xdr:ext cx="304800" cy="304799"/>
    <xdr:sp macro="" textlink="">
      <xdr:nvSpPr>
        <xdr:cNvPr id="116" name="AutoShape 987" descr="note-add">
          <a:extLst>
            <a:ext uri="{FF2B5EF4-FFF2-40B4-BE49-F238E27FC236}">
              <a16:creationId xmlns:a16="http://schemas.microsoft.com/office/drawing/2014/main" id="{09F92487-CADB-9B46-97B5-E2169810F3B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45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86</xdr:row>
      <xdr:rowOff>0</xdr:rowOff>
    </xdr:from>
    <xdr:ext cx="304800" cy="304799"/>
    <xdr:sp macro="" textlink="">
      <xdr:nvSpPr>
        <xdr:cNvPr id="117" name="AutoShape 988" descr="alert toggle">
          <a:extLst>
            <a:ext uri="{FF2B5EF4-FFF2-40B4-BE49-F238E27FC236}">
              <a16:creationId xmlns:a16="http://schemas.microsoft.com/office/drawing/2014/main" id="{B56B81E6-107D-DF4D-B82F-23C4618F530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45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107</xdr:row>
      <xdr:rowOff>0</xdr:rowOff>
    </xdr:from>
    <xdr:ext cx="304800" cy="304799"/>
    <xdr:sp macro="" textlink="">
      <xdr:nvSpPr>
        <xdr:cNvPr id="118" name="AutoShape 991" descr="note-add">
          <a:extLst>
            <a:ext uri="{FF2B5EF4-FFF2-40B4-BE49-F238E27FC236}">
              <a16:creationId xmlns:a16="http://schemas.microsoft.com/office/drawing/2014/main" id="{785753BB-7C8E-3A41-8460-DAED62AC70B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2872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107</xdr:row>
      <xdr:rowOff>0</xdr:rowOff>
    </xdr:from>
    <xdr:ext cx="304800" cy="304799"/>
    <xdr:sp macro="" textlink="">
      <xdr:nvSpPr>
        <xdr:cNvPr id="119" name="AutoShape 992" descr="alert toggle">
          <a:extLst>
            <a:ext uri="{FF2B5EF4-FFF2-40B4-BE49-F238E27FC236}">
              <a16:creationId xmlns:a16="http://schemas.microsoft.com/office/drawing/2014/main" id="{7088DDD1-9ADE-B343-B58F-4F44D48238B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2872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113</xdr:row>
      <xdr:rowOff>0</xdr:rowOff>
    </xdr:from>
    <xdr:ext cx="304800" cy="304800"/>
    <xdr:sp macro="" textlink="">
      <xdr:nvSpPr>
        <xdr:cNvPr id="120" name="AutoShape 995" descr="note-add">
          <a:extLst>
            <a:ext uri="{FF2B5EF4-FFF2-40B4-BE49-F238E27FC236}">
              <a16:creationId xmlns:a16="http://schemas.microsoft.com/office/drawing/2014/main" id="{BA7163DE-6ACC-9A4F-8C13-461085C9594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41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113</xdr:row>
      <xdr:rowOff>0</xdr:rowOff>
    </xdr:from>
    <xdr:ext cx="304800" cy="304800"/>
    <xdr:sp macro="" textlink="">
      <xdr:nvSpPr>
        <xdr:cNvPr id="121" name="AutoShape 996" descr="alert toggle">
          <a:extLst>
            <a:ext uri="{FF2B5EF4-FFF2-40B4-BE49-F238E27FC236}">
              <a16:creationId xmlns:a16="http://schemas.microsoft.com/office/drawing/2014/main" id="{3171079F-2D2E-824E-836D-D1EA93764ED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41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135</xdr:row>
      <xdr:rowOff>0</xdr:rowOff>
    </xdr:from>
    <xdr:ext cx="304800" cy="304801"/>
    <xdr:sp macro="" textlink="">
      <xdr:nvSpPr>
        <xdr:cNvPr id="122" name="AutoShape 999" descr="note-add">
          <a:extLst>
            <a:ext uri="{FF2B5EF4-FFF2-40B4-BE49-F238E27FC236}">
              <a16:creationId xmlns:a16="http://schemas.microsoft.com/office/drawing/2014/main" id="{BC5CE308-A843-CB48-930C-C745EA34FAD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879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135</xdr:row>
      <xdr:rowOff>0</xdr:rowOff>
    </xdr:from>
    <xdr:ext cx="304800" cy="304801"/>
    <xdr:sp macro="" textlink="">
      <xdr:nvSpPr>
        <xdr:cNvPr id="123" name="AutoShape 1000" descr="alert toggle">
          <a:extLst>
            <a:ext uri="{FF2B5EF4-FFF2-40B4-BE49-F238E27FC236}">
              <a16:creationId xmlns:a16="http://schemas.microsoft.com/office/drawing/2014/main" id="{D391E536-487F-A242-8580-EA83C407DA1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8798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215</xdr:row>
      <xdr:rowOff>0</xdr:rowOff>
    </xdr:from>
    <xdr:ext cx="304800" cy="304801"/>
    <xdr:sp macro="" textlink="">
      <xdr:nvSpPr>
        <xdr:cNvPr id="124" name="AutoShape 1003" descr="note-add">
          <a:extLst>
            <a:ext uri="{FF2B5EF4-FFF2-40B4-BE49-F238E27FC236}">
              <a16:creationId xmlns:a16="http://schemas.microsoft.com/office/drawing/2014/main" id="{DFEB5FCE-4A52-8E4C-988D-4D36A453974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974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215</xdr:row>
      <xdr:rowOff>0</xdr:rowOff>
    </xdr:from>
    <xdr:ext cx="304800" cy="304801"/>
    <xdr:sp macro="" textlink="">
      <xdr:nvSpPr>
        <xdr:cNvPr id="125" name="AutoShape 1004" descr="alert toggle">
          <a:extLst>
            <a:ext uri="{FF2B5EF4-FFF2-40B4-BE49-F238E27FC236}">
              <a16:creationId xmlns:a16="http://schemas.microsoft.com/office/drawing/2014/main" id="{C98532D5-EDBC-624D-97E1-E7281515C6E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974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215</xdr:row>
      <xdr:rowOff>0</xdr:rowOff>
    </xdr:from>
    <xdr:ext cx="304800" cy="304801"/>
    <xdr:sp macro="" textlink="">
      <xdr:nvSpPr>
        <xdr:cNvPr id="126" name="AutoShape 1007" descr="note-add">
          <a:extLst>
            <a:ext uri="{FF2B5EF4-FFF2-40B4-BE49-F238E27FC236}">
              <a16:creationId xmlns:a16="http://schemas.microsoft.com/office/drawing/2014/main" id="{EC7D0A5B-CB8A-7946-ADA8-BE5CF103C47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974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215</xdr:row>
      <xdr:rowOff>0</xdr:rowOff>
    </xdr:from>
    <xdr:ext cx="304800" cy="304801"/>
    <xdr:sp macro="" textlink="">
      <xdr:nvSpPr>
        <xdr:cNvPr id="127" name="AutoShape 1008" descr="alert toggle">
          <a:extLst>
            <a:ext uri="{FF2B5EF4-FFF2-40B4-BE49-F238E27FC236}">
              <a16:creationId xmlns:a16="http://schemas.microsoft.com/office/drawing/2014/main" id="{D77EEDD5-2C2A-7B43-B1EA-ACA5F2E692E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974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215</xdr:row>
      <xdr:rowOff>0</xdr:rowOff>
    </xdr:from>
    <xdr:ext cx="304800" cy="304799"/>
    <xdr:sp macro="" textlink="">
      <xdr:nvSpPr>
        <xdr:cNvPr id="128" name="AutoShape 1011" descr="note-add">
          <a:extLst>
            <a:ext uri="{FF2B5EF4-FFF2-40B4-BE49-F238E27FC236}">
              <a16:creationId xmlns:a16="http://schemas.microsoft.com/office/drawing/2014/main" id="{97BD6E56-D48A-D044-B30D-63D175BCE1D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97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215</xdr:row>
      <xdr:rowOff>0</xdr:rowOff>
    </xdr:from>
    <xdr:ext cx="304800" cy="304799"/>
    <xdr:sp macro="" textlink="">
      <xdr:nvSpPr>
        <xdr:cNvPr id="129" name="AutoShape 1012" descr="alert toggle">
          <a:extLst>
            <a:ext uri="{FF2B5EF4-FFF2-40B4-BE49-F238E27FC236}">
              <a16:creationId xmlns:a16="http://schemas.microsoft.com/office/drawing/2014/main" id="{3EAF53BD-655C-ED49-92EB-135A5FB7FEF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97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225</xdr:row>
      <xdr:rowOff>0</xdr:rowOff>
    </xdr:from>
    <xdr:ext cx="304800" cy="304800"/>
    <xdr:sp macro="" textlink="">
      <xdr:nvSpPr>
        <xdr:cNvPr id="130" name="AutoShape 1015" descr="note-add">
          <a:extLst>
            <a:ext uri="{FF2B5EF4-FFF2-40B4-BE49-F238E27FC236}">
              <a16:creationId xmlns:a16="http://schemas.microsoft.com/office/drawing/2014/main" id="{AD530507-1325-D641-8D5B-D8CC8909808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81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225</xdr:row>
      <xdr:rowOff>0</xdr:rowOff>
    </xdr:from>
    <xdr:ext cx="304800" cy="304800"/>
    <xdr:sp macro="" textlink="">
      <xdr:nvSpPr>
        <xdr:cNvPr id="131" name="AutoShape 1016" descr="alert toggle">
          <a:extLst>
            <a:ext uri="{FF2B5EF4-FFF2-40B4-BE49-F238E27FC236}">
              <a16:creationId xmlns:a16="http://schemas.microsoft.com/office/drawing/2014/main" id="{F1FBD52E-627E-E64F-A0C1-269D445A089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813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234</xdr:row>
      <xdr:rowOff>0</xdr:rowOff>
    </xdr:from>
    <xdr:ext cx="304800" cy="304799"/>
    <xdr:sp macro="" textlink="">
      <xdr:nvSpPr>
        <xdr:cNvPr id="132" name="AutoShape 1019" descr="note-add">
          <a:extLst>
            <a:ext uri="{FF2B5EF4-FFF2-40B4-BE49-F238E27FC236}">
              <a16:creationId xmlns:a16="http://schemas.microsoft.com/office/drawing/2014/main" id="{63B54B94-CD8B-EE46-B6EA-B8F9DA9E8AA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0063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234</xdr:row>
      <xdr:rowOff>0</xdr:rowOff>
    </xdr:from>
    <xdr:ext cx="304800" cy="304799"/>
    <xdr:sp macro="" textlink="">
      <xdr:nvSpPr>
        <xdr:cNvPr id="133" name="AutoShape 1020" descr="alert toggle">
          <a:extLst>
            <a:ext uri="{FF2B5EF4-FFF2-40B4-BE49-F238E27FC236}">
              <a16:creationId xmlns:a16="http://schemas.microsoft.com/office/drawing/2014/main" id="{163E32F7-59DA-7F4B-9268-7C38E80D411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00634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239</xdr:row>
      <xdr:rowOff>0</xdr:rowOff>
    </xdr:from>
    <xdr:ext cx="304800" cy="304800"/>
    <xdr:sp macro="" textlink="">
      <xdr:nvSpPr>
        <xdr:cNvPr id="134" name="AutoShape 1023" descr="note-add">
          <a:extLst>
            <a:ext uri="{FF2B5EF4-FFF2-40B4-BE49-F238E27FC236}">
              <a16:creationId xmlns:a16="http://schemas.microsoft.com/office/drawing/2014/main" id="{D005AC0C-03AF-4C40-ABEA-F8267226E1A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11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239</xdr:row>
      <xdr:rowOff>0</xdr:rowOff>
    </xdr:from>
    <xdr:ext cx="304800" cy="304800"/>
    <xdr:sp macro="" textlink="">
      <xdr:nvSpPr>
        <xdr:cNvPr id="135" name="AutoShape 1024" descr="alert toggle">
          <a:extLst>
            <a:ext uri="{FF2B5EF4-FFF2-40B4-BE49-F238E27FC236}">
              <a16:creationId xmlns:a16="http://schemas.microsoft.com/office/drawing/2014/main" id="{CFFBF341-B89C-A84A-9A97-AF43072A7E8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11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263</xdr:row>
      <xdr:rowOff>0</xdr:rowOff>
    </xdr:from>
    <xdr:ext cx="304800" cy="304799"/>
    <xdr:sp macro="" textlink="">
      <xdr:nvSpPr>
        <xdr:cNvPr id="136" name="AutoShape 1027" descr="note-add">
          <a:extLst>
            <a:ext uri="{FF2B5EF4-FFF2-40B4-BE49-F238E27FC236}">
              <a16:creationId xmlns:a16="http://schemas.microsoft.com/office/drawing/2014/main" id="{7A3F0ECD-B297-FF41-ABCB-BCCB3DE6EB4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263</xdr:row>
      <xdr:rowOff>0</xdr:rowOff>
    </xdr:from>
    <xdr:ext cx="304800" cy="304799"/>
    <xdr:sp macro="" textlink="">
      <xdr:nvSpPr>
        <xdr:cNvPr id="137" name="AutoShape 1028" descr="alert toggle">
          <a:extLst>
            <a:ext uri="{FF2B5EF4-FFF2-40B4-BE49-F238E27FC236}">
              <a16:creationId xmlns:a16="http://schemas.microsoft.com/office/drawing/2014/main" id="{4A6C19AB-0E71-2944-9E97-CBD83D76A39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263</xdr:row>
      <xdr:rowOff>0</xdr:rowOff>
    </xdr:from>
    <xdr:ext cx="304800" cy="304799"/>
    <xdr:sp macro="" textlink="">
      <xdr:nvSpPr>
        <xdr:cNvPr id="138" name="AutoShape 1031" descr="note-add">
          <a:extLst>
            <a:ext uri="{FF2B5EF4-FFF2-40B4-BE49-F238E27FC236}">
              <a16:creationId xmlns:a16="http://schemas.microsoft.com/office/drawing/2014/main" id="{87C316CB-0432-084E-8FA0-4431398CC45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263</xdr:row>
      <xdr:rowOff>0</xdr:rowOff>
    </xdr:from>
    <xdr:ext cx="304800" cy="304799"/>
    <xdr:sp macro="" textlink="">
      <xdr:nvSpPr>
        <xdr:cNvPr id="139" name="AutoShape 1032" descr="alert toggle">
          <a:extLst>
            <a:ext uri="{FF2B5EF4-FFF2-40B4-BE49-F238E27FC236}">
              <a16:creationId xmlns:a16="http://schemas.microsoft.com/office/drawing/2014/main" id="{926910FA-C614-584E-B4B0-20252D9752D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614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337</xdr:row>
      <xdr:rowOff>0</xdr:rowOff>
    </xdr:from>
    <xdr:ext cx="304800" cy="304799"/>
    <xdr:sp macro="" textlink="">
      <xdr:nvSpPr>
        <xdr:cNvPr id="140" name="AutoShape 1036" descr="alert toggle">
          <a:extLst>
            <a:ext uri="{FF2B5EF4-FFF2-40B4-BE49-F238E27FC236}">
              <a16:creationId xmlns:a16="http://schemas.microsoft.com/office/drawing/2014/main" id="{00D30FF8-F393-6043-B4B1-C421E600BB7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2097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361</xdr:row>
      <xdr:rowOff>0</xdr:rowOff>
    </xdr:from>
    <xdr:ext cx="304800" cy="304799"/>
    <xdr:sp macro="" textlink="">
      <xdr:nvSpPr>
        <xdr:cNvPr id="141" name="AutoShape 1039" descr="note-add">
          <a:extLst>
            <a:ext uri="{FF2B5EF4-FFF2-40B4-BE49-F238E27FC236}">
              <a16:creationId xmlns:a16="http://schemas.microsoft.com/office/drawing/2014/main" id="{0FE66720-55FF-7D49-AC4A-054CBBA0C61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706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361</xdr:row>
      <xdr:rowOff>0</xdr:rowOff>
    </xdr:from>
    <xdr:ext cx="304800" cy="304799"/>
    <xdr:sp macro="" textlink="">
      <xdr:nvSpPr>
        <xdr:cNvPr id="142" name="AutoShape 1040" descr="alert toggle">
          <a:extLst>
            <a:ext uri="{FF2B5EF4-FFF2-40B4-BE49-F238E27FC236}">
              <a16:creationId xmlns:a16="http://schemas.microsoft.com/office/drawing/2014/main" id="{4D3DDE31-CD2C-6F4A-80E4-2711D0176EC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7063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395</xdr:row>
      <xdr:rowOff>0</xdr:rowOff>
    </xdr:from>
    <xdr:ext cx="304800" cy="304800"/>
    <xdr:sp macro="" textlink="">
      <xdr:nvSpPr>
        <xdr:cNvPr id="143" name="AutoShape 1043" descr="note-add">
          <a:extLst>
            <a:ext uri="{FF2B5EF4-FFF2-40B4-BE49-F238E27FC236}">
              <a16:creationId xmlns:a16="http://schemas.microsoft.com/office/drawing/2014/main" id="{9930F726-B29E-0C42-A46B-DD5F24148286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395</xdr:row>
      <xdr:rowOff>0</xdr:rowOff>
    </xdr:from>
    <xdr:ext cx="304800" cy="304800"/>
    <xdr:sp macro="" textlink="">
      <xdr:nvSpPr>
        <xdr:cNvPr id="144" name="AutoShape 1044" descr="alert toggle">
          <a:extLst>
            <a:ext uri="{FF2B5EF4-FFF2-40B4-BE49-F238E27FC236}">
              <a16:creationId xmlns:a16="http://schemas.microsoft.com/office/drawing/2014/main" id="{A30FE72F-5606-054E-B5B1-16D62C8BEB1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399</xdr:row>
      <xdr:rowOff>0</xdr:rowOff>
    </xdr:from>
    <xdr:ext cx="304800" cy="304799"/>
    <xdr:sp macro="" textlink="">
      <xdr:nvSpPr>
        <xdr:cNvPr id="145" name="AutoShape 1047" descr="note-add">
          <a:extLst>
            <a:ext uri="{FF2B5EF4-FFF2-40B4-BE49-F238E27FC236}">
              <a16:creationId xmlns:a16="http://schemas.microsoft.com/office/drawing/2014/main" id="{F82EA1B5-E32E-2348-993E-86FCE8B5AE9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5051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399</xdr:row>
      <xdr:rowOff>0</xdr:rowOff>
    </xdr:from>
    <xdr:ext cx="304800" cy="304799"/>
    <xdr:sp macro="" textlink="">
      <xdr:nvSpPr>
        <xdr:cNvPr id="146" name="AutoShape 1048" descr="alert toggle">
          <a:extLst>
            <a:ext uri="{FF2B5EF4-FFF2-40B4-BE49-F238E27FC236}">
              <a16:creationId xmlns:a16="http://schemas.microsoft.com/office/drawing/2014/main" id="{FA0A3197-9815-2948-BAAF-9E56FA97585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5051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403</xdr:row>
      <xdr:rowOff>0</xdr:rowOff>
    </xdr:from>
    <xdr:ext cx="304800" cy="304800"/>
    <xdr:sp macro="" textlink="">
      <xdr:nvSpPr>
        <xdr:cNvPr id="147" name="AutoShape 1051" descr="note-add">
          <a:extLst>
            <a:ext uri="{FF2B5EF4-FFF2-40B4-BE49-F238E27FC236}">
              <a16:creationId xmlns:a16="http://schemas.microsoft.com/office/drawing/2014/main" id="{707A100F-D845-8E48-9035-F1AE70C482D9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85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403</xdr:row>
      <xdr:rowOff>0</xdr:rowOff>
    </xdr:from>
    <xdr:ext cx="304800" cy="304800"/>
    <xdr:sp macro="" textlink="">
      <xdr:nvSpPr>
        <xdr:cNvPr id="148" name="AutoShape 1052" descr="alert toggle">
          <a:extLst>
            <a:ext uri="{FF2B5EF4-FFF2-40B4-BE49-F238E27FC236}">
              <a16:creationId xmlns:a16="http://schemas.microsoft.com/office/drawing/2014/main" id="{540FCE65-58B9-154B-BFDB-7F4101EB214D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85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366</xdr:row>
      <xdr:rowOff>0</xdr:rowOff>
    </xdr:from>
    <xdr:ext cx="304800" cy="304800"/>
    <xdr:sp macro="" textlink="">
      <xdr:nvSpPr>
        <xdr:cNvPr id="149" name="AutoShape 1201" descr="note-add">
          <a:extLst>
            <a:ext uri="{FF2B5EF4-FFF2-40B4-BE49-F238E27FC236}">
              <a16:creationId xmlns:a16="http://schemas.microsoft.com/office/drawing/2014/main" id="{DB9C6947-E003-274A-8934-846DDFEBDBBD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8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366</xdr:row>
      <xdr:rowOff>0</xdr:rowOff>
    </xdr:from>
    <xdr:ext cx="304800" cy="304800"/>
    <xdr:sp macro="" textlink="">
      <xdr:nvSpPr>
        <xdr:cNvPr id="150" name="AutoShape 1202" descr="alert toggle">
          <a:extLst>
            <a:ext uri="{FF2B5EF4-FFF2-40B4-BE49-F238E27FC236}">
              <a16:creationId xmlns:a16="http://schemas.microsoft.com/office/drawing/2014/main" id="{1558697A-0062-3F4B-81E6-D5919AEDCB0E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8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151" name="AutoShape 1205" descr="note-add">
          <a:extLst>
            <a:ext uri="{FF2B5EF4-FFF2-40B4-BE49-F238E27FC236}">
              <a16:creationId xmlns:a16="http://schemas.microsoft.com/office/drawing/2014/main" id="{A5F27769-A00A-BB41-B2F7-1ED278DC86C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152" name="AutoShape 1206" descr="alert toggle">
          <a:extLst>
            <a:ext uri="{FF2B5EF4-FFF2-40B4-BE49-F238E27FC236}">
              <a16:creationId xmlns:a16="http://schemas.microsoft.com/office/drawing/2014/main" id="{6D51C5F3-544B-7D44-813C-27D01F9FE44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153" name="AutoShape 1209" descr="note-add">
          <a:extLst>
            <a:ext uri="{FF2B5EF4-FFF2-40B4-BE49-F238E27FC236}">
              <a16:creationId xmlns:a16="http://schemas.microsoft.com/office/drawing/2014/main" id="{97F8C673-87B0-F043-A032-81EC753D2B1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154" name="AutoShape 1210" descr="alert toggle">
          <a:extLst>
            <a:ext uri="{FF2B5EF4-FFF2-40B4-BE49-F238E27FC236}">
              <a16:creationId xmlns:a16="http://schemas.microsoft.com/office/drawing/2014/main" id="{CF9FF9D9-485F-DC4F-9792-FC11A3F4AFD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155" name="AutoShape 1213" descr="note-add">
          <a:extLst>
            <a:ext uri="{FF2B5EF4-FFF2-40B4-BE49-F238E27FC236}">
              <a16:creationId xmlns:a16="http://schemas.microsoft.com/office/drawing/2014/main" id="{41DAE6B9-9274-4749-8BAA-D70C9CFF09D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156" name="AutoShape 1214" descr="alert toggle">
          <a:extLst>
            <a:ext uri="{FF2B5EF4-FFF2-40B4-BE49-F238E27FC236}">
              <a16:creationId xmlns:a16="http://schemas.microsoft.com/office/drawing/2014/main" id="{345B27D4-00BA-5F43-8DF2-248FA4A8BD7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157" name="AutoShape 1217" descr="note-add">
          <a:extLst>
            <a:ext uri="{FF2B5EF4-FFF2-40B4-BE49-F238E27FC236}">
              <a16:creationId xmlns:a16="http://schemas.microsoft.com/office/drawing/2014/main" id="{EB1B7377-74A9-5B43-B5AC-8DC5F125A49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158" name="AutoShape 1218" descr="alert toggle">
          <a:extLst>
            <a:ext uri="{FF2B5EF4-FFF2-40B4-BE49-F238E27FC236}">
              <a16:creationId xmlns:a16="http://schemas.microsoft.com/office/drawing/2014/main" id="{7D5C8781-257B-B74D-AFBD-3ECC7F1107E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159" name="AutoShape 1221" descr="note-add">
          <a:extLst>
            <a:ext uri="{FF2B5EF4-FFF2-40B4-BE49-F238E27FC236}">
              <a16:creationId xmlns:a16="http://schemas.microsoft.com/office/drawing/2014/main" id="{5BFC2652-EC8D-9D48-A9FF-2F24D9F5057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160" name="AutoShape 1222" descr="alert toggle">
          <a:extLst>
            <a:ext uri="{FF2B5EF4-FFF2-40B4-BE49-F238E27FC236}">
              <a16:creationId xmlns:a16="http://schemas.microsoft.com/office/drawing/2014/main" id="{D3C27412-4C37-EC4A-8588-18EF94DEB33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161" name="AutoShape 1225" descr="note-add">
          <a:extLst>
            <a:ext uri="{FF2B5EF4-FFF2-40B4-BE49-F238E27FC236}">
              <a16:creationId xmlns:a16="http://schemas.microsoft.com/office/drawing/2014/main" id="{D37D9DFE-7AE3-8B4C-A303-5CE31277713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162" name="AutoShape 1226" descr="alert toggle">
          <a:extLst>
            <a:ext uri="{FF2B5EF4-FFF2-40B4-BE49-F238E27FC236}">
              <a16:creationId xmlns:a16="http://schemas.microsoft.com/office/drawing/2014/main" id="{98B36C95-9AA6-0846-A4C7-C44D44FF9D32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163" name="AutoShape 1229" descr="note-add">
          <a:extLst>
            <a:ext uri="{FF2B5EF4-FFF2-40B4-BE49-F238E27FC236}">
              <a16:creationId xmlns:a16="http://schemas.microsoft.com/office/drawing/2014/main" id="{83F08C4F-B2A4-DE47-88CC-BDC54E2C3F7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164" name="AutoShape 1230" descr="alert toggle">
          <a:extLst>
            <a:ext uri="{FF2B5EF4-FFF2-40B4-BE49-F238E27FC236}">
              <a16:creationId xmlns:a16="http://schemas.microsoft.com/office/drawing/2014/main" id="{D942380F-FA54-C644-B60F-C3B7FB0F632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165" name="AutoShape 1233" descr="note-add">
          <a:extLst>
            <a:ext uri="{FF2B5EF4-FFF2-40B4-BE49-F238E27FC236}">
              <a16:creationId xmlns:a16="http://schemas.microsoft.com/office/drawing/2014/main" id="{F0361CF1-1EB8-0140-AEA8-91FD61819ED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166" name="AutoShape 1234" descr="alert toggle">
          <a:extLst>
            <a:ext uri="{FF2B5EF4-FFF2-40B4-BE49-F238E27FC236}">
              <a16:creationId xmlns:a16="http://schemas.microsoft.com/office/drawing/2014/main" id="{9B9D83A2-9E32-6A4A-9DC4-EAB6F634DEB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167" name="AutoShape 1237" descr="note-add">
          <a:extLst>
            <a:ext uri="{FF2B5EF4-FFF2-40B4-BE49-F238E27FC236}">
              <a16:creationId xmlns:a16="http://schemas.microsoft.com/office/drawing/2014/main" id="{C7F7AFAB-8703-EC4A-AC14-EB0ED1F4E77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0"/>
    <xdr:sp macro="" textlink="">
      <xdr:nvSpPr>
        <xdr:cNvPr id="168" name="AutoShape 1238" descr="alert toggle">
          <a:extLst>
            <a:ext uri="{FF2B5EF4-FFF2-40B4-BE49-F238E27FC236}">
              <a16:creationId xmlns:a16="http://schemas.microsoft.com/office/drawing/2014/main" id="{169DEC67-9E69-5E49-8DC7-959B9190237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169" name="AutoShape 1241" descr="note-add">
          <a:extLst>
            <a:ext uri="{FF2B5EF4-FFF2-40B4-BE49-F238E27FC236}">
              <a16:creationId xmlns:a16="http://schemas.microsoft.com/office/drawing/2014/main" id="{91DCE484-7F21-9141-914B-A8ECEEA61FC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7917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224</xdr:row>
      <xdr:rowOff>0</xdr:rowOff>
    </xdr:from>
    <xdr:ext cx="304800" cy="304801"/>
    <xdr:sp macro="" textlink="">
      <xdr:nvSpPr>
        <xdr:cNvPr id="170" name="AutoShape 1242" descr="alert toggle">
          <a:extLst>
            <a:ext uri="{FF2B5EF4-FFF2-40B4-BE49-F238E27FC236}">
              <a16:creationId xmlns:a16="http://schemas.microsoft.com/office/drawing/2014/main" id="{B5E9A62E-D05A-7D44-AC55-EFEFFFE0CA6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7917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171" name="AutoShape 1245" descr="note-add">
          <a:extLst>
            <a:ext uri="{FF2B5EF4-FFF2-40B4-BE49-F238E27FC236}">
              <a16:creationId xmlns:a16="http://schemas.microsoft.com/office/drawing/2014/main" id="{D0E14E84-657A-3746-9C92-52F0DA0543A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172" name="AutoShape 1246" descr="alert toggle">
          <a:extLst>
            <a:ext uri="{FF2B5EF4-FFF2-40B4-BE49-F238E27FC236}">
              <a16:creationId xmlns:a16="http://schemas.microsoft.com/office/drawing/2014/main" id="{6029F7E5-90E3-A146-8EAE-3424B276774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173" name="AutoShape 1249" descr="note-add">
          <a:extLst>
            <a:ext uri="{FF2B5EF4-FFF2-40B4-BE49-F238E27FC236}">
              <a16:creationId xmlns:a16="http://schemas.microsoft.com/office/drawing/2014/main" id="{922D17FD-FBA5-6A47-A0BD-C8DA53432976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174" name="AutoShape 1250" descr="alert toggle">
          <a:extLst>
            <a:ext uri="{FF2B5EF4-FFF2-40B4-BE49-F238E27FC236}">
              <a16:creationId xmlns:a16="http://schemas.microsoft.com/office/drawing/2014/main" id="{EC4C1B28-58D9-884E-89E5-FAC2DA973B4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175" name="AutoShape 1253" descr="note-add">
          <a:extLst>
            <a:ext uri="{FF2B5EF4-FFF2-40B4-BE49-F238E27FC236}">
              <a16:creationId xmlns:a16="http://schemas.microsoft.com/office/drawing/2014/main" id="{3073CD24-222A-974A-88F9-4C5AF00E86A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176" name="AutoShape 1254" descr="alert toggle">
          <a:extLst>
            <a:ext uri="{FF2B5EF4-FFF2-40B4-BE49-F238E27FC236}">
              <a16:creationId xmlns:a16="http://schemas.microsoft.com/office/drawing/2014/main" id="{F8997798-F158-4644-9718-83C5D7673E7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177" name="AutoShape 1257" descr="note-add">
          <a:extLst>
            <a:ext uri="{FF2B5EF4-FFF2-40B4-BE49-F238E27FC236}">
              <a16:creationId xmlns:a16="http://schemas.microsoft.com/office/drawing/2014/main" id="{1083522D-1163-B843-BDE6-A94EEB1B8E6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178" name="AutoShape 1258" descr="alert toggle">
          <a:extLst>
            <a:ext uri="{FF2B5EF4-FFF2-40B4-BE49-F238E27FC236}">
              <a16:creationId xmlns:a16="http://schemas.microsoft.com/office/drawing/2014/main" id="{9A5790E1-FBD1-7944-B523-9A8821D4379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179" name="AutoShape 1261" descr="note-add">
          <a:extLst>
            <a:ext uri="{FF2B5EF4-FFF2-40B4-BE49-F238E27FC236}">
              <a16:creationId xmlns:a16="http://schemas.microsoft.com/office/drawing/2014/main" id="{E813A3B3-B6EC-9E47-9A13-E5A12DEBB3FC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180" name="AutoShape 1262" descr="alert toggle">
          <a:extLst>
            <a:ext uri="{FF2B5EF4-FFF2-40B4-BE49-F238E27FC236}">
              <a16:creationId xmlns:a16="http://schemas.microsoft.com/office/drawing/2014/main" id="{9CEB0DD3-F540-0C43-80FB-FB96839ECA7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181" name="AutoShape 1265" descr="note-add">
          <a:extLst>
            <a:ext uri="{FF2B5EF4-FFF2-40B4-BE49-F238E27FC236}">
              <a16:creationId xmlns:a16="http://schemas.microsoft.com/office/drawing/2014/main" id="{1FA4BB58-F38F-9843-B0B2-E7E43D066A4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182" name="AutoShape 1266" descr="alert toggle">
          <a:extLst>
            <a:ext uri="{FF2B5EF4-FFF2-40B4-BE49-F238E27FC236}">
              <a16:creationId xmlns:a16="http://schemas.microsoft.com/office/drawing/2014/main" id="{79BE2832-0EE0-9646-89D0-5DAE2FED80B2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183" name="AutoShape 1269" descr="note-add">
          <a:extLst>
            <a:ext uri="{FF2B5EF4-FFF2-40B4-BE49-F238E27FC236}">
              <a16:creationId xmlns:a16="http://schemas.microsoft.com/office/drawing/2014/main" id="{323A0C2C-BF2D-9741-A257-62C287EF8CB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184" name="AutoShape 1270" descr="alert toggle">
          <a:extLst>
            <a:ext uri="{FF2B5EF4-FFF2-40B4-BE49-F238E27FC236}">
              <a16:creationId xmlns:a16="http://schemas.microsoft.com/office/drawing/2014/main" id="{860D5A39-FDCF-7245-9D6F-D5B0F430D91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185" name="AutoShape 1273" descr="note-add">
          <a:extLst>
            <a:ext uri="{FF2B5EF4-FFF2-40B4-BE49-F238E27FC236}">
              <a16:creationId xmlns:a16="http://schemas.microsoft.com/office/drawing/2014/main" id="{5008ADA6-DFAC-3F41-87C4-47CAB62EC75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186" name="AutoShape 1274" descr="alert toggle">
          <a:extLst>
            <a:ext uri="{FF2B5EF4-FFF2-40B4-BE49-F238E27FC236}">
              <a16:creationId xmlns:a16="http://schemas.microsoft.com/office/drawing/2014/main" id="{2222328C-096C-8947-A8A6-0743447CC03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366</xdr:row>
      <xdr:rowOff>0</xdr:rowOff>
    </xdr:from>
    <xdr:ext cx="304800" cy="304800"/>
    <xdr:sp macro="" textlink="">
      <xdr:nvSpPr>
        <xdr:cNvPr id="187" name="AutoShape 1275" descr="note-add">
          <a:extLst>
            <a:ext uri="{FF2B5EF4-FFF2-40B4-BE49-F238E27FC236}">
              <a16:creationId xmlns:a16="http://schemas.microsoft.com/office/drawing/2014/main" id="{3743670C-0309-8242-8733-5D07D2433E77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8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366</xdr:row>
      <xdr:rowOff>0</xdr:rowOff>
    </xdr:from>
    <xdr:ext cx="304800" cy="304800"/>
    <xdr:sp macro="" textlink="">
      <xdr:nvSpPr>
        <xdr:cNvPr id="188" name="AutoShape 1276" descr="alert toggle">
          <a:extLst>
            <a:ext uri="{FF2B5EF4-FFF2-40B4-BE49-F238E27FC236}">
              <a16:creationId xmlns:a16="http://schemas.microsoft.com/office/drawing/2014/main" id="{78B2993C-E59F-BE43-BC07-7F1106763D8C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8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189" name="AutoShape 1279" descr="note-add">
          <a:extLst>
            <a:ext uri="{FF2B5EF4-FFF2-40B4-BE49-F238E27FC236}">
              <a16:creationId xmlns:a16="http://schemas.microsoft.com/office/drawing/2014/main" id="{88028F8A-C0AB-1444-8FFB-8C81286D959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190" name="AutoShape 1280" descr="alert toggle">
          <a:extLst>
            <a:ext uri="{FF2B5EF4-FFF2-40B4-BE49-F238E27FC236}">
              <a16:creationId xmlns:a16="http://schemas.microsoft.com/office/drawing/2014/main" id="{5F2CCEAD-2328-7D43-BC96-70B8F3AE46F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191" name="AutoShape 1283" descr="note-add">
          <a:extLst>
            <a:ext uri="{FF2B5EF4-FFF2-40B4-BE49-F238E27FC236}">
              <a16:creationId xmlns:a16="http://schemas.microsoft.com/office/drawing/2014/main" id="{5CE1EA60-3EA6-FB40-9E94-7677607E8CA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192" name="AutoShape 1284" descr="alert toggle">
          <a:extLst>
            <a:ext uri="{FF2B5EF4-FFF2-40B4-BE49-F238E27FC236}">
              <a16:creationId xmlns:a16="http://schemas.microsoft.com/office/drawing/2014/main" id="{B6EEB3EA-88FB-6043-8011-4C7DE9AD8FE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193" name="AutoShape 1287" descr="note-add">
          <a:extLst>
            <a:ext uri="{FF2B5EF4-FFF2-40B4-BE49-F238E27FC236}">
              <a16:creationId xmlns:a16="http://schemas.microsoft.com/office/drawing/2014/main" id="{03229A52-1C1D-9F4E-AAA8-678C10114BD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194" name="AutoShape 1288" descr="alert toggle">
          <a:extLst>
            <a:ext uri="{FF2B5EF4-FFF2-40B4-BE49-F238E27FC236}">
              <a16:creationId xmlns:a16="http://schemas.microsoft.com/office/drawing/2014/main" id="{45375A00-2974-FA45-9890-0FEAF4B7C3F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195" name="AutoShape 1291" descr="note-add">
          <a:extLst>
            <a:ext uri="{FF2B5EF4-FFF2-40B4-BE49-F238E27FC236}">
              <a16:creationId xmlns:a16="http://schemas.microsoft.com/office/drawing/2014/main" id="{17B06BE6-1EC5-0C4E-834A-FEA552DA662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196" name="AutoShape 1292" descr="alert toggle">
          <a:extLst>
            <a:ext uri="{FF2B5EF4-FFF2-40B4-BE49-F238E27FC236}">
              <a16:creationId xmlns:a16="http://schemas.microsoft.com/office/drawing/2014/main" id="{B53FD3E2-379B-DB4A-B0BF-E8A4BEFE1DC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197" name="AutoShape 1295" descr="note-add">
          <a:extLst>
            <a:ext uri="{FF2B5EF4-FFF2-40B4-BE49-F238E27FC236}">
              <a16:creationId xmlns:a16="http://schemas.microsoft.com/office/drawing/2014/main" id="{6D77918E-739C-8841-AD96-41D24B11855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198" name="AutoShape 1296" descr="alert toggle">
          <a:extLst>
            <a:ext uri="{FF2B5EF4-FFF2-40B4-BE49-F238E27FC236}">
              <a16:creationId xmlns:a16="http://schemas.microsoft.com/office/drawing/2014/main" id="{A426D60B-6408-8142-BD00-87035EB04B4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199" name="AutoShape 1299" descr="note-add">
          <a:extLst>
            <a:ext uri="{FF2B5EF4-FFF2-40B4-BE49-F238E27FC236}">
              <a16:creationId xmlns:a16="http://schemas.microsoft.com/office/drawing/2014/main" id="{856898CD-4D0E-D249-BD12-987ED48AF24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00" name="AutoShape 1300" descr="alert toggle">
          <a:extLst>
            <a:ext uri="{FF2B5EF4-FFF2-40B4-BE49-F238E27FC236}">
              <a16:creationId xmlns:a16="http://schemas.microsoft.com/office/drawing/2014/main" id="{7784D6D8-D34D-A745-8D27-BE3D9B23660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01" name="AutoShape 1303" descr="note-add">
          <a:extLst>
            <a:ext uri="{FF2B5EF4-FFF2-40B4-BE49-F238E27FC236}">
              <a16:creationId xmlns:a16="http://schemas.microsoft.com/office/drawing/2014/main" id="{09423E9F-FB6B-2345-B346-2F87B000A59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02" name="AutoShape 1304" descr="alert toggle">
          <a:extLst>
            <a:ext uri="{FF2B5EF4-FFF2-40B4-BE49-F238E27FC236}">
              <a16:creationId xmlns:a16="http://schemas.microsoft.com/office/drawing/2014/main" id="{B0C7D4F1-3747-514E-A592-B36171B42DA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203" name="AutoShape 1307" descr="note-add">
          <a:extLst>
            <a:ext uri="{FF2B5EF4-FFF2-40B4-BE49-F238E27FC236}">
              <a16:creationId xmlns:a16="http://schemas.microsoft.com/office/drawing/2014/main" id="{7A645529-F334-2E4B-BD2E-3D28AC2ED39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204" name="AutoShape 1308" descr="alert toggle">
          <a:extLst>
            <a:ext uri="{FF2B5EF4-FFF2-40B4-BE49-F238E27FC236}">
              <a16:creationId xmlns:a16="http://schemas.microsoft.com/office/drawing/2014/main" id="{F5AC3B48-9C34-BE48-A0DE-84961DCB834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205" name="AutoShape 1311" descr="note-add">
          <a:extLst>
            <a:ext uri="{FF2B5EF4-FFF2-40B4-BE49-F238E27FC236}">
              <a16:creationId xmlns:a16="http://schemas.microsoft.com/office/drawing/2014/main" id="{2CAB86F3-000D-EE46-BC59-F0614BEB5CF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0"/>
    <xdr:sp macro="" textlink="">
      <xdr:nvSpPr>
        <xdr:cNvPr id="206" name="AutoShape 1312" descr="alert toggle">
          <a:extLst>
            <a:ext uri="{FF2B5EF4-FFF2-40B4-BE49-F238E27FC236}">
              <a16:creationId xmlns:a16="http://schemas.microsoft.com/office/drawing/2014/main" id="{DC79E15B-478F-E44B-BAAA-7C66A2B3F96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207" name="AutoShape 1315" descr="note-add">
          <a:extLst>
            <a:ext uri="{FF2B5EF4-FFF2-40B4-BE49-F238E27FC236}">
              <a16:creationId xmlns:a16="http://schemas.microsoft.com/office/drawing/2014/main" id="{A5FAB3A9-3590-B04E-B44D-08F02D33F7F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7917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224</xdr:row>
      <xdr:rowOff>0</xdr:rowOff>
    </xdr:from>
    <xdr:ext cx="304800" cy="304801"/>
    <xdr:sp macro="" textlink="">
      <xdr:nvSpPr>
        <xdr:cNvPr id="208" name="AutoShape 1316" descr="alert toggle">
          <a:extLst>
            <a:ext uri="{FF2B5EF4-FFF2-40B4-BE49-F238E27FC236}">
              <a16:creationId xmlns:a16="http://schemas.microsoft.com/office/drawing/2014/main" id="{18F638E4-A2DB-F74F-B858-D5A924429CA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7917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209" name="AutoShape 1319" descr="note-add">
          <a:extLst>
            <a:ext uri="{FF2B5EF4-FFF2-40B4-BE49-F238E27FC236}">
              <a16:creationId xmlns:a16="http://schemas.microsoft.com/office/drawing/2014/main" id="{1651D0DE-364F-1443-9C8A-AC643317B6B6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210" name="AutoShape 1320" descr="alert toggle">
          <a:extLst>
            <a:ext uri="{FF2B5EF4-FFF2-40B4-BE49-F238E27FC236}">
              <a16:creationId xmlns:a16="http://schemas.microsoft.com/office/drawing/2014/main" id="{A2A2F45D-3A04-574B-B723-77151AD45A3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211" name="AutoShape 1323" descr="note-add">
          <a:extLst>
            <a:ext uri="{FF2B5EF4-FFF2-40B4-BE49-F238E27FC236}">
              <a16:creationId xmlns:a16="http://schemas.microsoft.com/office/drawing/2014/main" id="{2F785411-2A95-7B44-B845-83FC3A7DD76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212" name="AutoShape 1324" descr="alert toggle">
          <a:extLst>
            <a:ext uri="{FF2B5EF4-FFF2-40B4-BE49-F238E27FC236}">
              <a16:creationId xmlns:a16="http://schemas.microsoft.com/office/drawing/2014/main" id="{AEF5EAA4-267A-F446-8F33-AC52C39646C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13" name="AutoShape 1327" descr="note-add">
          <a:extLst>
            <a:ext uri="{FF2B5EF4-FFF2-40B4-BE49-F238E27FC236}">
              <a16:creationId xmlns:a16="http://schemas.microsoft.com/office/drawing/2014/main" id="{45B166F4-63FE-C64D-96B3-499512194A5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14" name="AutoShape 1328" descr="alert toggle">
          <a:extLst>
            <a:ext uri="{FF2B5EF4-FFF2-40B4-BE49-F238E27FC236}">
              <a16:creationId xmlns:a16="http://schemas.microsoft.com/office/drawing/2014/main" id="{539E0BC9-E933-964A-A865-24AE87A67AF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15" name="AutoShape 1331" descr="note-add">
          <a:extLst>
            <a:ext uri="{FF2B5EF4-FFF2-40B4-BE49-F238E27FC236}">
              <a16:creationId xmlns:a16="http://schemas.microsoft.com/office/drawing/2014/main" id="{4DD26A59-84E1-D341-A036-47269FF36D3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16" name="AutoShape 1332" descr="alert toggle">
          <a:extLst>
            <a:ext uri="{FF2B5EF4-FFF2-40B4-BE49-F238E27FC236}">
              <a16:creationId xmlns:a16="http://schemas.microsoft.com/office/drawing/2014/main" id="{7EE9B360-CF9A-A245-9554-C8E4B49F5C1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17" name="AutoShape 1335" descr="note-add">
          <a:extLst>
            <a:ext uri="{FF2B5EF4-FFF2-40B4-BE49-F238E27FC236}">
              <a16:creationId xmlns:a16="http://schemas.microsoft.com/office/drawing/2014/main" id="{558ED3AC-FDEF-AF4E-85D0-8A244CC5A3B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18" name="AutoShape 1336" descr="alert toggle">
          <a:extLst>
            <a:ext uri="{FF2B5EF4-FFF2-40B4-BE49-F238E27FC236}">
              <a16:creationId xmlns:a16="http://schemas.microsoft.com/office/drawing/2014/main" id="{FA09FF46-6308-1F4E-ADA7-6ECB139623E9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19" name="AutoShape 1339" descr="note-add">
          <a:extLst>
            <a:ext uri="{FF2B5EF4-FFF2-40B4-BE49-F238E27FC236}">
              <a16:creationId xmlns:a16="http://schemas.microsoft.com/office/drawing/2014/main" id="{8DB776F9-AC3B-2D4B-B1AE-8E81BE754E8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20" name="AutoShape 1340" descr="alert toggle">
          <a:extLst>
            <a:ext uri="{FF2B5EF4-FFF2-40B4-BE49-F238E27FC236}">
              <a16:creationId xmlns:a16="http://schemas.microsoft.com/office/drawing/2014/main" id="{F9280F96-E1FE-5D41-A810-D877F1CA4CA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221" name="AutoShape 1343" descr="note-add">
          <a:extLst>
            <a:ext uri="{FF2B5EF4-FFF2-40B4-BE49-F238E27FC236}">
              <a16:creationId xmlns:a16="http://schemas.microsoft.com/office/drawing/2014/main" id="{EDE61DC9-C335-A84B-9DD2-A0FD94D733F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222" name="AutoShape 1344" descr="alert toggle">
          <a:extLst>
            <a:ext uri="{FF2B5EF4-FFF2-40B4-BE49-F238E27FC236}">
              <a16:creationId xmlns:a16="http://schemas.microsoft.com/office/drawing/2014/main" id="{8F10B6BC-DB3F-D94A-A7E5-0BE65386198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23" name="AutoShape 1347" descr="note-add">
          <a:extLst>
            <a:ext uri="{FF2B5EF4-FFF2-40B4-BE49-F238E27FC236}">
              <a16:creationId xmlns:a16="http://schemas.microsoft.com/office/drawing/2014/main" id="{2004FF5F-065A-2340-92CC-B2B2AB30AD9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224" name="AutoShape 1348" descr="alert toggle">
          <a:extLst>
            <a:ext uri="{FF2B5EF4-FFF2-40B4-BE49-F238E27FC236}">
              <a16:creationId xmlns:a16="http://schemas.microsoft.com/office/drawing/2014/main" id="{0ED56F3C-A1F8-9C46-87C4-D08BEFEF9A06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366</xdr:row>
      <xdr:rowOff>0</xdr:rowOff>
    </xdr:from>
    <xdr:ext cx="304800" cy="304800"/>
    <xdr:sp macro="" textlink="">
      <xdr:nvSpPr>
        <xdr:cNvPr id="225" name="AutoShape 1721" descr="note-add">
          <a:extLst>
            <a:ext uri="{FF2B5EF4-FFF2-40B4-BE49-F238E27FC236}">
              <a16:creationId xmlns:a16="http://schemas.microsoft.com/office/drawing/2014/main" id="{761AF4F4-FD52-C34A-846C-B6A4880F87FC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8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226" name="AutoShape 1725" descr="note-add">
          <a:extLst>
            <a:ext uri="{FF2B5EF4-FFF2-40B4-BE49-F238E27FC236}">
              <a16:creationId xmlns:a16="http://schemas.microsoft.com/office/drawing/2014/main" id="{9A641D0C-60EB-FE44-95BD-53BD6FF1351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227" name="AutoShape 1726" descr="alert toggle">
          <a:extLst>
            <a:ext uri="{FF2B5EF4-FFF2-40B4-BE49-F238E27FC236}">
              <a16:creationId xmlns:a16="http://schemas.microsoft.com/office/drawing/2014/main" id="{947C243B-BF21-9A41-9193-5E64DE4DFC1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228" name="AutoShape 1729" descr="note-add">
          <a:extLst>
            <a:ext uri="{FF2B5EF4-FFF2-40B4-BE49-F238E27FC236}">
              <a16:creationId xmlns:a16="http://schemas.microsoft.com/office/drawing/2014/main" id="{6661511E-9F8A-5448-92F1-D5FB4CEACD9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229" name="AutoShape 1730" descr="alert toggle">
          <a:extLst>
            <a:ext uri="{FF2B5EF4-FFF2-40B4-BE49-F238E27FC236}">
              <a16:creationId xmlns:a16="http://schemas.microsoft.com/office/drawing/2014/main" id="{B9661B80-02FA-1B4E-8514-5310AE82E54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230" name="AutoShape 1733" descr="note-add">
          <a:extLst>
            <a:ext uri="{FF2B5EF4-FFF2-40B4-BE49-F238E27FC236}">
              <a16:creationId xmlns:a16="http://schemas.microsoft.com/office/drawing/2014/main" id="{C5461C06-619E-1C4D-9B9D-521A093DB48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231" name="AutoShape 1734" descr="alert toggle">
          <a:extLst>
            <a:ext uri="{FF2B5EF4-FFF2-40B4-BE49-F238E27FC236}">
              <a16:creationId xmlns:a16="http://schemas.microsoft.com/office/drawing/2014/main" id="{E8FC9D9E-C620-4F4B-9DE9-9E607881D0C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232" name="AutoShape 1737" descr="note-add">
          <a:extLst>
            <a:ext uri="{FF2B5EF4-FFF2-40B4-BE49-F238E27FC236}">
              <a16:creationId xmlns:a16="http://schemas.microsoft.com/office/drawing/2014/main" id="{9BB851A9-8DC3-184D-B281-465A3585570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233" name="AutoShape 1738" descr="alert toggle">
          <a:extLst>
            <a:ext uri="{FF2B5EF4-FFF2-40B4-BE49-F238E27FC236}">
              <a16:creationId xmlns:a16="http://schemas.microsoft.com/office/drawing/2014/main" id="{9341E451-A708-3047-A12E-AA2FC659F27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234" name="AutoShape 1741" descr="note-add">
          <a:extLst>
            <a:ext uri="{FF2B5EF4-FFF2-40B4-BE49-F238E27FC236}">
              <a16:creationId xmlns:a16="http://schemas.microsoft.com/office/drawing/2014/main" id="{E1BFF502-FD1D-E845-B65B-E11518ED409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235" name="AutoShape 1742" descr="alert toggle">
          <a:extLst>
            <a:ext uri="{FF2B5EF4-FFF2-40B4-BE49-F238E27FC236}">
              <a16:creationId xmlns:a16="http://schemas.microsoft.com/office/drawing/2014/main" id="{121C67FF-AB3B-AE46-9B4B-40850CFC523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36" name="AutoShape 1745" descr="note-add">
          <a:extLst>
            <a:ext uri="{FF2B5EF4-FFF2-40B4-BE49-F238E27FC236}">
              <a16:creationId xmlns:a16="http://schemas.microsoft.com/office/drawing/2014/main" id="{B8E44334-2AC0-D247-AE98-ED3C9DDB513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37" name="AutoShape 1746" descr="alert toggle">
          <a:extLst>
            <a:ext uri="{FF2B5EF4-FFF2-40B4-BE49-F238E27FC236}">
              <a16:creationId xmlns:a16="http://schemas.microsoft.com/office/drawing/2014/main" id="{EE63FE5F-2FAB-7946-947B-CC2CF9B13F2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38" name="AutoShape 1749" descr="note-add">
          <a:extLst>
            <a:ext uri="{FF2B5EF4-FFF2-40B4-BE49-F238E27FC236}">
              <a16:creationId xmlns:a16="http://schemas.microsoft.com/office/drawing/2014/main" id="{31D9BABD-9E47-484D-AE6F-A1DE2452276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39" name="AutoShape 1750" descr="alert toggle">
          <a:extLst>
            <a:ext uri="{FF2B5EF4-FFF2-40B4-BE49-F238E27FC236}">
              <a16:creationId xmlns:a16="http://schemas.microsoft.com/office/drawing/2014/main" id="{9BEC1462-2C9C-474F-801C-049AFD3BEDC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240" name="AutoShape 1753" descr="note-add">
          <a:extLst>
            <a:ext uri="{FF2B5EF4-FFF2-40B4-BE49-F238E27FC236}">
              <a16:creationId xmlns:a16="http://schemas.microsoft.com/office/drawing/2014/main" id="{04397F12-AF3B-1846-8BC7-6002893EE6D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241" name="AutoShape 1754" descr="alert toggle">
          <a:extLst>
            <a:ext uri="{FF2B5EF4-FFF2-40B4-BE49-F238E27FC236}">
              <a16:creationId xmlns:a16="http://schemas.microsoft.com/office/drawing/2014/main" id="{0D8D17E3-A252-D444-B0A2-A2820F0B8EF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242" name="AutoShape 1757" descr="note-add">
          <a:extLst>
            <a:ext uri="{FF2B5EF4-FFF2-40B4-BE49-F238E27FC236}">
              <a16:creationId xmlns:a16="http://schemas.microsoft.com/office/drawing/2014/main" id="{5F499082-DD04-974F-A521-C1131F61415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0"/>
    <xdr:sp macro="" textlink="">
      <xdr:nvSpPr>
        <xdr:cNvPr id="243" name="AutoShape 1758" descr="alert toggle">
          <a:extLst>
            <a:ext uri="{FF2B5EF4-FFF2-40B4-BE49-F238E27FC236}">
              <a16:creationId xmlns:a16="http://schemas.microsoft.com/office/drawing/2014/main" id="{6BC71CE8-A30D-6D43-AE26-659A250A6CC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244" name="AutoShape 1761" descr="note-add">
          <a:extLst>
            <a:ext uri="{FF2B5EF4-FFF2-40B4-BE49-F238E27FC236}">
              <a16:creationId xmlns:a16="http://schemas.microsoft.com/office/drawing/2014/main" id="{7E2444C3-5605-3442-A6E2-AB76FFCA095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7917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224</xdr:row>
      <xdr:rowOff>0</xdr:rowOff>
    </xdr:from>
    <xdr:ext cx="304800" cy="304801"/>
    <xdr:sp macro="" textlink="">
      <xdr:nvSpPr>
        <xdr:cNvPr id="245" name="AutoShape 1762" descr="alert toggle">
          <a:extLst>
            <a:ext uri="{FF2B5EF4-FFF2-40B4-BE49-F238E27FC236}">
              <a16:creationId xmlns:a16="http://schemas.microsoft.com/office/drawing/2014/main" id="{AB78D637-F320-E04F-AC4E-71494DF406A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7917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246" name="AutoShape 1765" descr="note-add">
          <a:extLst>
            <a:ext uri="{FF2B5EF4-FFF2-40B4-BE49-F238E27FC236}">
              <a16:creationId xmlns:a16="http://schemas.microsoft.com/office/drawing/2014/main" id="{D4DED9AA-80B5-BA44-8BA7-C583667EB9A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247" name="AutoShape 1766" descr="alert toggle">
          <a:extLst>
            <a:ext uri="{FF2B5EF4-FFF2-40B4-BE49-F238E27FC236}">
              <a16:creationId xmlns:a16="http://schemas.microsoft.com/office/drawing/2014/main" id="{CAD60BBD-8188-B844-BECC-80B29C20637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248" name="AutoShape 1769" descr="note-add">
          <a:extLst>
            <a:ext uri="{FF2B5EF4-FFF2-40B4-BE49-F238E27FC236}">
              <a16:creationId xmlns:a16="http://schemas.microsoft.com/office/drawing/2014/main" id="{D76ED06C-4FCA-8F4C-8770-7C2AEC7067F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249" name="AutoShape 1770" descr="alert toggle">
          <a:extLst>
            <a:ext uri="{FF2B5EF4-FFF2-40B4-BE49-F238E27FC236}">
              <a16:creationId xmlns:a16="http://schemas.microsoft.com/office/drawing/2014/main" id="{A35B8E81-7D13-034E-B5B8-49EE3E77909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50" name="AutoShape 1773" descr="note-add">
          <a:extLst>
            <a:ext uri="{FF2B5EF4-FFF2-40B4-BE49-F238E27FC236}">
              <a16:creationId xmlns:a16="http://schemas.microsoft.com/office/drawing/2014/main" id="{FAAC4748-97A1-7D4A-8D10-7A49CAEB03C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51" name="AutoShape 1774" descr="alert toggle">
          <a:extLst>
            <a:ext uri="{FF2B5EF4-FFF2-40B4-BE49-F238E27FC236}">
              <a16:creationId xmlns:a16="http://schemas.microsoft.com/office/drawing/2014/main" id="{6F491B38-4DF2-5D49-82FD-145552E4EEB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52" name="AutoShape 1777" descr="note-add">
          <a:extLst>
            <a:ext uri="{FF2B5EF4-FFF2-40B4-BE49-F238E27FC236}">
              <a16:creationId xmlns:a16="http://schemas.microsoft.com/office/drawing/2014/main" id="{B54177D0-68EC-7B44-8A56-A55F4D3933D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53" name="AutoShape 1778" descr="alert toggle">
          <a:extLst>
            <a:ext uri="{FF2B5EF4-FFF2-40B4-BE49-F238E27FC236}">
              <a16:creationId xmlns:a16="http://schemas.microsoft.com/office/drawing/2014/main" id="{D8DBAE05-3248-784D-A822-9B1B317DC92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54" name="AutoShape 1781" descr="note-add">
          <a:extLst>
            <a:ext uri="{FF2B5EF4-FFF2-40B4-BE49-F238E27FC236}">
              <a16:creationId xmlns:a16="http://schemas.microsoft.com/office/drawing/2014/main" id="{9FD47D00-C35C-3546-86A5-A09D998EBB1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55" name="AutoShape 1782" descr="alert toggle">
          <a:extLst>
            <a:ext uri="{FF2B5EF4-FFF2-40B4-BE49-F238E27FC236}">
              <a16:creationId xmlns:a16="http://schemas.microsoft.com/office/drawing/2014/main" id="{C4E7CE37-7BCD-8F4F-950C-022EF78257D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56" name="AutoShape 1785" descr="note-add">
          <a:extLst>
            <a:ext uri="{FF2B5EF4-FFF2-40B4-BE49-F238E27FC236}">
              <a16:creationId xmlns:a16="http://schemas.microsoft.com/office/drawing/2014/main" id="{8FA31FFA-11BD-9745-AA72-6FF931BF10A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57" name="AutoShape 1786" descr="alert toggle">
          <a:extLst>
            <a:ext uri="{FF2B5EF4-FFF2-40B4-BE49-F238E27FC236}">
              <a16:creationId xmlns:a16="http://schemas.microsoft.com/office/drawing/2014/main" id="{07AF7BCA-DBD3-7144-B204-0A2F0801A7F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258" name="AutoShape 1789" descr="note-add">
          <a:extLst>
            <a:ext uri="{FF2B5EF4-FFF2-40B4-BE49-F238E27FC236}">
              <a16:creationId xmlns:a16="http://schemas.microsoft.com/office/drawing/2014/main" id="{FDCC668D-F3F3-D24B-A021-DBBD52A8C80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259" name="AutoShape 1790" descr="alert toggle">
          <a:extLst>
            <a:ext uri="{FF2B5EF4-FFF2-40B4-BE49-F238E27FC236}">
              <a16:creationId xmlns:a16="http://schemas.microsoft.com/office/drawing/2014/main" id="{3AAD40DF-61BC-FC48-B87B-5134548D741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60" name="AutoShape 1793" descr="note-add">
          <a:extLst>
            <a:ext uri="{FF2B5EF4-FFF2-40B4-BE49-F238E27FC236}">
              <a16:creationId xmlns:a16="http://schemas.microsoft.com/office/drawing/2014/main" id="{91144442-46CB-ED4D-8C31-06D14E62958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261" name="AutoShape 1794" descr="alert toggle">
          <a:extLst>
            <a:ext uri="{FF2B5EF4-FFF2-40B4-BE49-F238E27FC236}">
              <a16:creationId xmlns:a16="http://schemas.microsoft.com/office/drawing/2014/main" id="{FA450125-0E17-D34A-84B0-CD6EECDC514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</xdr:row>
      <xdr:rowOff>0</xdr:rowOff>
    </xdr:from>
    <xdr:ext cx="304800" cy="304799"/>
    <xdr:sp macro="" textlink="">
      <xdr:nvSpPr>
        <xdr:cNvPr id="262" name="AutoShape 1797" descr="note-add">
          <a:extLst>
            <a:ext uri="{FF2B5EF4-FFF2-40B4-BE49-F238E27FC236}">
              <a16:creationId xmlns:a16="http://schemas.microsoft.com/office/drawing/2014/main" id="{008921DE-0D7D-B64D-86C1-1BAC7B5CD32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</xdr:row>
      <xdr:rowOff>0</xdr:rowOff>
    </xdr:from>
    <xdr:ext cx="304800" cy="304799"/>
    <xdr:sp macro="" textlink="">
      <xdr:nvSpPr>
        <xdr:cNvPr id="263" name="AutoShape 1798" descr="alert toggle">
          <a:extLst>
            <a:ext uri="{FF2B5EF4-FFF2-40B4-BE49-F238E27FC236}">
              <a16:creationId xmlns:a16="http://schemas.microsoft.com/office/drawing/2014/main" id="{08A564F5-A2A1-8047-9D3A-1BBB46ED901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60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81</xdr:row>
      <xdr:rowOff>0</xdr:rowOff>
    </xdr:from>
    <xdr:ext cx="304800" cy="304800"/>
    <xdr:sp macro="" textlink="">
      <xdr:nvSpPr>
        <xdr:cNvPr id="264" name="AutoShape 1801" descr="note-add">
          <a:extLst>
            <a:ext uri="{FF2B5EF4-FFF2-40B4-BE49-F238E27FC236}">
              <a16:creationId xmlns:a16="http://schemas.microsoft.com/office/drawing/2014/main" id="{02119565-DDDC-1B4B-91C2-11EB4FF9B01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81</xdr:row>
      <xdr:rowOff>0</xdr:rowOff>
    </xdr:from>
    <xdr:ext cx="304800" cy="304800"/>
    <xdr:sp macro="" textlink="">
      <xdr:nvSpPr>
        <xdr:cNvPr id="265" name="AutoShape 1802" descr="alert toggle">
          <a:extLst>
            <a:ext uri="{FF2B5EF4-FFF2-40B4-BE49-F238E27FC236}">
              <a16:creationId xmlns:a16="http://schemas.microsoft.com/office/drawing/2014/main" id="{FBFDDD2C-578D-E44E-8808-2086EC7D606B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7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85</xdr:row>
      <xdr:rowOff>0</xdr:rowOff>
    </xdr:from>
    <xdr:ext cx="304800" cy="304798"/>
    <xdr:sp macro="" textlink="">
      <xdr:nvSpPr>
        <xdr:cNvPr id="266" name="AutoShape 1805" descr="note-add">
          <a:extLst>
            <a:ext uri="{FF2B5EF4-FFF2-40B4-BE49-F238E27FC236}">
              <a16:creationId xmlns:a16="http://schemas.microsoft.com/office/drawing/2014/main" id="{E0DA57CF-5E9D-0948-8844-F3E752A3AF5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85</xdr:row>
      <xdr:rowOff>0</xdr:rowOff>
    </xdr:from>
    <xdr:ext cx="304800" cy="304798"/>
    <xdr:sp macro="" textlink="">
      <xdr:nvSpPr>
        <xdr:cNvPr id="267" name="AutoShape 1806" descr="alert toggle">
          <a:extLst>
            <a:ext uri="{FF2B5EF4-FFF2-40B4-BE49-F238E27FC236}">
              <a16:creationId xmlns:a16="http://schemas.microsoft.com/office/drawing/2014/main" id="{8DD5736B-5260-3A47-8562-1C65881C0662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82499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90</xdr:row>
      <xdr:rowOff>0</xdr:rowOff>
    </xdr:from>
    <xdr:ext cx="304800" cy="304800"/>
    <xdr:sp macro="" textlink="">
      <xdr:nvSpPr>
        <xdr:cNvPr id="268" name="AutoShape 1809" descr="note-add">
          <a:extLst>
            <a:ext uri="{FF2B5EF4-FFF2-40B4-BE49-F238E27FC236}">
              <a16:creationId xmlns:a16="http://schemas.microsoft.com/office/drawing/2014/main" id="{329B5BFF-D073-9B4C-8E4E-66A77F927052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90</xdr:row>
      <xdr:rowOff>0</xdr:rowOff>
    </xdr:from>
    <xdr:ext cx="304800" cy="304800"/>
    <xdr:sp macro="" textlink="">
      <xdr:nvSpPr>
        <xdr:cNvPr id="269" name="AutoShape 1810" descr="alert toggle">
          <a:extLst>
            <a:ext uri="{FF2B5EF4-FFF2-40B4-BE49-F238E27FC236}">
              <a16:creationId xmlns:a16="http://schemas.microsoft.com/office/drawing/2014/main" id="{C71EB523-3E4F-034E-A2BE-94DCBA13BCDC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92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270" name="AutoShape 1813" descr="note-add">
          <a:extLst>
            <a:ext uri="{FF2B5EF4-FFF2-40B4-BE49-F238E27FC236}">
              <a16:creationId xmlns:a16="http://schemas.microsoft.com/office/drawing/2014/main" id="{ED8E2F4B-A153-F84F-8D21-633755611E3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271" name="AutoShape 1814" descr="alert toggle">
          <a:extLst>
            <a:ext uri="{FF2B5EF4-FFF2-40B4-BE49-F238E27FC236}">
              <a16:creationId xmlns:a16="http://schemas.microsoft.com/office/drawing/2014/main" id="{C483881A-E381-1541-9FB8-8F503CD987C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39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72" name="AutoShape 1817" descr="note-add">
          <a:extLst>
            <a:ext uri="{FF2B5EF4-FFF2-40B4-BE49-F238E27FC236}">
              <a16:creationId xmlns:a16="http://schemas.microsoft.com/office/drawing/2014/main" id="{1798DEA6-50EB-8B46-95DB-EE4B489079E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73" name="AutoShape 1818" descr="alert toggle">
          <a:extLst>
            <a:ext uri="{FF2B5EF4-FFF2-40B4-BE49-F238E27FC236}">
              <a16:creationId xmlns:a16="http://schemas.microsoft.com/office/drawing/2014/main" id="{1F7CFB73-D8A4-654B-889F-63CE1A2BB45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304799"/>
    <xdr:sp macro="" textlink="">
      <xdr:nvSpPr>
        <xdr:cNvPr id="274" name="AutoShape 1821" descr="note-add">
          <a:extLst>
            <a:ext uri="{FF2B5EF4-FFF2-40B4-BE49-F238E27FC236}">
              <a16:creationId xmlns:a16="http://schemas.microsoft.com/office/drawing/2014/main" id="{D364DE3E-7822-A445-BF12-D40C5CB2119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304799"/>
    <xdr:sp macro="" textlink="">
      <xdr:nvSpPr>
        <xdr:cNvPr id="275" name="AutoShape 1822" descr="alert toggle">
          <a:extLst>
            <a:ext uri="{FF2B5EF4-FFF2-40B4-BE49-F238E27FC236}">
              <a16:creationId xmlns:a16="http://schemas.microsoft.com/office/drawing/2014/main" id="{5D7E7546-30F9-CC49-9C54-437689D15B9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866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1"/>
    <xdr:sp macro="" textlink="">
      <xdr:nvSpPr>
        <xdr:cNvPr id="276" name="AutoShape 1825" descr="note-add">
          <a:extLst>
            <a:ext uri="{FF2B5EF4-FFF2-40B4-BE49-F238E27FC236}">
              <a16:creationId xmlns:a16="http://schemas.microsoft.com/office/drawing/2014/main" id="{AB08F3DA-DDD9-2142-8E01-FEAEEE0D6BD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214</xdr:row>
      <xdr:rowOff>0</xdr:rowOff>
    </xdr:from>
    <xdr:ext cx="304800" cy="304801"/>
    <xdr:sp macro="" textlink="">
      <xdr:nvSpPr>
        <xdr:cNvPr id="277" name="AutoShape 1826" descr="alert toggle">
          <a:extLst>
            <a:ext uri="{FF2B5EF4-FFF2-40B4-BE49-F238E27FC236}">
              <a16:creationId xmlns:a16="http://schemas.microsoft.com/office/drawing/2014/main" id="{2F13AB09-BA01-AE4B-8C46-D73EA1F8DA5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5758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214</xdr:row>
      <xdr:rowOff>0</xdr:rowOff>
    </xdr:from>
    <xdr:ext cx="304800" cy="304800"/>
    <xdr:sp macro="" textlink="">
      <xdr:nvSpPr>
        <xdr:cNvPr id="278" name="AutoShape 1829" descr="note-add">
          <a:extLst>
            <a:ext uri="{FF2B5EF4-FFF2-40B4-BE49-F238E27FC236}">
              <a16:creationId xmlns:a16="http://schemas.microsoft.com/office/drawing/2014/main" id="{CFAD2981-4BC4-0140-B27F-14152B50A52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57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224</xdr:row>
      <xdr:rowOff>0</xdr:rowOff>
    </xdr:from>
    <xdr:ext cx="304800" cy="304801"/>
    <xdr:sp macro="" textlink="">
      <xdr:nvSpPr>
        <xdr:cNvPr id="279" name="AutoShape 1833" descr="note-add">
          <a:extLst>
            <a:ext uri="{FF2B5EF4-FFF2-40B4-BE49-F238E27FC236}">
              <a16:creationId xmlns:a16="http://schemas.microsoft.com/office/drawing/2014/main" id="{B174D4B2-41CC-B54B-A215-F5BEF2D2B45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7917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233</xdr:row>
      <xdr:rowOff>0</xdr:rowOff>
    </xdr:from>
    <xdr:ext cx="304800" cy="304800"/>
    <xdr:sp macro="" textlink="">
      <xdr:nvSpPr>
        <xdr:cNvPr id="280" name="AutoShape 1837" descr="note-add">
          <a:extLst>
            <a:ext uri="{FF2B5EF4-FFF2-40B4-BE49-F238E27FC236}">
              <a16:creationId xmlns:a16="http://schemas.microsoft.com/office/drawing/2014/main" id="{8EF3050A-A3B3-AD44-82A5-9AD2BB48885A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233</xdr:row>
      <xdr:rowOff>0</xdr:rowOff>
    </xdr:from>
    <xdr:ext cx="304800" cy="304800"/>
    <xdr:sp macro="" textlink="">
      <xdr:nvSpPr>
        <xdr:cNvPr id="281" name="AutoShape 1838" descr="alert toggle">
          <a:extLst>
            <a:ext uri="{FF2B5EF4-FFF2-40B4-BE49-F238E27FC236}">
              <a16:creationId xmlns:a16="http://schemas.microsoft.com/office/drawing/2014/main" id="{FF5D75F4-3E90-BE43-B53A-EB28FACBC5D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98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238</xdr:row>
      <xdr:rowOff>0</xdr:rowOff>
    </xdr:from>
    <xdr:ext cx="304800" cy="304801"/>
    <xdr:sp macro="" textlink="">
      <xdr:nvSpPr>
        <xdr:cNvPr id="282" name="AutoShape 1841" descr="note-add">
          <a:extLst>
            <a:ext uri="{FF2B5EF4-FFF2-40B4-BE49-F238E27FC236}">
              <a16:creationId xmlns:a16="http://schemas.microsoft.com/office/drawing/2014/main" id="{F6F007EE-59B2-5B4D-B61B-654DF80E0F65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238</xdr:row>
      <xdr:rowOff>0</xdr:rowOff>
    </xdr:from>
    <xdr:ext cx="304800" cy="304801"/>
    <xdr:sp macro="" textlink="">
      <xdr:nvSpPr>
        <xdr:cNvPr id="283" name="AutoShape 1842" descr="alert toggle">
          <a:extLst>
            <a:ext uri="{FF2B5EF4-FFF2-40B4-BE49-F238E27FC236}">
              <a16:creationId xmlns:a16="http://schemas.microsoft.com/office/drawing/2014/main" id="{902B01AB-32C2-6C47-AC02-36148787F2F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09270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84" name="AutoShape 1845" descr="note-add">
          <a:extLst>
            <a:ext uri="{FF2B5EF4-FFF2-40B4-BE49-F238E27FC236}">
              <a16:creationId xmlns:a16="http://schemas.microsoft.com/office/drawing/2014/main" id="{CF03109D-6FAC-304C-9E7E-ABDBD7955E0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85" name="AutoShape 1846" descr="alert toggle">
          <a:extLst>
            <a:ext uri="{FF2B5EF4-FFF2-40B4-BE49-F238E27FC236}">
              <a16:creationId xmlns:a16="http://schemas.microsoft.com/office/drawing/2014/main" id="{CD484529-7F94-0F4F-BF8A-C58C0661E10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262</xdr:row>
      <xdr:rowOff>0</xdr:rowOff>
    </xdr:from>
    <xdr:ext cx="304800" cy="304800"/>
    <xdr:sp macro="" textlink="">
      <xdr:nvSpPr>
        <xdr:cNvPr id="286" name="AutoShape 1849" descr="note-add">
          <a:extLst>
            <a:ext uri="{FF2B5EF4-FFF2-40B4-BE49-F238E27FC236}">
              <a16:creationId xmlns:a16="http://schemas.microsoft.com/office/drawing/2014/main" id="{9103F284-856D-C342-8262-BB3DBE678410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262</xdr:row>
      <xdr:rowOff>0</xdr:rowOff>
    </xdr:from>
    <xdr:ext cx="304800" cy="304800"/>
    <xdr:sp macro="" textlink="">
      <xdr:nvSpPr>
        <xdr:cNvPr id="287" name="AutoShape 1850" descr="alert toggle">
          <a:extLst>
            <a:ext uri="{FF2B5EF4-FFF2-40B4-BE49-F238E27FC236}">
              <a16:creationId xmlns:a16="http://schemas.microsoft.com/office/drawing/2014/main" id="{9566D222-7081-A041-8285-42803F5D4091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59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88" name="AutoShape 1853" descr="note-add">
          <a:extLst>
            <a:ext uri="{FF2B5EF4-FFF2-40B4-BE49-F238E27FC236}">
              <a16:creationId xmlns:a16="http://schemas.microsoft.com/office/drawing/2014/main" id="{C7FCE027-813A-244D-97A0-1D5DE9566EA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89" name="AutoShape 1854" descr="alert toggle">
          <a:extLst>
            <a:ext uri="{FF2B5EF4-FFF2-40B4-BE49-F238E27FC236}">
              <a16:creationId xmlns:a16="http://schemas.microsoft.com/office/drawing/2014/main" id="{E06A2F80-43AE-6B41-9C51-F4E25D9DD15D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360</xdr:row>
      <xdr:rowOff>0</xdr:rowOff>
    </xdr:from>
    <xdr:ext cx="304800" cy="304800"/>
    <xdr:sp macro="" textlink="">
      <xdr:nvSpPr>
        <xdr:cNvPr id="290" name="AutoShape 1857" descr="note-add">
          <a:extLst>
            <a:ext uri="{FF2B5EF4-FFF2-40B4-BE49-F238E27FC236}">
              <a16:creationId xmlns:a16="http://schemas.microsoft.com/office/drawing/2014/main" id="{4D6C8AF9-BAE6-224B-B134-4A4952C8124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360</xdr:row>
      <xdr:rowOff>0</xdr:rowOff>
    </xdr:from>
    <xdr:ext cx="304800" cy="304800"/>
    <xdr:sp macro="" textlink="">
      <xdr:nvSpPr>
        <xdr:cNvPr id="291" name="AutoShape 1858" descr="alert toggle">
          <a:extLst>
            <a:ext uri="{FF2B5EF4-FFF2-40B4-BE49-F238E27FC236}">
              <a16:creationId xmlns:a16="http://schemas.microsoft.com/office/drawing/2014/main" id="{D8300095-7FFB-9843-B9CD-C55025235A45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68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398</xdr:row>
      <xdr:rowOff>0</xdr:rowOff>
    </xdr:from>
    <xdr:ext cx="304800" cy="304800"/>
    <xdr:sp macro="" textlink="">
      <xdr:nvSpPr>
        <xdr:cNvPr id="292" name="AutoShape 1861" descr="note-add">
          <a:extLst>
            <a:ext uri="{FF2B5EF4-FFF2-40B4-BE49-F238E27FC236}">
              <a16:creationId xmlns:a16="http://schemas.microsoft.com/office/drawing/2014/main" id="{92DA0F08-1A19-6246-B1F9-2947C2776C53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398</xdr:row>
      <xdr:rowOff>0</xdr:rowOff>
    </xdr:from>
    <xdr:ext cx="304800" cy="304800"/>
    <xdr:sp macro="" textlink="">
      <xdr:nvSpPr>
        <xdr:cNvPr id="293" name="AutoShape 1862" descr="alert toggle">
          <a:extLst>
            <a:ext uri="{FF2B5EF4-FFF2-40B4-BE49-F238E27FC236}">
              <a16:creationId xmlns:a16="http://schemas.microsoft.com/office/drawing/2014/main" id="{AAE6256F-AC76-7A46-9CF3-74D454272E82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848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94" name="AutoShape 1865" descr="note-add">
          <a:extLst>
            <a:ext uri="{FF2B5EF4-FFF2-40B4-BE49-F238E27FC236}">
              <a16:creationId xmlns:a16="http://schemas.microsoft.com/office/drawing/2014/main" id="{0E933EC3-4243-D84E-B02F-9CDF99ACD48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304800"/>
    <xdr:sp macro="" textlink="">
      <xdr:nvSpPr>
        <xdr:cNvPr id="295" name="AutoShape 1866" descr="alert toggle">
          <a:extLst>
            <a:ext uri="{FF2B5EF4-FFF2-40B4-BE49-F238E27FC236}">
              <a16:creationId xmlns:a16="http://schemas.microsoft.com/office/drawing/2014/main" id="{0FEF928D-94DC-7A46-A7AE-CFAED0B6281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304800"/>
    <xdr:sp macro="" textlink="">
      <xdr:nvSpPr>
        <xdr:cNvPr id="296" name="AutoShape 1869" descr="note-add">
          <a:extLst>
            <a:ext uri="{FF2B5EF4-FFF2-40B4-BE49-F238E27FC236}">
              <a16:creationId xmlns:a16="http://schemas.microsoft.com/office/drawing/2014/main" id="{967EE0A1-E12A-294D-956D-2EF013C0828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</xdr:row>
      <xdr:rowOff>0</xdr:rowOff>
    </xdr:from>
    <xdr:ext cx="304800" cy="279400"/>
    <xdr:sp macro="" textlink="">
      <xdr:nvSpPr>
        <xdr:cNvPr id="297" name="AutoShape 2167" descr="note-add">
          <a:extLst>
            <a:ext uri="{FF2B5EF4-FFF2-40B4-BE49-F238E27FC236}">
              <a16:creationId xmlns:a16="http://schemas.microsoft.com/office/drawing/2014/main" id="{51BDFC6F-5486-2F4C-998D-8D46D8FE4D6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4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</xdr:row>
      <xdr:rowOff>0</xdr:rowOff>
    </xdr:from>
    <xdr:ext cx="304800" cy="279400"/>
    <xdr:sp macro="" textlink="">
      <xdr:nvSpPr>
        <xdr:cNvPr id="298" name="AutoShape 2168" descr="alert toggle">
          <a:extLst>
            <a:ext uri="{FF2B5EF4-FFF2-40B4-BE49-F238E27FC236}">
              <a16:creationId xmlns:a16="http://schemas.microsoft.com/office/drawing/2014/main" id="{1D4032F2-D85F-A343-B7C8-7874A59DC1C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4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279400"/>
    <xdr:sp macro="" textlink="">
      <xdr:nvSpPr>
        <xdr:cNvPr id="299" name="AutoShape 2171" descr="note-add">
          <a:extLst>
            <a:ext uri="{FF2B5EF4-FFF2-40B4-BE49-F238E27FC236}">
              <a16:creationId xmlns:a16="http://schemas.microsoft.com/office/drawing/2014/main" id="{705F463E-874A-6F45-8B87-D69930D36E8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32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53</xdr:row>
      <xdr:rowOff>0</xdr:rowOff>
    </xdr:from>
    <xdr:ext cx="304800" cy="279400"/>
    <xdr:sp macro="" textlink="">
      <xdr:nvSpPr>
        <xdr:cNvPr id="300" name="AutoShape 2172" descr="alert toggle">
          <a:extLst>
            <a:ext uri="{FF2B5EF4-FFF2-40B4-BE49-F238E27FC236}">
              <a16:creationId xmlns:a16="http://schemas.microsoft.com/office/drawing/2014/main" id="{7C244629-88E7-BB40-8916-F59BB1F8E0B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32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162</xdr:row>
      <xdr:rowOff>0</xdr:rowOff>
    </xdr:from>
    <xdr:ext cx="304800" cy="279400"/>
    <xdr:sp macro="" textlink="">
      <xdr:nvSpPr>
        <xdr:cNvPr id="301" name="AutoShape 2175" descr="note-add">
          <a:extLst>
            <a:ext uri="{FF2B5EF4-FFF2-40B4-BE49-F238E27FC236}">
              <a16:creationId xmlns:a16="http://schemas.microsoft.com/office/drawing/2014/main" id="{ACF3C869-03F3-734C-9B9E-D111A4B6C16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47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162</xdr:row>
      <xdr:rowOff>0</xdr:rowOff>
    </xdr:from>
    <xdr:ext cx="304800" cy="279400"/>
    <xdr:sp macro="" textlink="">
      <xdr:nvSpPr>
        <xdr:cNvPr id="302" name="AutoShape 2176" descr="alert toggle">
          <a:extLst>
            <a:ext uri="{FF2B5EF4-FFF2-40B4-BE49-F238E27FC236}">
              <a16:creationId xmlns:a16="http://schemas.microsoft.com/office/drawing/2014/main" id="{B7B83383-B0C9-9C44-AC96-438C394B01D5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47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182</xdr:row>
      <xdr:rowOff>0</xdr:rowOff>
    </xdr:from>
    <xdr:ext cx="304800" cy="279400"/>
    <xdr:sp macro="" textlink="">
      <xdr:nvSpPr>
        <xdr:cNvPr id="303" name="AutoShape 2179" descr="note-add">
          <a:extLst>
            <a:ext uri="{FF2B5EF4-FFF2-40B4-BE49-F238E27FC236}">
              <a16:creationId xmlns:a16="http://schemas.microsoft.com/office/drawing/2014/main" id="{48AD91D1-9BCC-0748-8645-28E7D9AC2E9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891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182</xdr:row>
      <xdr:rowOff>0</xdr:rowOff>
    </xdr:from>
    <xdr:ext cx="304800" cy="279400"/>
    <xdr:sp macro="" textlink="">
      <xdr:nvSpPr>
        <xdr:cNvPr id="304" name="AutoShape 2180" descr="alert toggle">
          <a:extLst>
            <a:ext uri="{FF2B5EF4-FFF2-40B4-BE49-F238E27FC236}">
              <a16:creationId xmlns:a16="http://schemas.microsoft.com/office/drawing/2014/main" id="{5A217243-A075-CB40-88CA-3512DDA8EAB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891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210</xdr:row>
      <xdr:rowOff>0</xdr:rowOff>
    </xdr:from>
    <xdr:ext cx="304800" cy="279400"/>
    <xdr:sp macro="" textlink="">
      <xdr:nvSpPr>
        <xdr:cNvPr id="305" name="AutoShape 2183" descr="note-add">
          <a:extLst>
            <a:ext uri="{FF2B5EF4-FFF2-40B4-BE49-F238E27FC236}">
              <a16:creationId xmlns:a16="http://schemas.microsoft.com/office/drawing/2014/main" id="{68152F30-D073-BC4B-B83A-5B160B8BDE9F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4894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210</xdr:row>
      <xdr:rowOff>0</xdr:rowOff>
    </xdr:from>
    <xdr:ext cx="304800" cy="279400"/>
    <xdr:sp macro="" textlink="">
      <xdr:nvSpPr>
        <xdr:cNvPr id="306" name="AutoShape 2184" descr="alert toggle">
          <a:extLst>
            <a:ext uri="{FF2B5EF4-FFF2-40B4-BE49-F238E27FC236}">
              <a16:creationId xmlns:a16="http://schemas.microsoft.com/office/drawing/2014/main" id="{30806BFA-E717-D64A-9DEA-CC0628DD5B49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4894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279400"/>
    <xdr:sp macro="" textlink="">
      <xdr:nvSpPr>
        <xdr:cNvPr id="307" name="AutoShape 2187" descr="note-add">
          <a:extLst>
            <a:ext uri="{FF2B5EF4-FFF2-40B4-BE49-F238E27FC236}">
              <a16:creationId xmlns:a16="http://schemas.microsoft.com/office/drawing/2014/main" id="{22C25126-CC52-674C-9465-D6D06472043F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55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320</xdr:row>
      <xdr:rowOff>0</xdr:rowOff>
    </xdr:from>
    <xdr:ext cx="304800" cy="279400"/>
    <xdr:sp macro="" textlink="">
      <xdr:nvSpPr>
        <xdr:cNvPr id="308" name="AutoShape 2188" descr="alert toggle">
          <a:extLst>
            <a:ext uri="{FF2B5EF4-FFF2-40B4-BE49-F238E27FC236}">
              <a16:creationId xmlns:a16="http://schemas.microsoft.com/office/drawing/2014/main" id="{C424E723-AD87-684C-AD33-3E853C4E72B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855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325</xdr:row>
      <xdr:rowOff>0</xdr:rowOff>
    </xdr:from>
    <xdr:ext cx="304800" cy="279400"/>
    <xdr:sp macro="" textlink="">
      <xdr:nvSpPr>
        <xdr:cNvPr id="309" name="AutoShape 2191" descr="note-add">
          <a:extLst>
            <a:ext uri="{FF2B5EF4-FFF2-40B4-BE49-F238E27FC236}">
              <a16:creationId xmlns:a16="http://schemas.microsoft.com/office/drawing/2014/main" id="{EC06342B-E5EB-DB4C-962B-462B1117AA9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959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325</xdr:row>
      <xdr:rowOff>0</xdr:rowOff>
    </xdr:from>
    <xdr:ext cx="304800" cy="279400"/>
    <xdr:sp macro="" textlink="">
      <xdr:nvSpPr>
        <xdr:cNvPr id="310" name="AutoShape 2192" descr="alert toggle">
          <a:extLst>
            <a:ext uri="{FF2B5EF4-FFF2-40B4-BE49-F238E27FC236}">
              <a16:creationId xmlns:a16="http://schemas.microsoft.com/office/drawing/2014/main" id="{9E60BD72-C4F0-9540-8C81-AE9D0794572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959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359</xdr:row>
      <xdr:rowOff>0</xdr:rowOff>
    </xdr:from>
    <xdr:ext cx="304800" cy="279400"/>
    <xdr:sp macro="" textlink="">
      <xdr:nvSpPr>
        <xdr:cNvPr id="311" name="AutoShape 2195" descr="note-add">
          <a:extLst>
            <a:ext uri="{FF2B5EF4-FFF2-40B4-BE49-F238E27FC236}">
              <a16:creationId xmlns:a16="http://schemas.microsoft.com/office/drawing/2014/main" id="{3FD2F5DF-A30B-894E-A137-EA2181435FA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6657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359</xdr:row>
      <xdr:rowOff>0</xdr:rowOff>
    </xdr:from>
    <xdr:ext cx="304800" cy="279400"/>
    <xdr:sp macro="" textlink="">
      <xdr:nvSpPr>
        <xdr:cNvPr id="312" name="AutoShape 2196" descr="alert toggle">
          <a:extLst>
            <a:ext uri="{FF2B5EF4-FFF2-40B4-BE49-F238E27FC236}">
              <a16:creationId xmlns:a16="http://schemas.microsoft.com/office/drawing/2014/main" id="{FC18F12F-475E-D34A-9531-6071FE69B9C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6657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279400"/>
    <xdr:sp macro="" textlink="">
      <xdr:nvSpPr>
        <xdr:cNvPr id="313" name="AutoShape 2199" descr="note-add">
          <a:extLst>
            <a:ext uri="{FF2B5EF4-FFF2-40B4-BE49-F238E27FC236}">
              <a16:creationId xmlns:a16="http://schemas.microsoft.com/office/drawing/2014/main" id="{9B010C99-AED5-F840-ABC0-F4275564850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784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379</xdr:row>
      <xdr:rowOff>0</xdr:rowOff>
    </xdr:from>
    <xdr:ext cx="304800" cy="279400"/>
    <xdr:sp macro="" textlink="">
      <xdr:nvSpPr>
        <xdr:cNvPr id="314" name="AutoShape 2200" descr="alert toggle">
          <a:extLst>
            <a:ext uri="{FF2B5EF4-FFF2-40B4-BE49-F238E27FC236}">
              <a16:creationId xmlns:a16="http://schemas.microsoft.com/office/drawing/2014/main" id="{91500C3A-0653-654A-AC5A-AA3FA32626E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0784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261</xdr:row>
      <xdr:rowOff>0</xdr:rowOff>
    </xdr:from>
    <xdr:ext cx="304800" cy="279400"/>
    <xdr:sp macro="" textlink="">
      <xdr:nvSpPr>
        <xdr:cNvPr id="315" name="AutoShape 2203" descr="note-add">
          <a:extLst>
            <a:ext uri="{FF2B5EF4-FFF2-40B4-BE49-F238E27FC236}">
              <a16:creationId xmlns:a16="http://schemas.microsoft.com/office/drawing/2014/main" id="{1AA67186-DECD-5B4D-8053-DCAE705B666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571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261</xdr:row>
      <xdr:rowOff>0</xdr:rowOff>
    </xdr:from>
    <xdr:ext cx="304800" cy="279400"/>
    <xdr:sp macro="" textlink="">
      <xdr:nvSpPr>
        <xdr:cNvPr id="316" name="AutoShape 2204" descr="alert toggle">
          <a:extLst>
            <a:ext uri="{FF2B5EF4-FFF2-40B4-BE49-F238E27FC236}">
              <a16:creationId xmlns:a16="http://schemas.microsoft.com/office/drawing/2014/main" id="{CA6211A2-EF52-FC41-B5B4-C51F2C097D05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571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279400"/>
    <xdr:sp macro="" textlink="">
      <xdr:nvSpPr>
        <xdr:cNvPr id="317" name="AutoShape 2207" descr="note-add">
          <a:extLst>
            <a:ext uri="{FF2B5EF4-FFF2-40B4-BE49-F238E27FC236}">
              <a16:creationId xmlns:a16="http://schemas.microsoft.com/office/drawing/2014/main" id="{68DB3989-5B0F-934C-A8D2-FB713D2D2D4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55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320</xdr:row>
      <xdr:rowOff>0</xdr:rowOff>
    </xdr:from>
    <xdr:ext cx="304800" cy="279400"/>
    <xdr:sp macro="" textlink="">
      <xdr:nvSpPr>
        <xdr:cNvPr id="318" name="AutoShape 2208" descr="alert toggle">
          <a:extLst>
            <a:ext uri="{FF2B5EF4-FFF2-40B4-BE49-F238E27FC236}">
              <a16:creationId xmlns:a16="http://schemas.microsoft.com/office/drawing/2014/main" id="{1BBC079D-BF9D-734E-8DA6-D8674C906FF5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855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279400"/>
    <xdr:sp macro="" textlink="">
      <xdr:nvSpPr>
        <xdr:cNvPr id="319" name="AutoShape 2211" descr="note-add">
          <a:extLst>
            <a:ext uri="{FF2B5EF4-FFF2-40B4-BE49-F238E27FC236}">
              <a16:creationId xmlns:a16="http://schemas.microsoft.com/office/drawing/2014/main" id="{A75D47E6-936C-734D-9EF5-3AFECFC1609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784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379</xdr:row>
      <xdr:rowOff>0</xdr:rowOff>
    </xdr:from>
    <xdr:ext cx="304800" cy="279400"/>
    <xdr:sp macro="" textlink="">
      <xdr:nvSpPr>
        <xdr:cNvPr id="320" name="AutoShape 2212" descr="alert toggle">
          <a:extLst>
            <a:ext uri="{FF2B5EF4-FFF2-40B4-BE49-F238E27FC236}">
              <a16:creationId xmlns:a16="http://schemas.microsoft.com/office/drawing/2014/main" id="{FBAFE3CD-9DF3-4040-BF26-74906B2A05F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0784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304799"/>
    <xdr:sp macro="" textlink="">
      <xdr:nvSpPr>
        <xdr:cNvPr id="321" name="AutoShape 2215" descr="note-add">
          <a:extLst>
            <a:ext uri="{FF2B5EF4-FFF2-40B4-BE49-F238E27FC236}">
              <a16:creationId xmlns:a16="http://schemas.microsoft.com/office/drawing/2014/main" id="{6901F7A8-4AF5-8A48-94D4-1A8FA231FA6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78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379</xdr:row>
      <xdr:rowOff>0</xdr:rowOff>
    </xdr:from>
    <xdr:ext cx="304800" cy="304799"/>
    <xdr:sp macro="" textlink="">
      <xdr:nvSpPr>
        <xdr:cNvPr id="322" name="AutoShape 2216" descr="alert toggle">
          <a:extLst>
            <a:ext uri="{FF2B5EF4-FFF2-40B4-BE49-F238E27FC236}">
              <a16:creationId xmlns:a16="http://schemas.microsoft.com/office/drawing/2014/main" id="{0B39C5BF-C2C5-2F4D-B28C-92ED25635B55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078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279400"/>
    <xdr:sp macro="" textlink="">
      <xdr:nvSpPr>
        <xdr:cNvPr id="323" name="AutoShape 2509" descr="note-add">
          <a:extLst>
            <a:ext uri="{FF2B5EF4-FFF2-40B4-BE49-F238E27FC236}">
              <a16:creationId xmlns:a16="http://schemas.microsoft.com/office/drawing/2014/main" id="{BE5AFDF1-4139-ED43-A357-C9662BCB0571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29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</xdr:row>
      <xdr:rowOff>0</xdr:rowOff>
    </xdr:from>
    <xdr:ext cx="304800" cy="279400"/>
    <xdr:sp macro="" textlink="">
      <xdr:nvSpPr>
        <xdr:cNvPr id="324" name="AutoShape 2510" descr="alert toggle">
          <a:extLst>
            <a:ext uri="{FF2B5EF4-FFF2-40B4-BE49-F238E27FC236}">
              <a16:creationId xmlns:a16="http://schemas.microsoft.com/office/drawing/2014/main" id="{AB63DAA5-B893-6742-A9FD-ED79E431AF76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29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76</xdr:row>
      <xdr:rowOff>0</xdr:rowOff>
    </xdr:from>
    <xdr:ext cx="304800" cy="279400"/>
    <xdr:sp macro="" textlink="">
      <xdr:nvSpPr>
        <xdr:cNvPr id="325" name="AutoShape 2513" descr="note-add">
          <a:extLst>
            <a:ext uri="{FF2B5EF4-FFF2-40B4-BE49-F238E27FC236}">
              <a16:creationId xmlns:a16="http://schemas.microsoft.com/office/drawing/2014/main" id="{E213FC35-EF3F-394D-A019-505275E9772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16319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76</xdr:row>
      <xdr:rowOff>0</xdr:rowOff>
    </xdr:from>
    <xdr:ext cx="304800" cy="279400"/>
    <xdr:sp macro="" textlink="">
      <xdr:nvSpPr>
        <xdr:cNvPr id="326" name="AutoShape 2514" descr="alert toggle">
          <a:extLst>
            <a:ext uri="{FF2B5EF4-FFF2-40B4-BE49-F238E27FC236}">
              <a16:creationId xmlns:a16="http://schemas.microsoft.com/office/drawing/2014/main" id="{F166C2C1-13C4-F242-9500-93FEAE353B7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16319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146</xdr:row>
      <xdr:rowOff>0</xdr:rowOff>
    </xdr:from>
    <xdr:ext cx="304800" cy="279400"/>
    <xdr:sp macro="" textlink="">
      <xdr:nvSpPr>
        <xdr:cNvPr id="327" name="AutoShape 2517" descr="note-add">
          <a:extLst>
            <a:ext uri="{FF2B5EF4-FFF2-40B4-BE49-F238E27FC236}">
              <a16:creationId xmlns:a16="http://schemas.microsoft.com/office/drawing/2014/main" id="{244377D9-3988-394F-8E6F-9241F9093F7E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124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146</xdr:row>
      <xdr:rowOff>0</xdr:rowOff>
    </xdr:from>
    <xdr:ext cx="304800" cy="279400"/>
    <xdr:sp macro="" textlink="">
      <xdr:nvSpPr>
        <xdr:cNvPr id="328" name="AutoShape 2518" descr="alert toggle">
          <a:extLst>
            <a:ext uri="{FF2B5EF4-FFF2-40B4-BE49-F238E27FC236}">
              <a16:creationId xmlns:a16="http://schemas.microsoft.com/office/drawing/2014/main" id="{69124ADB-5411-C046-A224-E1D0502A723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124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146</xdr:row>
      <xdr:rowOff>0</xdr:rowOff>
    </xdr:from>
    <xdr:ext cx="304800" cy="279400"/>
    <xdr:sp macro="" textlink="">
      <xdr:nvSpPr>
        <xdr:cNvPr id="329" name="AutoShape 2521" descr="note-add">
          <a:extLst>
            <a:ext uri="{FF2B5EF4-FFF2-40B4-BE49-F238E27FC236}">
              <a16:creationId xmlns:a16="http://schemas.microsoft.com/office/drawing/2014/main" id="{1605C650-B649-F647-A9E5-53A42E7926C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124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146</xdr:row>
      <xdr:rowOff>0</xdr:rowOff>
    </xdr:from>
    <xdr:ext cx="304800" cy="279400"/>
    <xdr:sp macro="" textlink="">
      <xdr:nvSpPr>
        <xdr:cNvPr id="330" name="AutoShape 2522" descr="alert toggle">
          <a:extLst>
            <a:ext uri="{FF2B5EF4-FFF2-40B4-BE49-F238E27FC236}">
              <a16:creationId xmlns:a16="http://schemas.microsoft.com/office/drawing/2014/main" id="{C057731B-C2A4-4B40-8B8C-F283F26F191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124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158</xdr:row>
      <xdr:rowOff>0</xdr:rowOff>
    </xdr:from>
    <xdr:ext cx="304800" cy="279400"/>
    <xdr:sp macro="" textlink="">
      <xdr:nvSpPr>
        <xdr:cNvPr id="331" name="AutoShape 2525" descr="note-add">
          <a:extLst>
            <a:ext uri="{FF2B5EF4-FFF2-40B4-BE49-F238E27FC236}">
              <a16:creationId xmlns:a16="http://schemas.microsoft.com/office/drawing/2014/main" id="{57681E47-6019-7E44-89B5-18CBD9A82E6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3858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158</xdr:row>
      <xdr:rowOff>0</xdr:rowOff>
    </xdr:from>
    <xdr:ext cx="304800" cy="279400"/>
    <xdr:sp macro="" textlink="">
      <xdr:nvSpPr>
        <xdr:cNvPr id="332" name="AutoShape 2526" descr="alert toggle">
          <a:extLst>
            <a:ext uri="{FF2B5EF4-FFF2-40B4-BE49-F238E27FC236}">
              <a16:creationId xmlns:a16="http://schemas.microsoft.com/office/drawing/2014/main" id="{7CDE37D6-9A31-C544-A564-9DAA4261B6F8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3858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178</xdr:row>
      <xdr:rowOff>0</xdr:rowOff>
    </xdr:from>
    <xdr:ext cx="304800" cy="279400"/>
    <xdr:sp macro="" textlink="">
      <xdr:nvSpPr>
        <xdr:cNvPr id="333" name="AutoShape 2529" descr="note-add">
          <a:extLst>
            <a:ext uri="{FF2B5EF4-FFF2-40B4-BE49-F238E27FC236}">
              <a16:creationId xmlns:a16="http://schemas.microsoft.com/office/drawing/2014/main" id="{17B2151D-0E09-F549-A7EE-4F185650E71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38100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178</xdr:row>
      <xdr:rowOff>0</xdr:rowOff>
    </xdr:from>
    <xdr:ext cx="304800" cy="279400"/>
    <xdr:sp macro="" textlink="">
      <xdr:nvSpPr>
        <xdr:cNvPr id="334" name="AutoShape 2530" descr="alert toggle">
          <a:extLst>
            <a:ext uri="{FF2B5EF4-FFF2-40B4-BE49-F238E27FC236}">
              <a16:creationId xmlns:a16="http://schemas.microsoft.com/office/drawing/2014/main" id="{49FD5BA7-DB2D-4A4E-AEC2-8910E8956D2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38100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188</xdr:row>
      <xdr:rowOff>0</xdr:rowOff>
    </xdr:from>
    <xdr:ext cx="304800" cy="279400"/>
    <xdr:sp macro="" textlink="">
      <xdr:nvSpPr>
        <xdr:cNvPr id="335" name="AutoShape 2533" descr="note-add">
          <a:extLst>
            <a:ext uri="{FF2B5EF4-FFF2-40B4-BE49-F238E27FC236}">
              <a16:creationId xmlns:a16="http://schemas.microsoft.com/office/drawing/2014/main" id="{DC560961-666A-444C-ADF5-D63AE115A9AB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018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188</xdr:row>
      <xdr:rowOff>0</xdr:rowOff>
    </xdr:from>
    <xdr:ext cx="304800" cy="279400"/>
    <xdr:sp macro="" textlink="">
      <xdr:nvSpPr>
        <xdr:cNvPr id="336" name="AutoShape 2534" descr="alert toggle">
          <a:extLst>
            <a:ext uri="{FF2B5EF4-FFF2-40B4-BE49-F238E27FC236}">
              <a16:creationId xmlns:a16="http://schemas.microsoft.com/office/drawing/2014/main" id="{7D17BB2C-BFCA-334B-B857-67608FA38D7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018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206</xdr:row>
      <xdr:rowOff>0</xdr:rowOff>
    </xdr:from>
    <xdr:ext cx="304800" cy="279400"/>
    <xdr:sp macro="" textlink="">
      <xdr:nvSpPr>
        <xdr:cNvPr id="337" name="AutoShape 2537" descr="note-add">
          <a:extLst>
            <a:ext uri="{FF2B5EF4-FFF2-40B4-BE49-F238E27FC236}">
              <a16:creationId xmlns:a16="http://schemas.microsoft.com/office/drawing/2014/main" id="{6B98118F-EDA9-D045-9AFA-99F344B3B48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4403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206</xdr:row>
      <xdr:rowOff>0</xdr:rowOff>
    </xdr:from>
    <xdr:ext cx="304800" cy="279400"/>
    <xdr:sp macro="" textlink="">
      <xdr:nvSpPr>
        <xdr:cNvPr id="338" name="AutoShape 2538" descr="alert toggle">
          <a:extLst>
            <a:ext uri="{FF2B5EF4-FFF2-40B4-BE49-F238E27FC236}">
              <a16:creationId xmlns:a16="http://schemas.microsoft.com/office/drawing/2014/main" id="{4E01E2EC-1003-B348-9D06-6A1A85EC052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4403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257</xdr:row>
      <xdr:rowOff>0</xdr:rowOff>
    </xdr:from>
    <xdr:ext cx="304800" cy="279400"/>
    <xdr:sp macro="" textlink="">
      <xdr:nvSpPr>
        <xdr:cNvPr id="339" name="AutoShape 2541" descr="note-add">
          <a:extLst>
            <a:ext uri="{FF2B5EF4-FFF2-40B4-BE49-F238E27FC236}">
              <a16:creationId xmlns:a16="http://schemas.microsoft.com/office/drawing/2014/main" id="{155104A0-9DB8-024E-8D64-0584704729EF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490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257</xdr:row>
      <xdr:rowOff>0</xdr:rowOff>
    </xdr:from>
    <xdr:ext cx="304800" cy="279400"/>
    <xdr:sp macro="" textlink="">
      <xdr:nvSpPr>
        <xdr:cNvPr id="340" name="AutoShape 2542" descr="alert toggle">
          <a:extLst>
            <a:ext uri="{FF2B5EF4-FFF2-40B4-BE49-F238E27FC236}">
              <a16:creationId xmlns:a16="http://schemas.microsoft.com/office/drawing/2014/main" id="{B5232A33-261A-1D46-8BFA-B5CCC7C05C63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490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257</xdr:row>
      <xdr:rowOff>0</xdr:rowOff>
    </xdr:from>
    <xdr:ext cx="304800" cy="279400"/>
    <xdr:sp macro="" textlink="">
      <xdr:nvSpPr>
        <xdr:cNvPr id="341" name="AutoShape 2545" descr="note-add">
          <a:extLst>
            <a:ext uri="{FF2B5EF4-FFF2-40B4-BE49-F238E27FC236}">
              <a16:creationId xmlns:a16="http://schemas.microsoft.com/office/drawing/2014/main" id="{FFDE2CDF-E45D-CE4A-AA75-D684B92ADD5D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5490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257</xdr:row>
      <xdr:rowOff>0</xdr:rowOff>
    </xdr:from>
    <xdr:ext cx="304800" cy="279400"/>
    <xdr:sp macro="" textlink="">
      <xdr:nvSpPr>
        <xdr:cNvPr id="342" name="AutoShape 2546" descr="alert toggle">
          <a:extLst>
            <a:ext uri="{FF2B5EF4-FFF2-40B4-BE49-F238E27FC236}">
              <a16:creationId xmlns:a16="http://schemas.microsoft.com/office/drawing/2014/main" id="{31E4AB61-0796-B440-A909-F0DCB58785BA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5490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315</xdr:row>
      <xdr:rowOff>0</xdr:rowOff>
    </xdr:from>
    <xdr:ext cx="304800" cy="279400"/>
    <xdr:sp macro="" textlink="">
      <xdr:nvSpPr>
        <xdr:cNvPr id="343" name="AutoShape 2549" descr="note-add">
          <a:extLst>
            <a:ext uri="{FF2B5EF4-FFF2-40B4-BE49-F238E27FC236}">
              <a16:creationId xmlns:a16="http://schemas.microsoft.com/office/drawing/2014/main" id="{330D794E-13AF-2449-941E-BAA3363A593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744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315</xdr:row>
      <xdr:rowOff>0</xdr:rowOff>
    </xdr:from>
    <xdr:ext cx="304800" cy="279400"/>
    <xdr:sp macro="" textlink="">
      <xdr:nvSpPr>
        <xdr:cNvPr id="344" name="AutoShape 2550" descr="alert toggle">
          <a:extLst>
            <a:ext uri="{FF2B5EF4-FFF2-40B4-BE49-F238E27FC236}">
              <a16:creationId xmlns:a16="http://schemas.microsoft.com/office/drawing/2014/main" id="{3000EC2A-AA65-234F-9BC8-F11794C7BC34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744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321</xdr:row>
      <xdr:rowOff>0</xdr:rowOff>
    </xdr:from>
    <xdr:ext cx="304800" cy="279400"/>
    <xdr:sp macro="" textlink="">
      <xdr:nvSpPr>
        <xdr:cNvPr id="345" name="AutoShape 2553" descr="note-add">
          <a:extLst>
            <a:ext uri="{FF2B5EF4-FFF2-40B4-BE49-F238E27FC236}">
              <a16:creationId xmlns:a16="http://schemas.microsoft.com/office/drawing/2014/main" id="{DEB80A13-7B03-B846-AD9C-47C80572F6F8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877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321</xdr:row>
      <xdr:rowOff>0</xdr:rowOff>
    </xdr:from>
    <xdr:ext cx="304800" cy="279400"/>
    <xdr:sp macro="" textlink="">
      <xdr:nvSpPr>
        <xdr:cNvPr id="346" name="AutoShape 2554" descr="alert toggle">
          <a:extLst>
            <a:ext uri="{FF2B5EF4-FFF2-40B4-BE49-F238E27FC236}">
              <a16:creationId xmlns:a16="http://schemas.microsoft.com/office/drawing/2014/main" id="{E87025D3-46D3-5A4B-A2EB-8B01EAB62F00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877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326</xdr:row>
      <xdr:rowOff>0</xdr:rowOff>
    </xdr:from>
    <xdr:ext cx="304800" cy="279400"/>
    <xdr:sp macro="" textlink="">
      <xdr:nvSpPr>
        <xdr:cNvPr id="347" name="AutoShape 2557" descr="note-add">
          <a:extLst>
            <a:ext uri="{FF2B5EF4-FFF2-40B4-BE49-F238E27FC236}">
              <a16:creationId xmlns:a16="http://schemas.microsoft.com/office/drawing/2014/main" id="{85DD9872-C2F4-F84C-93AD-C5FCCE956797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698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326</xdr:row>
      <xdr:rowOff>0</xdr:rowOff>
    </xdr:from>
    <xdr:ext cx="304800" cy="279400"/>
    <xdr:sp macro="" textlink="">
      <xdr:nvSpPr>
        <xdr:cNvPr id="348" name="AutoShape 2558" descr="alert toggle">
          <a:extLst>
            <a:ext uri="{FF2B5EF4-FFF2-40B4-BE49-F238E27FC236}">
              <a16:creationId xmlns:a16="http://schemas.microsoft.com/office/drawing/2014/main" id="{1C75010B-147E-7F49-96FA-63DD49CD2C1F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698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355</xdr:row>
      <xdr:rowOff>0</xdr:rowOff>
    </xdr:from>
    <xdr:ext cx="304800" cy="292101"/>
    <xdr:sp macro="" textlink="">
      <xdr:nvSpPr>
        <xdr:cNvPr id="349" name="AutoShape 2561" descr="note-add">
          <a:extLst>
            <a:ext uri="{FF2B5EF4-FFF2-40B4-BE49-F238E27FC236}">
              <a16:creationId xmlns:a16="http://schemas.microsoft.com/office/drawing/2014/main" id="{CF54D816-34EE-364E-8386-D6C9E67DF329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58444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355</xdr:row>
      <xdr:rowOff>0</xdr:rowOff>
    </xdr:from>
    <xdr:ext cx="304800" cy="292101"/>
    <xdr:sp macro="" textlink="">
      <xdr:nvSpPr>
        <xdr:cNvPr id="350" name="AutoShape 2562" descr="alert toggle">
          <a:extLst>
            <a:ext uri="{FF2B5EF4-FFF2-40B4-BE49-F238E27FC236}">
              <a16:creationId xmlns:a16="http://schemas.microsoft.com/office/drawing/2014/main" id="{2275CAC7-EB04-0945-BBCE-A4DF51A055FE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58444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375</xdr:row>
      <xdr:rowOff>0</xdr:rowOff>
    </xdr:from>
    <xdr:ext cx="304800" cy="292101"/>
    <xdr:sp macro="" textlink="">
      <xdr:nvSpPr>
        <xdr:cNvPr id="351" name="AutoShape 2565" descr="note-add">
          <a:extLst>
            <a:ext uri="{FF2B5EF4-FFF2-40B4-BE49-F238E27FC236}">
              <a16:creationId xmlns:a16="http://schemas.microsoft.com/office/drawing/2014/main" id="{918B4E12-3B1A-4148-94B4-DF469B55EB14}"/>
            </a:ext>
          </a:extLst>
        </xdr:cNvPr>
        <xdr:cNvSpPr>
          <a:spLocks noChangeAspect="1" noChangeArrowheads="1"/>
        </xdr:cNvSpPr>
      </xdr:nvSpPr>
      <xdr:spPr bwMode="auto">
        <a:xfrm>
          <a:off x="30759400" y="79921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375</xdr:row>
      <xdr:rowOff>0</xdr:rowOff>
    </xdr:from>
    <xdr:ext cx="304800" cy="292101"/>
    <xdr:sp macro="" textlink="">
      <xdr:nvSpPr>
        <xdr:cNvPr id="352" name="AutoShape 2566" descr="alert toggle">
          <a:extLst>
            <a:ext uri="{FF2B5EF4-FFF2-40B4-BE49-F238E27FC236}">
              <a16:creationId xmlns:a16="http://schemas.microsoft.com/office/drawing/2014/main" id="{A48490FD-6131-3844-BC5C-300390404D97}"/>
            </a:ext>
          </a:extLst>
        </xdr:cNvPr>
        <xdr:cNvSpPr>
          <a:spLocks noChangeAspect="1" noChangeArrowheads="1"/>
        </xdr:cNvSpPr>
      </xdr:nvSpPr>
      <xdr:spPr bwMode="auto">
        <a:xfrm>
          <a:off x="31076900" y="79921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</xdr:row>
      <xdr:rowOff>0</xdr:rowOff>
    </xdr:from>
    <xdr:ext cx="304800" cy="279400"/>
    <xdr:sp macro="" textlink="">
      <xdr:nvSpPr>
        <xdr:cNvPr id="353" name="AutoShape 3101" descr="note-add">
          <a:extLst>
            <a:ext uri="{FF2B5EF4-FFF2-40B4-BE49-F238E27FC236}">
              <a16:creationId xmlns:a16="http://schemas.microsoft.com/office/drawing/2014/main" id="{F7C26B9D-DF38-A145-83A2-53670FAF7C96}"/>
            </a:ext>
          </a:extLst>
        </xdr:cNvPr>
        <xdr:cNvSpPr>
          <a:spLocks noChangeAspect="1" noChangeArrowheads="1"/>
        </xdr:cNvSpPr>
      </xdr:nvSpPr>
      <xdr:spPr bwMode="auto">
        <a:xfrm>
          <a:off x="45821600" y="50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2</xdr:row>
      <xdr:rowOff>0</xdr:rowOff>
    </xdr:from>
    <xdr:ext cx="304800" cy="279400"/>
    <xdr:sp macro="" textlink="">
      <xdr:nvSpPr>
        <xdr:cNvPr id="354" name="AutoShape 3102" descr="alert toggle">
          <a:extLst>
            <a:ext uri="{FF2B5EF4-FFF2-40B4-BE49-F238E27FC236}">
              <a16:creationId xmlns:a16="http://schemas.microsoft.com/office/drawing/2014/main" id="{922024BF-7578-6B41-910F-0831FE8697BA}"/>
            </a:ext>
          </a:extLst>
        </xdr:cNvPr>
        <xdr:cNvSpPr>
          <a:spLocks noChangeAspect="1" noChangeArrowheads="1"/>
        </xdr:cNvSpPr>
      </xdr:nvSpPr>
      <xdr:spPr bwMode="auto">
        <a:xfrm>
          <a:off x="46139100" y="50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128</xdr:row>
      <xdr:rowOff>0</xdr:rowOff>
    </xdr:from>
    <xdr:ext cx="304800" cy="279400"/>
    <xdr:sp macro="" textlink="">
      <xdr:nvSpPr>
        <xdr:cNvPr id="355" name="AutoShape 3278" descr="note-add">
          <a:extLst>
            <a:ext uri="{FF2B5EF4-FFF2-40B4-BE49-F238E27FC236}">
              <a16:creationId xmlns:a16="http://schemas.microsoft.com/office/drawing/2014/main" id="{844B28CE-DCD7-EB49-855C-DF473AA64FD7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2736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128</xdr:row>
      <xdr:rowOff>0</xdr:rowOff>
    </xdr:from>
    <xdr:ext cx="304800" cy="279400"/>
    <xdr:sp macro="" textlink="">
      <xdr:nvSpPr>
        <xdr:cNvPr id="356" name="AutoShape 3279" descr="alert toggle">
          <a:extLst>
            <a:ext uri="{FF2B5EF4-FFF2-40B4-BE49-F238E27FC236}">
              <a16:creationId xmlns:a16="http://schemas.microsoft.com/office/drawing/2014/main" id="{3CE7A9F5-45F3-B742-85D0-59F77A311FF7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2736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159</xdr:row>
      <xdr:rowOff>0</xdr:rowOff>
    </xdr:from>
    <xdr:ext cx="304800" cy="279400"/>
    <xdr:sp macro="" textlink="">
      <xdr:nvSpPr>
        <xdr:cNvPr id="357" name="AutoShape 3282" descr="note-add">
          <a:extLst>
            <a:ext uri="{FF2B5EF4-FFF2-40B4-BE49-F238E27FC236}">
              <a16:creationId xmlns:a16="http://schemas.microsoft.com/office/drawing/2014/main" id="{39108CED-BDEE-CD4B-A5C4-868CA2D42239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3407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159</xdr:row>
      <xdr:rowOff>0</xdr:rowOff>
    </xdr:from>
    <xdr:ext cx="304800" cy="279400"/>
    <xdr:sp macro="" textlink="">
      <xdr:nvSpPr>
        <xdr:cNvPr id="358" name="AutoShape 3286" descr="note-add">
          <a:extLst>
            <a:ext uri="{FF2B5EF4-FFF2-40B4-BE49-F238E27FC236}">
              <a16:creationId xmlns:a16="http://schemas.microsoft.com/office/drawing/2014/main" id="{0A6A7A82-DAC9-8C4E-9EC0-206482A561AF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3407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159</xdr:row>
      <xdr:rowOff>0</xdr:rowOff>
    </xdr:from>
    <xdr:ext cx="304800" cy="279400"/>
    <xdr:sp macro="" textlink="">
      <xdr:nvSpPr>
        <xdr:cNvPr id="359" name="AutoShape 3287" descr="alert toggle">
          <a:extLst>
            <a:ext uri="{FF2B5EF4-FFF2-40B4-BE49-F238E27FC236}">
              <a16:creationId xmlns:a16="http://schemas.microsoft.com/office/drawing/2014/main" id="{267B4D53-E7E0-9344-9D70-B524DD7B0AEA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3407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179</xdr:row>
      <xdr:rowOff>0</xdr:rowOff>
    </xdr:from>
    <xdr:ext cx="304800" cy="279400"/>
    <xdr:sp macro="" textlink="">
      <xdr:nvSpPr>
        <xdr:cNvPr id="360" name="AutoShape 3290" descr="note-add">
          <a:extLst>
            <a:ext uri="{FF2B5EF4-FFF2-40B4-BE49-F238E27FC236}">
              <a16:creationId xmlns:a16="http://schemas.microsoft.com/office/drawing/2014/main" id="{C83BC2EB-3A5A-A740-A653-DD1B786ADEF2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38303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179</xdr:row>
      <xdr:rowOff>0</xdr:rowOff>
    </xdr:from>
    <xdr:ext cx="304800" cy="279400"/>
    <xdr:sp macro="" textlink="">
      <xdr:nvSpPr>
        <xdr:cNvPr id="361" name="AutoShape 3291" descr="alert toggle">
          <a:extLst>
            <a:ext uri="{FF2B5EF4-FFF2-40B4-BE49-F238E27FC236}">
              <a16:creationId xmlns:a16="http://schemas.microsoft.com/office/drawing/2014/main" id="{A4DEFC2E-E997-FC46-B51A-80D518BD8F95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38303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189</xdr:row>
      <xdr:rowOff>0</xdr:rowOff>
    </xdr:from>
    <xdr:ext cx="304800" cy="279400"/>
    <xdr:sp macro="" textlink="">
      <xdr:nvSpPr>
        <xdr:cNvPr id="362" name="AutoShape 3294" descr="note-add">
          <a:extLst>
            <a:ext uri="{FF2B5EF4-FFF2-40B4-BE49-F238E27FC236}">
              <a16:creationId xmlns:a16="http://schemas.microsoft.com/office/drawing/2014/main" id="{E8F7AF78-8DE6-FF40-95F3-837C3D4E2995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038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189</xdr:row>
      <xdr:rowOff>0</xdr:rowOff>
    </xdr:from>
    <xdr:ext cx="304800" cy="279400"/>
    <xdr:sp macro="" textlink="">
      <xdr:nvSpPr>
        <xdr:cNvPr id="363" name="AutoShape 3295" descr="alert toggle">
          <a:extLst>
            <a:ext uri="{FF2B5EF4-FFF2-40B4-BE49-F238E27FC236}">
              <a16:creationId xmlns:a16="http://schemas.microsoft.com/office/drawing/2014/main" id="{87BD7511-0E02-8B45-8EB4-74AF834BDD39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4038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207</xdr:row>
      <xdr:rowOff>0</xdr:rowOff>
    </xdr:from>
    <xdr:ext cx="304800" cy="279400"/>
    <xdr:sp macro="" textlink="">
      <xdr:nvSpPr>
        <xdr:cNvPr id="364" name="AutoShape 3298" descr="note-add">
          <a:extLst>
            <a:ext uri="{FF2B5EF4-FFF2-40B4-BE49-F238E27FC236}">
              <a16:creationId xmlns:a16="http://schemas.microsoft.com/office/drawing/2014/main" id="{169ABD49-8F48-DA41-9504-9DC4F447A421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44246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207</xdr:row>
      <xdr:rowOff>0</xdr:rowOff>
    </xdr:from>
    <xdr:ext cx="304800" cy="279400"/>
    <xdr:sp macro="" textlink="">
      <xdr:nvSpPr>
        <xdr:cNvPr id="365" name="AutoShape 3299" descr="alert toggle">
          <a:extLst>
            <a:ext uri="{FF2B5EF4-FFF2-40B4-BE49-F238E27FC236}">
              <a16:creationId xmlns:a16="http://schemas.microsoft.com/office/drawing/2014/main" id="{00976A19-8174-FA4F-8573-F8234D16F3F7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44246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258</xdr:row>
      <xdr:rowOff>0</xdr:rowOff>
    </xdr:from>
    <xdr:ext cx="304800" cy="279400"/>
    <xdr:sp macro="" textlink="">
      <xdr:nvSpPr>
        <xdr:cNvPr id="366" name="AutoShape 3302" descr="note-add">
          <a:extLst>
            <a:ext uri="{FF2B5EF4-FFF2-40B4-BE49-F238E27FC236}">
              <a16:creationId xmlns:a16="http://schemas.microsoft.com/office/drawing/2014/main" id="{6F0EDA18-C277-FB43-8631-BE15ED0F2022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5510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258</xdr:row>
      <xdr:rowOff>0</xdr:rowOff>
    </xdr:from>
    <xdr:ext cx="304800" cy="279400"/>
    <xdr:sp macro="" textlink="">
      <xdr:nvSpPr>
        <xdr:cNvPr id="367" name="AutoShape 3303" descr="alert toggle">
          <a:extLst>
            <a:ext uri="{FF2B5EF4-FFF2-40B4-BE49-F238E27FC236}">
              <a16:creationId xmlns:a16="http://schemas.microsoft.com/office/drawing/2014/main" id="{557BE3C5-BCD2-9C4E-BB0E-02D123DE4563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5510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316</xdr:row>
      <xdr:rowOff>0</xdr:rowOff>
    </xdr:from>
    <xdr:ext cx="304800" cy="279400"/>
    <xdr:sp macro="" textlink="">
      <xdr:nvSpPr>
        <xdr:cNvPr id="368" name="AutoShape 3306" descr="note-add">
          <a:extLst>
            <a:ext uri="{FF2B5EF4-FFF2-40B4-BE49-F238E27FC236}">
              <a16:creationId xmlns:a16="http://schemas.microsoft.com/office/drawing/2014/main" id="{F799D52B-A1D0-2E4D-AE8E-C40FE3DFCC55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7678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316</xdr:row>
      <xdr:rowOff>0</xdr:rowOff>
    </xdr:from>
    <xdr:ext cx="304800" cy="279400"/>
    <xdr:sp macro="" textlink="">
      <xdr:nvSpPr>
        <xdr:cNvPr id="369" name="AutoShape 3307" descr="alert toggle">
          <a:extLst>
            <a:ext uri="{FF2B5EF4-FFF2-40B4-BE49-F238E27FC236}">
              <a16:creationId xmlns:a16="http://schemas.microsoft.com/office/drawing/2014/main" id="{A0209C36-8E28-8D44-BB83-79065C33221C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7678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316</xdr:row>
      <xdr:rowOff>0</xdr:rowOff>
    </xdr:from>
    <xdr:ext cx="304800" cy="279400"/>
    <xdr:sp macro="" textlink="">
      <xdr:nvSpPr>
        <xdr:cNvPr id="370" name="AutoShape 3310" descr="note-add">
          <a:extLst>
            <a:ext uri="{FF2B5EF4-FFF2-40B4-BE49-F238E27FC236}">
              <a16:creationId xmlns:a16="http://schemas.microsoft.com/office/drawing/2014/main" id="{03B3FBB8-ECF6-9347-A355-1CB15667F7C4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7678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316</xdr:row>
      <xdr:rowOff>0</xdr:rowOff>
    </xdr:from>
    <xdr:ext cx="304800" cy="279400"/>
    <xdr:sp macro="" textlink="">
      <xdr:nvSpPr>
        <xdr:cNvPr id="371" name="AutoShape 3311" descr="alert toggle">
          <a:extLst>
            <a:ext uri="{FF2B5EF4-FFF2-40B4-BE49-F238E27FC236}">
              <a16:creationId xmlns:a16="http://schemas.microsoft.com/office/drawing/2014/main" id="{98DC3E49-DC40-2344-B1EB-397F1AB59782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7678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322</xdr:row>
      <xdr:rowOff>0</xdr:rowOff>
    </xdr:from>
    <xdr:ext cx="304800" cy="279400"/>
    <xdr:sp macro="" textlink="">
      <xdr:nvSpPr>
        <xdr:cNvPr id="372" name="AutoShape 3314" descr="note-add">
          <a:extLst>
            <a:ext uri="{FF2B5EF4-FFF2-40B4-BE49-F238E27FC236}">
              <a16:creationId xmlns:a16="http://schemas.microsoft.com/office/drawing/2014/main" id="{999C9107-E698-B841-B47D-E1B3D8E3B656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897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322</xdr:row>
      <xdr:rowOff>0</xdr:rowOff>
    </xdr:from>
    <xdr:ext cx="304800" cy="279400"/>
    <xdr:sp macro="" textlink="">
      <xdr:nvSpPr>
        <xdr:cNvPr id="373" name="AutoShape 3315" descr="alert toggle">
          <a:extLst>
            <a:ext uri="{FF2B5EF4-FFF2-40B4-BE49-F238E27FC236}">
              <a16:creationId xmlns:a16="http://schemas.microsoft.com/office/drawing/2014/main" id="{55A6D33F-671C-9348-97D4-C2F4B3987769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897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74" name="AutoShape 3318" descr="note-add">
          <a:extLst>
            <a:ext uri="{FF2B5EF4-FFF2-40B4-BE49-F238E27FC236}">
              <a16:creationId xmlns:a16="http://schemas.microsoft.com/office/drawing/2014/main" id="{257928B8-7A99-9743-B4F5-573148A4A6FE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75" name="AutoShape 3319" descr="alert toggle">
          <a:extLst>
            <a:ext uri="{FF2B5EF4-FFF2-40B4-BE49-F238E27FC236}">
              <a16:creationId xmlns:a16="http://schemas.microsoft.com/office/drawing/2014/main" id="{ABA1D12F-ED13-984B-850B-E4FDF1FE4EBB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76" name="AutoShape 3322" descr="note-add">
          <a:extLst>
            <a:ext uri="{FF2B5EF4-FFF2-40B4-BE49-F238E27FC236}">
              <a16:creationId xmlns:a16="http://schemas.microsoft.com/office/drawing/2014/main" id="{A46E445F-619E-5B49-B59E-337E34733FD6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77" name="AutoShape 3323" descr="alert toggle">
          <a:extLst>
            <a:ext uri="{FF2B5EF4-FFF2-40B4-BE49-F238E27FC236}">
              <a16:creationId xmlns:a16="http://schemas.microsoft.com/office/drawing/2014/main" id="{2853BF09-288B-FC49-AE0B-07E366D09070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96</xdr:row>
      <xdr:rowOff>0</xdr:rowOff>
    </xdr:from>
    <xdr:ext cx="304800" cy="279400"/>
    <xdr:sp macro="" textlink="">
      <xdr:nvSpPr>
        <xdr:cNvPr id="378" name="AutoShape 3326" descr="note-add">
          <a:extLst>
            <a:ext uri="{FF2B5EF4-FFF2-40B4-BE49-F238E27FC236}">
              <a16:creationId xmlns:a16="http://schemas.microsoft.com/office/drawing/2014/main" id="{65DF153B-95CA-CE4D-8AA1-77E819D41965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20561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79" name="AutoShape 3330" descr="note-add">
          <a:extLst>
            <a:ext uri="{FF2B5EF4-FFF2-40B4-BE49-F238E27FC236}">
              <a16:creationId xmlns:a16="http://schemas.microsoft.com/office/drawing/2014/main" id="{EE0053D9-4610-DF47-9F5A-0CE55C79996A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80" name="AutoShape 3331" descr="alert toggle">
          <a:extLst>
            <a:ext uri="{FF2B5EF4-FFF2-40B4-BE49-F238E27FC236}">
              <a16:creationId xmlns:a16="http://schemas.microsoft.com/office/drawing/2014/main" id="{447CA986-D443-F647-95E6-B1CA5C61D28D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356</xdr:row>
      <xdr:rowOff>0</xdr:rowOff>
    </xdr:from>
    <xdr:ext cx="304800" cy="279400"/>
    <xdr:sp macro="" textlink="">
      <xdr:nvSpPr>
        <xdr:cNvPr id="381" name="AutoShape 3334" descr="note-add">
          <a:extLst>
            <a:ext uri="{FF2B5EF4-FFF2-40B4-BE49-F238E27FC236}">
              <a16:creationId xmlns:a16="http://schemas.microsoft.com/office/drawing/2014/main" id="{18F4720C-A960-0448-84BF-50D092C666BC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356</xdr:row>
      <xdr:rowOff>0</xdr:rowOff>
    </xdr:from>
    <xdr:ext cx="304800" cy="279400"/>
    <xdr:sp macro="" textlink="">
      <xdr:nvSpPr>
        <xdr:cNvPr id="382" name="AutoShape 3335" descr="alert toggle">
          <a:extLst>
            <a:ext uri="{FF2B5EF4-FFF2-40B4-BE49-F238E27FC236}">
              <a16:creationId xmlns:a16="http://schemas.microsoft.com/office/drawing/2014/main" id="{B901F371-3E41-404D-8388-8A75C7B2D9A7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76047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</xdr:row>
      <xdr:rowOff>0</xdr:rowOff>
    </xdr:from>
    <xdr:ext cx="304800" cy="279400"/>
    <xdr:sp macro="" textlink="">
      <xdr:nvSpPr>
        <xdr:cNvPr id="383" name="AutoShape 3852" descr="note-add">
          <a:extLst>
            <a:ext uri="{FF2B5EF4-FFF2-40B4-BE49-F238E27FC236}">
              <a16:creationId xmlns:a16="http://schemas.microsoft.com/office/drawing/2014/main" id="{AE03C23E-CA98-7648-A8B3-CFF4B971E7F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4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</xdr:row>
      <xdr:rowOff>0</xdr:rowOff>
    </xdr:from>
    <xdr:ext cx="304800" cy="279400"/>
    <xdr:sp macro="" textlink="">
      <xdr:nvSpPr>
        <xdr:cNvPr id="384" name="AutoShape 3853" descr="alert toggle">
          <a:extLst>
            <a:ext uri="{FF2B5EF4-FFF2-40B4-BE49-F238E27FC236}">
              <a16:creationId xmlns:a16="http://schemas.microsoft.com/office/drawing/2014/main" id="{BB35ACFB-7DA8-2546-A438-BE627D3DF75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43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279400"/>
    <xdr:sp macro="" textlink="">
      <xdr:nvSpPr>
        <xdr:cNvPr id="385" name="AutoShape 3856" descr="note-add">
          <a:extLst>
            <a:ext uri="{FF2B5EF4-FFF2-40B4-BE49-F238E27FC236}">
              <a16:creationId xmlns:a16="http://schemas.microsoft.com/office/drawing/2014/main" id="{9542A21A-61A0-694C-A513-E3412869F07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32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53</xdr:row>
      <xdr:rowOff>0</xdr:rowOff>
    </xdr:from>
    <xdr:ext cx="304800" cy="279400"/>
    <xdr:sp macro="" textlink="">
      <xdr:nvSpPr>
        <xdr:cNvPr id="386" name="AutoShape 3857" descr="alert toggle">
          <a:extLst>
            <a:ext uri="{FF2B5EF4-FFF2-40B4-BE49-F238E27FC236}">
              <a16:creationId xmlns:a16="http://schemas.microsoft.com/office/drawing/2014/main" id="{8A99714E-D599-A440-97A4-E887ED1D0F27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32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129</xdr:row>
      <xdr:rowOff>0</xdr:rowOff>
    </xdr:from>
    <xdr:ext cx="304800" cy="279400"/>
    <xdr:sp macro="" textlink="">
      <xdr:nvSpPr>
        <xdr:cNvPr id="387" name="AutoShape 3860" descr="note-add">
          <a:extLst>
            <a:ext uri="{FF2B5EF4-FFF2-40B4-BE49-F238E27FC236}">
              <a16:creationId xmlns:a16="http://schemas.microsoft.com/office/drawing/2014/main" id="{9CDE9C2E-0901-AA40-8463-BBC7E5AFA7A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27584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129</xdr:row>
      <xdr:rowOff>0</xdr:rowOff>
    </xdr:from>
    <xdr:ext cx="304800" cy="279400"/>
    <xdr:sp macro="" textlink="">
      <xdr:nvSpPr>
        <xdr:cNvPr id="388" name="AutoShape 3861" descr="alert toggle">
          <a:extLst>
            <a:ext uri="{FF2B5EF4-FFF2-40B4-BE49-F238E27FC236}">
              <a16:creationId xmlns:a16="http://schemas.microsoft.com/office/drawing/2014/main" id="{DB88F27D-A1DD-494D-9710-D146CDEDD53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27584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150</xdr:row>
      <xdr:rowOff>0</xdr:rowOff>
    </xdr:from>
    <xdr:ext cx="304800" cy="279400"/>
    <xdr:sp macro="" textlink="">
      <xdr:nvSpPr>
        <xdr:cNvPr id="389" name="AutoShape 3864" descr="note-add">
          <a:extLst>
            <a:ext uri="{FF2B5EF4-FFF2-40B4-BE49-F238E27FC236}">
              <a16:creationId xmlns:a16="http://schemas.microsoft.com/office/drawing/2014/main" id="{29AD38E1-6DC9-174B-BA3E-84E1B91C7ED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209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150</xdr:row>
      <xdr:rowOff>0</xdr:rowOff>
    </xdr:from>
    <xdr:ext cx="304800" cy="279400"/>
    <xdr:sp macro="" textlink="">
      <xdr:nvSpPr>
        <xdr:cNvPr id="390" name="AutoShape 3865" descr="alert toggle">
          <a:extLst>
            <a:ext uri="{FF2B5EF4-FFF2-40B4-BE49-F238E27FC236}">
              <a16:creationId xmlns:a16="http://schemas.microsoft.com/office/drawing/2014/main" id="{E09B5A93-2FFD-E040-86ED-2F5C5F54109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209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162</xdr:row>
      <xdr:rowOff>0</xdr:rowOff>
    </xdr:from>
    <xdr:ext cx="304800" cy="279400"/>
    <xdr:sp macro="" textlink="">
      <xdr:nvSpPr>
        <xdr:cNvPr id="391" name="AutoShape 3868" descr="note-add">
          <a:extLst>
            <a:ext uri="{FF2B5EF4-FFF2-40B4-BE49-F238E27FC236}">
              <a16:creationId xmlns:a16="http://schemas.microsoft.com/office/drawing/2014/main" id="{E2611F8F-609A-5641-A2D4-AC6C210AC79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47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162</xdr:row>
      <xdr:rowOff>0</xdr:rowOff>
    </xdr:from>
    <xdr:ext cx="304800" cy="279400"/>
    <xdr:sp macro="" textlink="">
      <xdr:nvSpPr>
        <xdr:cNvPr id="392" name="AutoShape 3869" descr="alert toggle">
          <a:extLst>
            <a:ext uri="{FF2B5EF4-FFF2-40B4-BE49-F238E27FC236}">
              <a16:creationId xmlns:a16="http://schemas.microsoft.com/office/drawing/2014/main" id="{B557F326-CBBE-5540-9E49-37CE9DD8B68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47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182</xdr:row>
      <xdr:rowOff>0</xdr:rowOff>
    </xdr:from>
    <xdr:ext cx="304800" cy="279400"/>
    <xdr:sp macro="" textlink="">
      <xdr:nvSpPr>
        <xdr:cNvPr id="393" name="AutoShape 3872" descr="note-add">
          <a:extLst>
            <a:ext uri="{FF2B5EF4-FFF2-40B4-BE49-F238E27FC236}">
              <a16:creationId xmlns:a16="http://schemas.microsoft.com/office/drawing/2014/main" id="{3071AF78-8641-3F49-9943-482F4D78259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891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182</xdr:row>
      <xdr:rowOff>0</xdr:rowOff>
    </xdr:from>
    <xdr:ext cx="304800" cy="279400"/>
    <xdr:sp macro="" textlink="">
      <xdr:nvSpPr>
        <xdr:cNvPr id="394" name="AutoShape 3873" descr="alert toggle">
          <a:extLst>
            <a:ext uri="{FF2B5EF4-FFF2-40B4-BE49-F238E27FC236}">
              <a16:creationId xmlns:a16="http://schemas.microsoft.com/office/drawing/2014/main" id="{B5C0A38A-F3B8-3C44-95F1-36DE70DF98B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8912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279400"/>
    <xdr:sp macro="" textlink="">
      <xdr:nvSpPr>
        <xdr:cNvPr id="395" name="AutoShape 3876" descr="note-add">
          <a:extLst>
            <a:ext uri="{FF2B5EF4-FFF2-40B4-BE49-F238E27FC236}">
              <a16:creationId xmlns:a16="http://schemas.microsoft.com/office/drawing/2014/main" id="{0992DAC3-A7F6-0147-8DA4-193F4B4191F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102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192</xdr:row>
      <xdr:rowOff>0</xdr:rowOff>
    </xdr:from>
    <xdr:ext cx="304800" cy="279400"/>
    <xdr:sp macro="" textlink="">
      <xdr:nvSpPr>
        <xdr:cNvPr id="396" name="AutoShape 3877" descr="alert toggle">
          <a:extLst>
            <a:ext uri="{FF2B5EF4-FFF2-40B4-BE49-F238E27FC236}">
              <a16:creationId xmlns:a16="http://schemas.microsoft.com/office/drawing/2014/main" id="{D340CA8B-86A5-E34E-AB43-DC6B5FB923E6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102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210</xdr:row>
      <xdr:rowOff>0</xdr:rowOff>
    </xdr:from>
    <xdr:ext cx="304800" cy="279400"/>
    <xdr:sp macro="" textlink="">
      <xdr:nvSpPr>
        <xdr:cNvPr id="397" name="AutoShape 3880" descr="note-add">
          <a:extLst>
            <a:ext uri="{FF2B5EF4-FFF2-40B4-BE49-F238E27FC236}">
              <a16:creationId xmlns:a16="http://schemas.microsoft.com/office/drawing/2014/main" id="{8826CADD-299A-7940-9FA7-4912D23B842B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4894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210</xdr:row>
      <xdr:rowOff>0</xdr:rowOff>
    </xdr:from>
    <xdr:ext cx="304800" cy="279400"/>
    <xdr:sp macro="" textlink="">
      <xdr:nvSpPr>
        <xdr:cNvPr id="398" name="AutoShape 3881" descr="alert toggle">
          <a:extLst>
            <a:ext uri="{FF2B5EF4-FFF2-40B4-BE49-F238E27FC236}">
              <a16:creationId xmlns:a16="http://schemas.microsoft.com/office/drawing/2014/main" id="{459263AD-EE0F-5843-9130-8136B4B53A7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4894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261</xdr:row>
      <xdr:rowOff>0</xdr:rowOff>
    </xdr:from>
    <xdr:ext cx="304800" cy="279400"/>
    <xdr:sp macro="" textlink="">
      <xdr:nvSpPr>
        <xdr:cNvPr id="399" name="AutoShape 3884" descr="note-add">
          <a:extLst>
            <a:ext uri="{FF2B5EF4-FFF2-40B4-BE49-F238E27FC236}">
              <a16:creationId xmlns:a16="http://schemas.microsoft.com/office/drawing/2014/main" id="{4B719520-C30E-E742-9199-373AAD0E1D31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571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261</xdr:row>
      <xdr:rowOff>0</xdr:rowOff>
    </xdr:from>
    <xdr:ext cx="304800" cy="279400"/>
    <xdr:sp macro="" textlink="">
      <xdr:nvSpPr>
        <xdr:cNvPr id="400" name="AutoShape 3885" descr="alert toggle">
          <a:extLst>
            <a:ext uri="{FF2B5EF4-FFF2-40B4-BE49-F238E27FC236}">
              <a16:creationId xmlns:a16="http://schemas.microsoft.com/office/drawing/2014/main" id="{A3315CAF-57A9-6043-B1C9-5E89490F30C6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571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320</xdr:row>
      <xdr:rowOff>0</xdr:rowOff>
    </xdr:from>
    <xdr:ext cx="304800" cy="279400"/>
    <xdr:sp macro="" textlink="">
      <xdr:nvSpPr>
        <xdr:cNvPr id="401" name="AutoShape 3888" descr="note-add">
          <a:extLst>
            <a:ext uri="{FF2B5EF4-FFF2-40B4-BE49-F238E27FC236}">
              <a16:creationId xmlns:a16="http://schemas.microsoft.com/office/drawing/2014/main" id="{3785D41A-2364-664F-A78B-EEC4BC85A14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855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320</xdr:row>
      <xdr:rowOff>0</xdr:rowOff>
    </xdr:from>
    <xdr:ext cx="304800" cy="279400"/>
    <xdr:sp macro="" textlink="">
      <xdr:nvSpPr>
        <xdr:cNvPr id="402" name="AutoShape 3889" descr="alert toggle">
          <a:extLst>
            <a:ext uri="{FF2B5EF4-FFF2-40B4-BE49-F238E27FC236}">
              <a16:creationId xmlns:a16="http://schemas.microsoft.com/office/drawing/2014/main" id="{C122077D-08CF-3E49-95DF-7003404EDF9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855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325</xdr:row>
      <xdr:rowOff>0</xdr:rowOff>
    </xdr:from>
    <xdr:ext cx="304800" cy="279400"/>
    <xdr:sp macro="" textlink="">
      <xdr:nvSpPr>
        <xdr:cNvPr id="403" name="AutoShape 3892" descr="note-add">
          <a:extLst>
            <a:ext uri="{FF2B5EF4-FFF2-40B4-BE49-F238E27FC236}">
              <a16:creationId xmlns:a16="http://schemas.microsoft.com/office/drawing/2014/main" id="{B4B19E58-BD43-EA40-9D3C-EB0028CE08FD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959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325</xdr:row>
      <xdr:rowOff>0</xdr:rowOff>
    </xdr:from>
    <xdr:ext cx="304800" cy="279400"/>
    <xdr:sp macro="" textlink="">
      <xdr:nvSpPr>
        <xdr:cNvPr id="404" name="AutoShape 3893" descr="alert toggle">
          <a:extLst>
            <a:ext uri="{FF2B5EF4-FFF2-40B4-BE49-F238E27FC236}">
              <a16:creationId xmlns:a16="http://schemas.microsoft.com/office/drawing/2014/main" id="{30E02660-E38B-424B-8FC0-47E89802024C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9596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342</xdr:row>
      <xdr:rowOff>0</xdr:rowOff>
    </xdr:from>
    <xdr:ext cx="304800" cy="279400"/>
    <xdr:sp macro="" textlink="">
      <xdr:nvSpPr>
        <xdr:cNvPr id="405" name="AutoShape 3896" descr="note-add">
          <a:extLst>
            <a:ext uri="{FF2B5EF4-FFF2-40B4-BE49-F238E27FC236}">
              <a16:creationId xmlns:a16="http://schemas.microsoft.com/office/drawing/2014/main" id="{83EEFA8A-A07F-DD41-9C3C-F824E1B6963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313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342</xdr:row>
      <xdr:rowOff>0</xdr:rowOff>
    </xdr:from>
    <xdr:ext cx="304800" cy="279400"/>
    <xdr:sp macro="" textlink="">
      <xdr:nvSpPr>
        <xdr:cNvPr id="406" name="AutoShape 3897" descr="alert toggle">
          <a:extLst>
            <a:ext uri="{FF2B5EF4-FFF2-40B4-BE49-F238E27FC236}">
              <a16:creationId xmlns:a16="http://schemas.microsoft.com/office/drawing/2014/main" id="{3B3A16D0-0F94-7949-AE66-59E94EAFFE75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313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359</xdr:row>
      <xdr:rowOff>0</xdr:rowOff>
    </xdr:from>
    <xdr:ext cx="304800" cy="279400"/>
    <xdr:sp macro="" textlink="">
      <xdr:nvSpPr>
        <xdr:cNvPr id="407" name="AutoShape 3900" descr="note-add">
          <a:extLst>
            <a:ext uri="{FF2B5EF4-FFF2-40B4-BE49-F238E27FC236}">
              <a16:creationId xmlns:a16="http://schemas.microsoft.com/office/drawing/2014/main" id="{B47AFE14-330E-F049-B969-5ACE3A4BE61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6657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379</xdr:row>
      <xdr:rowOff>0</xdr:rowOff>
    </xdr:from>
    <xdr:ext cx="304800" cy="279400"/>
    <xdr:sp macro="" textlink="">
      <xdr:nvSpPr>
        <xdr:cNvPr id="408" name="AutoShape 3904" descr="note-add">
          <a:extLst>
            <a:ext uri="{FF2B5EF4-FFF2-40B4-BE49-F238E27FC236}">
              <a16:creationId xmlns:a16="http://schemas.microsoft.com/office/drawing/2014/main" id="{659D8B57-923C-F348-BCC8-0609B4AB6E7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0784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304801"/>
    <xdr:sp macro="" textlink="">
      <xdr:nvSpPr>
        <xdr:cNvPr id="409" name="AutoShape 4473" descr="note-add">
          <a:extLst>
            <a:ext uri="{FF2B5EF4-FFF2-40B4-BE49-F238E27FC236}">
              <a16:creationId xmlns:a16="http://schemas.microsoft.com/office/drawing/2014/main" id="{40BC249A-CC59-524F-8214-A36CAF58C3A4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1154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54</xdr:row>
      <xdr:rowOff>0</xdr:rowOff>
    </xdr:from>
    <xdr:ext cx="304800" cy="304801"/>
    <xdr:sp macro="" textlink="">
      <xdr:nvSpPr>
        <xdr:cNvPr id="410" name="AutoShape 4474" descr="alert toggle">
          <a:extLst>
            <a:ext uri="{FF2B5EF4-FFF2-40B4-BE49-F238E27FC236}">
              <a16:creationId xmlns:a16="http://schemas.microsoft.com/office/drawing/2014/main" id="{AB1DA321-8D93-2C4B-BF6D-743BC42C6187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1154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331</xdr:row>
      <xdr:rowOff>0</xdr:rowOff>
    </xdr:from>
    <xdr:ext cx="304800" cy="304799"/>
    <xdr:sp macro="" textlink="">
      <xdr:nvSpPr>
        <xdr:cNvPr id="411" name="AutoShape 4477" descr="note-add">
          <a:extLst>
            <a:ext uri="{FF2B5EF4-FFF2-40B4-BE49-F238E27FC236}">
              <a16:creationId xmlns:a16="http://schemas.microsoft.com/office/drawing/2014/main" id="{799CFD03-9680-CE49-B1E1-403529AD9445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70853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331</xdr:row>
      <xdr:rowOff>0</xdr:rowOff>
    </xdr:from>
    <xdr:ext cx="304800" cy="304799"/>
    <xdr:sp macro="" textlink="">
      <xdr:nvSpPr>
        <xdr:cNvPr id="412" name="AutoShape 4478" descr="alert toggle">
          <a:extLst>
            <a:ext uri="{FF2B5EF4-FFF2-40B4-BE49-F238E27FC236}">
              <a16:creationId xmlns:a16="http://schemas.microsoft.com/office/drawing/2014/main" id="{5437DB4C-8F23-9F42-9533-F82330B36BD1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70853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380</xdr:row>
      <xdr:rowOff>0</xdr:rowOff>
    </xdr:from>
    <xdr:ext cx="304800" cy="304799"/>
    <xdr:sp macro="" textlink="">
      <xdr:nvSpPr>
        <xdr:cNvPr id="413" name="AutoShape 4481" descr="note-add">
          <a:extLst>
            <a:ext uri="{FF2B5EF4-FFF2-40B4-BE49-F238E27FC236}">
              <a16:creationId xmlns:a16="http://schemas.microsoft.com/office/drawing/2014/main" id="{9365A1CB-694C-9542-8CAF-EF25E9E30F48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81000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380</xdr:row>
      <xdr:rowOff>0</xdr:rowOff>
    </xdr:from>
    <xdr:ext cx="304800" cy="304799"/>
    <xdr:sp macro="" textlink="">
      <xdr:nvSpPr>
        <xdr:cNvPr id="414" name="AutoShape 4482" descr="alert toggle">
          <a:extLst>
            <a:ext uri="{FF2B5EF4-FFF2-40B4-BE49-F238E27FC236}">
              <a16:creationId xmlns:a16="http://schemas.microsoft.com/office/drawing/2014/main" id="{E2498EF9-F82C-7042-A228-D1CF571CC228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81000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305</xdr:row>
      <xdr:rowOff>0</xdr:rowOff>
    </xdr:from>
    <xdr:ext cx="304800" cy="304801"/>
    <xdr:sp macro="" textlink="">
      <xdr:nvSpPr>
        <xdr:cNvPr id="415" name="AutoShape 4485" descr="note-add">
          <a:extLst>
            <a:ext uri="{FF2B5EF4-FFF2-40B4-BE49-F238E27FC236}">
              <a16:creationId xmlns:a16="http://schemas.microsoft.com/office/drawing/2014/main" id="{8081C2B0-483A-0E4A-8667-1AF9D10D2BA0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516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305</xdr:row>
      <xdr:rowOff>0</xdr:rowOff>
    </xdr:from>
    <xdr:ext cx="304800" cy="304801"/>
    <xdr:sp macro="" textlink="">
      <xdr:nvSpPr>
        <xdr:cNvPr id="416" name="AutoShape 4486" descr="alert toggle">
          <a:extLst>
            <a:ext uri="{FF2B5EF4-FFF2-40B4-BE49-F238E27FC236}">
              <a16:creationId xmlns:a16="http://schemas.microsoft.com/office/drawing/2014/main" id="{4ED9E677-6C53-4742-8510-19740C90BECD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51637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305</xdr:row>
      <xdr:rowOff>0</xdr:rowOff>
    </xdr:from>
    <xdr:ext cx="304800" cy="304800"/>
    <xdr:sp macro="" textlink="">
      <xdr:nvSpPr>
        <xdr:cNvPr id="417" name="AutoShape 4489" descr="note-add">
          <a:extLst>
            <a:ext uri="{FF2B5EF4-FFF2-40B4-BE49-F238E27FC236}">
              <a16:creationId xmlns:a16="http://schemas.microsoft.com/office/drawing/2014/main" id="{20EAB112-D827-1D47-B296-67F6960AA7EB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51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305</xdr:row>
      <xdr:rowOff>0</xdr:rowOff>
    </xdr:from>
    <xdr:ext cx="304800" cy="304800"/>
    <xdr:sp macro="" textlink="">
      <xdr:nvSpPr>
        <xdr:cNvPr id="418" name="AutoShape 4490" descr="alert toggle">
          <a:extLst>
            <a:ext uri="{FF2B5EF4-FFF2-40B4-BE49-F238E27FC236}">
              <a16:creationId xmlns:a16="http://schemas.microsoft.com/office/drawing/2014/main" id="{43CF0F61-8CF5-B642-B94B-2E64DBB23A20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51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331</xdr:row>
      <xdr:rowOff>0</xdr:rowOff>
    </xdr:from>
    <xdr:ext cx="304800" cy="304800"/>
    <xdr:sp macro="" textlink="">
      <xdr:nvSpPr>
        <xdr:cNvPr id="419" name="AutoShape 4493" descr="note-add">
          <a:extLst>
            <a:ext uri="{FF2B5EF4-FFF2-40B4-BE49-F238E27FC236}">
              <a16:creationId xmlns:a16="http://schemas.microsoft.com/office/drawing/2014/main" id="{AE1C333D-8DC9-8A4B-85FB-0ABBC2BCEFE5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708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380</xdr:row>
      <xdr:rowOff>0</xdr:rowOff>
    </xdr:from>
    <xdr:ext cx="304800" cy="304799"/>
    <xdr:sp macro="" textlink="">
      <xdr:nvSpPr>
        <xdr:cNvPr id="420" name="AutoShape 4497" descr="note-add">
          <a:extLst>
            <a:ext uri="{FF2B5EF4-FFF2-40B4-BE49-F238E27FC236}">
              <a16:creationId xmlns:a16="http://schemas.microsoft.com/office/drawing/2014/main" id="{471F9FD8-AA25-3B4A-BD69-C0A80855DF26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81000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380</xdr:row>
      <xdr:rowOff>0</xdr:rowOff>
    </xdr:from>
    <xdr:ext cx="304800" cy="304799"/>
    <xdr:sp macro="" textlink="">
      <xdr:nvSpPr>
        <xdr:cNvPr id="421" name="AutoShape 4498" descr="alert toggle">
          <a:extLst>
            <a:ext uri="{FF2B5EF4-FFF2-40B4-BE49-F238E27FC236}">
              <a16:creationId xmlns:a16="http://schemas.microsoft.com/office/drawing/2014/main" id="{F6BA2FD5-826E-B143-A426-ABD7194581C5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810006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305</xdr:row>
      <xdr:rowOff>0</xdr:rowOff>
    </xdr:from>
    <xdr:ext cx="304800" cy="304800"/>
    <xdr:sp macro="" textlink="">
      <xdr:nvSpPr>
        <xdr:cNvPr id="422" name="AutoShape 4501" descr="note-add">
          <a:extLst>
            <a:ext uri="{FF2B5EF4-FFF2-40B4-BE49-F238E27FC236}">
              <a16:creationId xmlns:a16="http://schemas.microsoft.com/office/drawing/2014/main" id="{19A2155E-AFAA-B94B-B234-FA2A5141CF44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651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305</xdr:row>
      <xdr:rowOff>0</xdr:rowOff>
    </xdr:from>
    <xdr:ext cx="304800" cy="304800"/>
    <xdr:sp macro="" textlink="">
      <xdr:nvSpPr>
        <xdr:cNvPr id="423" name="AutoShape 4502" descr="alert toggle">
          <a:extLst>
            <a:ext uri="{FF2B5EF4-FFF2-40B4-BE49-F238E27FC236}">
              <a16:creationId xmlns:a16="http://schemas.microsoft.com/office/drawing/2014/main" id="{0989010E-1316-2A47-A480-A2D3B19ECD42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651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145</xdr:row>
      <xdr:rowOff>0</xdr:rowOff>
    </xdr:from>
    <xdr:ext cx="304800" cy="279400"/>
    <xdr:sp macro="" textlink="">
      <xdr:nvSpPr>
        <xdr:cNvPr id="424" name="AutoShape 3906" descr="note-add">
          <a:extLst>
            <a:ext uri="{FF2B5EF4-FFF2-40B4-BE49-F238E27FC236}">
              <a16:creationId xmlns:a16="http://schemas.microsoft.com/office/drawing/2014/main" id="{57EE40F4-561F-FA40-BE9F-46AE4DCD532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103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145</xdr:row>
      <xdr:rowOff>0</xdr:rowOff>
    </xdr:from>
    <xdr:ext cx="304800" cy="279400"/>
    <xdr:sp macro="" textlink="">
      <xdr:nvSpPr>
        <xdr:cNvPr id="425" name="AutoShape 3907" descr="alert toggle">
          <a:extLst>
            <a:ext uri="{FF2B5EF4-FFF2-40B4-BE49-F238E27FC236}">
              <a16:creationId xmlns:a16="http://schemas.microsoft.com/office/drawing/2014/main" id="{205A0359-6B30-6B4D-898D-C8C56BC1909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103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157</xdr:row>
      <xdr:rowOff>0</xdr:rowOff>
    </xdr:from>
    <xdr:ext cx="304800" cy="279400"/>
    <xdr:sp macro="" textlink="">
      <xdr:nvSpPr>
        <xdr:cNvPr id="426" name="AutoShape 3910" descr="note-add">
          <a:extLst>
            <a:ext uri="{FF2B5EF4-FFF2-40B4-BE49-F238E27FC236}">
              <a16:creationId xmlns:a16="http://schemas.microsoft.com/office/drawing/2014/main" id="{53351F77-75CC-4E4F-934E-500437200C8E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364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157</xdr:row>
      <xdr:rowOff>0</xdr:rowOff>
    </xdr:from>
    <xdr:ext cx="304800" cy="279400"/>
    <xdr:sp macro="" textlink="">
      <xdr:nvSpPr>
        <xdr:cNvPr id="427" name="AutoShape 3911" descr="alert toggle">
          <a:extLst>
            <a:ext uri="{FF2B5EF4-FFF2-40B4-BE49-F238E27FC236}">
              <a16:creationId xmlns:a16="http://schemas.microsoft.com/office/drawing/2014/main" id="{43E5FC96-C8F2-3249-BDE2-A9FE5E9B51E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364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75</xdr:row>
      <xdr:rowOff>0</xdr:rowOff>
    </xdr:from>
    <xdr:ext cx="304800" cy="279400"/>
    <xdr:sp macro="" textlink="">
      <xdr:nvSpPr>
        <xdr:cNvPr id="428" name="AutoShape 3914" descr="note-add">
          <a:extLst>
            <a:ext uri="{FF2B5EF4-FFF2-40B4-BE49-F238E27FC236}">
              <a16:creationId xmlns:a16="http://schemas.microsoft.com/office/drawing/2014/main" id="{DBB2691B-19C3-524F-8532-49E3524D216F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609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75</xdr:row>
      <xdr:rowOff>0</xdr:rowOff>
    </xdr:from>
    <xdr:ext cx="304800" cy="279400"/>
    <xdr:sp macro="" textlink="">
      <xdr:nvSpPr>
        <xdr:cNvPr id="429" name="AutoShape 3915" descr="alert toggle">
          <a:extLst>
            <a:ext uri="{FF2B5EF4-FFF2-40B4-BE49-F238E27FC236}">
              <a16:creationId xmlns:a16="http://schemas.microsoft.com/office/drawing/2014/main" id="{C08D194C-BCFA-7F49-92BF-36E2272F036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609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372</xdr:row>
      <xdr:rowOff>0</xdr:rowOff>
    </xdr:from>
    <xdr:ext cx="304800" cy="279400"/>
    <xdr:sp macro="" textlink="">
      <xdr:nvSpPr>
        <xdr:cNvPr id="430" name="AutoShape 3918" descr="note-add">
          <a:extLst>
            <a:ext uri="{FF2B5EF4-FFF2-40B4-BE49-F238E27FC236}">
              <a16:creationId xmlns:a16="http://schemas.microsoft.com/office/drawing/2014/main" id="{A828DFA9-9975-074D-A8D0-D14ED9FFA02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929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372</xdr:row>
      <xdr:rowOff>0</xdr:rowOff>
    </xdr:from>
    <xdr:ext cx="304800" cy="279400"/>
    <xdr:sp macro="" textlink="">
      <xdr:nvSpPr>
        <xdr:cNvPr id="431" name="AutoShape 3919" descr="alert toggle">
          <a:extLst>
            <a:ext uri="{FF2B5EF4-FFF2-40B4-BE49-F238E27FC236}">
              <a16:creationId xmlns:a16="http://schemas.microsoft.com/office/drawing/2014/main" id="{7C9E0337-C4DD-D045-B190-1AEF9E35A6FE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929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176</xdr:row>
      <xdr:rowOff>0</xdr:rowOff>
    </xdr:from>
    <xdr:ext cx="304800" cy="279400"/>
    <xdr:sp macro="" textlink="">
      <xdr:nvSpPr>
        <xdr:cNvPr id="432" name="AutoShape 3946" descr="note-add">
          <a:extLst>
            <a:ext uri="{FF2B5EF4-FFF2-40B4-BE49-F238E27FC236}">
              <a16:creationId xmlns:a16="http://schemas.microsoft.com/office/drawing/2014/main" id="{889BAA18-98B6-6C4F-A153-70F09F4DE1D8}"/>
            </a:ext>
          </a:extLst>
        </xdr:cNvPr>
        <xdr:cNvSpPr>
          <a:spLocks noChangeAspect="1" noChangeArrowheads="1"/>
        </xdr:cNvSpPr>
      </xdr:nvSpPr>
      <xdr:spPr bwMode="auto">
        <a:xfrm>
          <a:off x="49352200" y="37655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317500</xdr:colOff>
      <xdr:row>176</xdr:row>
      <xdr:rowOff>0</xdr:rowOff>
    </xdr:from>
    <xdr:ext cx="304800" cy="279400"/>
    <xdr:sp macro="" textlink="">
      <xdr:nvSpPr>
        <xdr:cNvPr id="433" name="AutoShape 3947" descr="alert toggle">
          <a:extLst>
            <a:ext uri="{FF2B5EF4-FFF2-40B4-BE49-F238E27FC236}">
              <a16:creationId xmlns:a16="http://schemas.microsoft.com/office/drawing/2014/main" id="{C67F1E49-14A1-E14E-A779-68BF5D2FCF89}"/>
            </a:ext>
          </a:extLst>
        </xdr:cNvPr>
        <xdr:cNvSpPr>
          <a:spLocks noChangeAspect="1" noChangeArrowheads="1"/>
        </xdr:cNvSpPr>
      </xdr:nvSpPr>
      <xdr:spPr bwMode="auto">
        <a:xfrm>
          <a:off x="49669700" y="37655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155</xdr:row>
      <xdr:rowOff>0</xdr:rowOff>
    </xdr:from>
    <xdr:ext cx="304800" cy="279400"/>
    <xdr:sp macro="" textlink="">
      <xdr:nvSpPr>
        <xdr:cNvPr id="434" name="AutoShape 3962" descr="note-add">
          <a:extLst>
            <a:ext uri="{FF2B5EF4-FFF2-40B4-BE49-F238E27FC236}">
              <a16:creationId xmlns:a16="http://schemas.microsoft.com/office/drawing/2014/main" id="{3C5B6460-C7BD-8744-9886-D2252765F4F0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3318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155</xdr:row>
      <xdr:rowOff>0</xdr:rowOff>
    </xdr:from>
    <xdr:ext cx="304800" cy="279400"/>
    <xdr:sp macro="" textlink="">
      <xdr:nvSpPr>
        <xdr:cNvPr id="435" name="AutoShape 3963" descr="alert toggle">
          <a:extLst>
            <a:ext uri="{FF2B5EF4-FFF2-40B4-BE49-F238E27FC236}">
              <a16:creationId xmlns:a16="http://schemas.microsoft.com/office/drawing/2014/main" id="{ADF9E2F4-265D-A14F-86ED-52083A9B48A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3318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370</xdr:row>
      <xdr:rowOff>0</xdr:rowOff>
    </xdr:from>
    <xdr:ext cx="304800" cy="279400"/>
    <xdr:sp macro="" textlink="">
      <xdr:nvSpPr>
        <xdr:cNvPr id="436" name="AutoShape 3966" descr="note-add">
          <a:extLst>
            <a:ext uri="{FF2B5EF4-FFF2-40B4-BE49-F238E27FC236}">
              <a16:creationId xmlns:a16="http://schemas.microsoft.com/office/drawing/2014/main" id="{32B2F418-90E8-9F46-9945-80D988B85B8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889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370</xdr:row>
      <xdr:rowOff>0</xdr:rowOff>
    </xdr:from>
    <xdr:ext cx="304800" cy="279400"/>
    <xdr:sp macro="" textlink="">
      <xdr:nvSpPr>
        <xdr:cNvPr id="437" name="AutoShape 3967" descr="alert toggle">
          <a:extLst>
            <a:ext uri="{FF2B5EF4-FFF2-40B4-BE49-F238E27FC236}">
              <a16:creationId xmlns:a16="http://schemas.microsoft.com/office/drawing/2014/main" id="{CA3BABE6-E1BA-8648-9397-15E4B424E86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889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370</xdr:row>
      <xdr:rowOff>0</xdr:rowOff>
    </xdr:from>
    <xdr:ext cx="304800" cy="279400"/>
    <xdr:sp macro="" textlink="">
      <xdr:nvSpPr>
        <xdr:cNvPr id="438" name="AutoShape 3970" descr="note-add">
          <a:extLst>
            <a:ext uri="{FF2B5EF4-FFF2-40B4-BE49-F238E27FC236}">
              <a16:creationId xmlns:a16="http://schemas.microsoft.com/office/drawing/2014/main" id="{A888D83D-244B-184C-BAEE-96DCB0ABD5D7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889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370</xdr:row>
      <xdr:rowOff>0</xdr:rowOff>
    </xdr:from>
    <xdr:ext cx="304800" cy="279400"/>
    <xdr:sp macro="" textlink="">
      <xdr:nvSpPr>
        <xdr:cNvPr id="439" name="AutoShape 3971" descr="alert toggle">
          <a:extLst>
            <a:ext uri="{FF2B5EF4-FFF2-40B4-BE49-F238E27FC236}">
              <a16:creationId xmlns:a16="http://schemas.microsoft.com/office/drawing/2014/main" id="{E50504DE-ADCC-654F-99B3-F3ED0CFE9BE0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889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279400"/>
    <xdr:sp macro="" textlink="">
      <xdr:nvSpPr>
        <xdr:cNvPr id="440" name="AutoShape 3986" descr="note-add">
          <a:extLst>
            <a:ext uri="{FF2B5EF4-FFF2-40B4-BE49-F238E27FC236}">
              <a16:creationId xmlns:a16="http://schemas.microsoft.com/office/drawing/2014/main" id="{C999368F-581E-4045-9D68-95A71320A004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4230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198</xdr:row>
      <xdr:rowOff>0</xdr:rowOff>
    </xdr:from>
    <xdr:ext cx="304800" cy="279400"/>
    <xdr:sp macro="" textlink="">
      <xdr:nvSpPr>
        <xdr:cNvPr id="441" name="AutoShape 3987" descr="alert toggle">
          <a:extLst>
            <a:ext uri="{FF2B5EF4-FFF2-40B4-BE49-F238E27FC236}">
              <a16:creationId xmlns:a16="http://schemas.microsoft.com/office/drawing/2014/main" id="{D8BD8662-5AEC-BB4B-A988-7D0662A277C7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4230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15</xdr:col>
      <xdr:colOff>0</xdr:colOff>
      <xdr:row>282</xdr:row>
      <xdr:rowOff>0</xdr:rowOff>
    </xdr:from>
    <xdr:to>
      <xdr:col>15</xdr:col>
      <xdr:colOff>304800</xdr:colOff>
      <xdr:row>283</xdr:row>
      <xdr:rowOff>114299</xdr:rowOff>
    </xdr:to>
    <xdr:sp macro="" textlink="">
      <xdr:nvSpPr>
        <xdr:cNvPr id="442" name="AutoShape 4098" descr="note-add">
          <a:extLst>
            <a:ext uri="{FF2B5EF4-FFF2-40B4-BE49-F238E27FC236}">
              <a16:creationId xmlns:a16="http://schemas.microsoft.com/office/drawing/2014/main" id="{14F0FB97-F806-0345-B8AD-D7C4092009A6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0198000"/>
          <a:ext cx="304800" cy="317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286</xdr:row>
      <xdr:rowOff>0</xdr:rowOff>
    </xdr:from>
    <xdr:ext cx="304800" cy="279400"/>
    <xdr:sp macro="" textlink="">
      <xdr:nvSpPr>
        <xdr:cNvPr id="443" name="AutoShape 4181" descr="note-add">
          <a:extLst>
            <a:ext uri="{FF2B5EF4-FFF2-40B4-BE49-F238E27FC236}">
              <a16:creationId xmlns:a16="http://schemas.microsoft.com/office/drawing/2014/main" id="{8EC25731-4DF6-734C-9B19-98C1F1DF923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1061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286</xdr:row>
      <xdr:rowOff>0</xdr:rowOff>
    </xdr:from>
    <xdr:ext cx="304800" cy="279400"/>
    <xdr:sp macro="" textlink="">
      <xdr:nvSpPr>
        <xdr:cNvPr id="444" name="AutoShape 4182" descr="alert toggle">
          <a:extLst>
            <a:ext uri="{FF2B5EF4-FFF2-40B4-BE49-F238E27FC236}">
              <a16:creationId xmlns:a16="http://schemas.microsoft.com/office/drawing/2014/main" id="{71E6068A-CF70-B545-9B04-D077129E536F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1061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281</xdr:row>
      <xdr:rowOff>0</xdr:rowOff>
    </xdr:from>
    <xdr:ext cx="304800" cy="279400"/>
    <xdr:sp macro="" textlink="">
      <xdr:nvSpPr>
        <xdr:cNvPr id="445" name="AutoShape 4185" descr="note-add">
          <a:extLst>
            <a:ext uri="{FF2B5EF4-FFF2-40B4-BE49-F238E27FC236}">
              <a16:creationId xmlns:a16="http://schemas.microsoft.com/office/drawing/2014/main" id="{839320B2-F82A-C64D-8049-156C33495AB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998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281</xdr:row>
      <xdr:rowOff>0</xdr:rowOff>
    </xdr:from>
    <xdr:ext cx="304800" cy="279400"/>
    <xdr:sp macro="" textlink="">
      <xdr:nvSpPr>
        <xdr:cNvPr id="446" name="AutoShape 4186" descr="alert toggle">
          <a:extLst>
            <a:ext uri="{FF2B5EF4-FFF2-40B4-BE49-F238E27FC236}">
              <a16:creationId xmlns:a16="http://schemas.microsoft.com/office/drawing/2014/main" id="{F2B722D9-CB51-0D4E-830E-3845C6A564BD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9982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223</xdr:row>
      <xdr:rowOff>0</xdr:rowOff>
    </xdr:from>
    <xdr:ext cx="304800" cy="279400"/>
    <xdr:sp macro="" textlink="">
      <xdr:nvSpPr>
        <xdr:cNvPr id="447" name="AutoShape 4189" descr="note-add">
          <a:extLst>
            <a:ext uri="{FF2B5EF4-FFF2-40B4-BE49-F238E27FC236}">
              <a16:creationId xmlns:a16="http://schemas.microsoft.com/office/drawing/2014/main" id="{4A632029-0983-7043-B044-B55FAD34B1A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47701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223</xdr:row>
      <xdr:rowOff>0</xdr:rowOff>
    </xdr:from>
    <xdr:ext cx="304800" cy="279400"/>
    <xdr:sp macro="" textlink="">
      <xdr:nvSpPr>
        <xdr:cNvPr id="448" name="AutoShape 4190" descr="alert toggle">
          <a:extLst>
            <a:ext uri="{FF2B5EF4-FFF2-40B4-BE49-F238E27FC236}">
              <a16:creationId xmlns:a16="http://schemas.microsoft.com/office/drawing/2014/main" id="{2F55A672-504C-9043-B294-99C64A6D8359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47701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354</xdr:row>
      <xdr:rowOff>0</xdr:rowOff>
    </xdr:from>
    <xdr:ext cx="304800" cy="279400"/>
    <xdr:sp macro="" textlink="">
      <xdr:nvSpPr>
        <xdr:cNvPr id="449" name="AutoShape 4193" descr="note-add">
          <a:extLst>
            <a:ext uri="{FF2B5EF4-FFF2-40B4-BE49-F238E27FC236}">
              <a16:creationId xmlns:a16="http://schemas.microsoft.com/office/drawing/2014/main" id="{D4FA811A-A658-B947-9246-AB286F77EDEC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5641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354</xdr:row>
      <xdr:rowOff>0</xdr:rowOff>
    </xdr:from>
    <xdr:ext cx="304800" cy="279400"/>
    <xdr:sp macro="" textlink="">
      <xdr:nvSpPr>
        <xdr:cNvPr id="450" name="AutoShape 4194" descr="alert toggle">
          <a:extLst>
            <a:ext uri="{FF2B5EF4-FFF2-40B4-BE49-F238E27FC236}">
              <a16:creationId xmlns:a16="http://schemas.microsoft.com/office/drawing/2014/main" id="{E8C58059-E278-6240-A371-8AEF5B746D36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5641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251</xdr:row>
      <xdr:rowOff>0</xdr:rowOff>
    </xdr:from>
    <xdr:ext cx="304800" cy="279400"/>
    <xdr:sp macro="" textlink="">
      <xdr:nvSpPr>
        <xdr:cNvPr id="451" name="AutoShape 4197" descr="note-add">
          <a:extLst>
            <a:ext uri="{FF2B5EF4-FFF2-40B4-BE49-F238E27FC236}">
              <a16:creationId xmlns:a16="http://schemas.microsoft.com/office/drawing/2014/main" id="{046D3072-BE97-E041-9EF2-715C115DDF63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364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251</xdr:row>
      <xdr:rowOff>0</xdr:rowOff>
    </xdr:from>
    <xdr:ext cx="304800" cy="279400"/>
    <xdr:sp macro="" textlink="">
      <xdr:nvSpPr>
        <xdr:cNvPr id="452" name="AutoShape 4198" descr="alert toggle">
          <a:extLst>
            <a:ext uri="{FF2B5EF4-FFF2-40B4-BE49-F238E27FC236}">
              <a16:creationId xmlns:a16="http://schemas.microsoft.com/office/drawing/2014/main" id="{E0C7AAA6-E4E3-FE43-A77F-E60FDA7F68F8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364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276</xdr:row>
      <xdr:rowOff>0</xdr:rowOff>
    </xdr:from>
    <xdr:ext cx="304800" cy="279400"/>
    <xdr:sp macro="" textlink="">
      <xdr:nvSpPr>
        <xdr:cNvPr id="453" name="AutoShape 4201" descr="note-add">
          <a:extLst>
            <a:ext uri="{FF2B5EF4-FFF2-40B4-BE49-F238E27FC236}">
              <a16:creationId xmlns:a16="http://schemas.microsoft.com/office/drawing/2014/main" id="{CFF42ECF-6218-4744-AB3B-128888E1923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58902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276</xdr:row>
      <xdr:rowOff>0</xdr:rowOff>
    </xdr:from>
    <xdr:ext cx="304800" cy="279400"/>
    <xdr:sp macro="" textlink="">
      <xdr:nvSpPr>
        <xdr:cNvPr id="454" name="AutoShape 4202" descr="alert toggle">
          <a:extLst>
            <a:ext uri="{FF2B5EF4-FFF2-40B4-BE49-F238E27FC236}">
              <a16:creationId xmlns:a16="http://schemas.microsoft.com/office/drawing/2014/main" id="{F804AC6B-83C0-1C4F-9B93-D6094037B864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58902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308</xdr:row>
      <xdr:rowOff>0</xdr:rowOff>
    </xdr:from>
    <xdr:ext cx="304800" cy="279400"/>
    <xdr:sp macro="" textlink="">
      <xdr:nvSpPr>
        <xdr:cNvPr id="455" name="AutoShape 4371" descr="note-add">
          <a:extLst>
            <a:ext uri="{FF2B5EF4-FFF2-40B4-BE49-F238E27FC236}">
              <a16:creationId xmlns:a16="http://schemas.microsoft.com/office/drawing/2014/main" id="{3A150838-AAFF-E243-93C2-A1C5E192BEE0}"/>
            </a:ext>
          </a:extLst>
        </xdr:cNvPr>
        <xdr:cNvSpPr>
          <a:spLocks noChangeAspect="1" noChangeArrowheads="1"/>
        </xdr:cNvSpPr>
      </xdr:nvSpPr>
      <xdr:spPr bwMode="auto">
        <a:xfrm>
          <a:off x="37896800" y="65849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308</xdr:row>
      <xdr:rowOff>0</xdr:rowOff>
    </xdr:from>
    <xdr:ext cx="304800" cy="279400"/>
    <xdr:sp macro="" textlink="">
      <xdr:nvSpPr>
        <xdr:cNvPr id="456" name="AutoShape 4372" descr="alert toggle">
          <a:extLst>
            <a:ext uri="{FF2B5EF4-FFF2-40B4-BE49-F238E27FC236}">
              <a16:creationId xmlns:a16="http://schemas.microsoft.com/office/drawing/2014/main" id="{7F424A2D-5F93-FD4A-B823-3B37FD1A0410}"/>
            </a:ext>
          </a:extLst>
        </xdr:cNvPr>
        <xdr:cNvSpPr>
          <a:spLocks noChangeAspect="1" noChangeArrowheads="1"/>
        </xdr:cNvSpPr>
      </xdr:nvSpPr>
      <xdr:spPr bwMode="auto">
        <a:xfrm>
          <a:off x="38214300" y="65849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304800"/>
    <xdr:sp macro="" textlink="">
      <xdr:nvSpPr>
        <xdr:cNvPr id="457" name="AutoShape 4405" descr="note-add">
          <a:extLst>
            <a:ext uri="{FF2B5EF4-FFF2-40B4-BE49-F238E27FC236}">
              <a16:creationId xmlns:a16="http://schemas.microsoft.com/office/drawing/2014/main" id="{AA245A22-4986-0148-817D-544D0331484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55</xdr:row>
      <xdr:rowOff>0</xdr:rowOff>
    </xdr:from>
    <xdr:ext cx="304800" cy="304800"/>
    <xdr:sp macro="" textlink="">
      <xdr:nvSpPr>
        <xdr:cNvPr id="458" name="AutoShape 4406" descr="alert toggle">
          <a:extLst>
            <a:ext uri="{FF2B5EF4-FFF2-40B4-BE49-F238E27FC236}">
              <a16:creationId xmlns:a16="http://schemas.microsoft.com/office/drawing/2014/main" id="{FA5DE763-2B5E-6E49-99E4-ABBB339C4C02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332</xdr:row>
      <xdr:rowOff>0</xdr:rowOff>
    </xdr:from>
    <xdr:ext cx="304800" cy="279400"/>
    <xdr:sp macro="" textlink="">
      <xdr:nvSpPr>
        <xdr:cNvPr id="459" name="AutoShape 4409" descr="note-add">
          <a:extLst>
            <a:ext uri="{FF2B5EF4-FFF2-40B4-BE49-F238E27FC236}">
              <a16:creationId xmlns:a16="http://schemas.microsoft.com/office/drawing/2014/main" id="{689EB610-4AD3-C747-9A4C-C2EB296B1E2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106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332</xdr:row>
      <xdr:rowOff>0</xdr:rowOff>
    </xdr:from>
    <xdr:ext cx="304800" cy="279400"/>
    <xdr:sp macro="" textlink="">
      <xdr:nvSpPr>
        <xdr:cNvPr id="460" name="AutoShape 4410" descr="alert toggle">
          <a:extLst>
            <a:ext uri="{FF2B5EF4-FFF2-40B4-BE49-F238E27FC236}">
              <a16:creationId xmlns:a16="http://schemas.microsoft.com/office/drawing/2014/main" id="{E1054055-4D99-1747-B18F-E2A47D10B739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106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296</xdr:row>
      <xdr:rowOff>0</xdr:rowOff>
    </xdr:from>
    <xdr:ext cx="304800" cy="279399"/>
    <xdr:sp macro="" textlink="">
      <xdr:nvSpPr>
        <xdr:cNvPr id="461" name="AutoShape 4413" descr="note-add">
          <a:extLst>
            <a:ext uri="{FF2B5EF4-FFF2-40B4-BE49-F238E27FC236}">
              <a16:creationId xmlns:a16="http://schemas.microsoft.com/office/drawing/2014/main" id="{016E4AB2-8FC7-FC4A-AA1D-DD6C69D33044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32206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296</xdr:row>
      <xdr:rowOff>0</xdr:rowOff>
    </xdr:from>
    <xdr:ext cx="304800" cy="279399"/>
    <xdr:sp macro="" textlink="">
      <xdr:nvSpPr>
        <xdr:cNvPr id="462" name="AutoShape 4414" descr="alert toggle">
          <a:extLst>
            <a:ext uri="{FF2B5EF4-FFF2-40B4-BE49-F238E27FC236}">
              <a16:creationId xmlns:a16="http://schemas.microsoft.com/office/drawing/2014/main" id="{85BCFA6C-48D3-674D-A3A1-2307817DC661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32206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306</xdr:row>
      <xdr:rowOff>0</xdr:rowOff>
    </xdr:from>
    <xdr:ext cx="304800" cy="279399"/>
    <xdr:sp macro="" textlink="">
      <xdr:nvSpPr>
        <xdr:cNvPr id="463" name="AutoShape 4417" descr="note-add">
          <a:extLst>
            <a:ext uri="{FF2B5EF4-FFF2-40B4-BE49-F238E27FC236}">
              <a16:creationId xmlns:a16="http://schemas.microsoft.com/office/drawing/2014/main" id="{FA3FBB61-27BD-5F4A-85B6-6DC9D86E9089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539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306</xdr:row>
      <xdr:rowOff>0</xdr:rowOff>
    </xdr:from>
    <xdr:ext cx="304800" cy="279399"/>
    <xdr:sp macro="" textlink="">
      <xdr:nvSpPr>
        <xdr:cNvPr id="464" name="AutoShape 4418" descr="alert toggle">
          <a:extLst>
            <a:ext uri="{FF2B5EF4-FFF2-40B4-BE49-F238E27FC236}">
              <a16:creationId xmlns:a16="http://schemas.microsoft.com/office/drawing/2014/main" id="{FD7D1052-B512-F94F-87E1-96D2204D1913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539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311</xdr:row>
      <xdr:rowOff>0</xdr:rowOff>
    </xdr:from>
    <xdr:ext cx="304800" cy="279399"/>
    <xdr:sp macro="" textlink="">
      <xdr:nvSpPr>
        <xdr:cNvPr id="465" name="AutoShape 4421" descr="note-add">
          <a:extLst>
            <a:ext uri="{FF2B5EF4-FFF2-40B4-BE49-F238E27FC236}">
              <a16:creationId xmlns:a16="http://schemas.microsoft.com/office/drawing/2014/main" id="{77504D9F-9530-D148-A333-31753617181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66535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311</xdr:row>
      <xdr:rowOff>0</xdr:rowOff>
    </xdr:from>
    <xdr:ext cx="304800" cy="279399"/>
    <xdr:sp macro="" textlink="">
      <xdr:nvSpPr>
        <xdr:cNvPr id="466" name="AutoShape 4422" descr="alert toggle">
          <a:extLst>
            <a:ext uri="{FF2B5EF4-FFF2-40B4-BE49-F238E27FC236}">
              <a16:creationId xmlns:a16="http://schemas.microsoft.com/office/drawing/2014/main" id="{B0F869CD-E326-4840-8B41-4488ABBC0955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66535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332</xdr:row>
      <xdr:rowOff>0</xdr:rowOff>
    </xdr:from>
    <xdr:ext cx="304800" cy="279400"/>
    <xdr:sp macro="" textlink="">
      <xdr:nvSpPr>
        <xdr:cNvPr id="467" name="AutoShape 4425" descr="note-add">
          <a:extLst>
            <a:ext uri="{FF2B5EF4-FFF2-40B4-BE49-F238E27FC236}">
              <a16:creationId xmlns:a16="http://schemas.microsoft.com/office/drawing/2014/main" id="{F335F308-3420-3249-AA9C-0747EEA1EF48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106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332</xdr:row>
      <xdr:rowOff>0</xdr:rowOff>
    </xdr:from>
    <xdr:ext cx="304800" cy="279400"/>
    <xdr:sp macro="" textlink="">
      <xdr:nvSpPr>
        <xdr:cNvPr id="468" name="AutoShape 4426" descr="alert toggle">
          <a:extLst>
            <a:ext uri="{FF2B5EF4-FFF2-40B4-BE49-F238E27FC236}">
              <a16:creationId xmlns:a16="http://schemas.microsoft.com/office/drawing/2014/main" id="{732EC72C-4FDB-E14B-A8BB-4608782463D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106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332</xdr:row>
      <xdr:rowOff>0</xdr:rowOff>
    </xdr:from>
    <xdr:ext cx="304800" cy="279400"/>
    <xdr:sp macro="" textlink="">
      <xdr:nvSpPr>
        <xdr:cNvPr id="469" name="AutoShape 4429" descr="note-add">
          <a:extLst>
            <a:ext uri="{FF2B5EF4-FFF2-40B4-BE49-F238E27FC236}">
              <a16:creationId xmlns:a16="http://schemas.microsoft.com/office/drawing/2014/main" id="{DEC1290B-D728-5546-B9DF-344B252B46D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7106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332</xdr:row>
      <xdr:rowOff>0</xdr:rowOff>
    </xdr:from>
    <xdr:ext cx="304800" cy="279400"/>
    <xdr:sp macro="" textlink="">
      <xdr:nvSpPr>
        <xdr:cNvPr id="470" name="AutoShape 4430" descr="alert toggle">
          <a:extLst>
            <a:ext uri="{FF2B5EF4-FFF2-40B4-BE49-F238E27FC236}">
              <a16:creationId xmlns:a16="http://schemas.microsoft.com/office/drawing/2014/main" id="{735F9355-DCC5-974C-8105-FA3665524949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7106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390</xdr:row>
      <xdr:rowOff>0</xdr:rowOff>
    </xdr:from>
    <xdr:ext cx="304800" cy="279400"/>
    <xdr:sp macro="" textlink="">
      <xdr:nvSpPr>
        <xdr:cNvPr id="471" name="AutoShape 4433" descr="note-add">
          <a:extLst>
            <a:ext uri="{FF2B5EF4-FFF2-40B4-BE49-F238E27FC236}">
              <a16:creationId xmlns:a16="http://schemas.microsoft.com/office/drawing/2014/main" id="{08CB65D7-11F3-614B-B669-5CE85DA55E2A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3159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390</xdr:row>
      <xdr:rowOff>0</xdr:rowOff>
    </xdr:from>
    <xdr:ext cx="304800" cy="279400"/>
    <xdr:sp macro="" textlink="">
      <xdr:nvSpPr>
        <xdr:cNvPr id="472" name="AutoShape 4434" descr="alert toggle">
          <a:extLst>
            <a:ext uri="{FF2B5EF4-FFF2-40B4-BE49-F238E27FC236}">
              <a16:creationId xmlns:a16="http://schemas.microsoft.com/office/drawing/2014/main" id="{95EFDA9D-D01F-7F42-BEAF-BF122D5555AA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3159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390</xdr:row>
      <xdr:rowOff>0</xdr:rowOff>
    </xdr:from>
    <xdr:ext cx="304800" cy="279400"/>
    <xdr:sp macro="" textlink="">
      <xdr:nvSpPr>
        <xdr:cNvPr id="473" name="AutoShape 4437" descr="note-add">
          <a:extLst>
            <a:ext uri="{FF2B5EF4-FFF2-40B4-BE49-F238E27FC236}">
              <a16:creationId xmlns:a16="http://schemas.microsoft.com/office/drawing/2014/main" id="{B8C983E5-3BE9-4F4A-9DB3-80A748F44E92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83159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390</xdr:row>
      <xdr:rowOff>0</xdr:rowOff>
    </xdr:from>
    <xdr:ext cx="304800" cy="279400"/>
    <xdr:sp macro="" textlink="">
      <xdr:nvSpPr>
        <xdr:cNvPr id="474" name="AutoShape 4438" descr="alert toggle">
          <a:extLst>
            <a:ext uri="{FF2B5EF4-FFF2-40B4-BE49-F238E27FC236}">
              <a16:creationId xmlns:a16="http://schemas.microsoft.com/office/drawing/2014/main" id="{1E4AF226-0B1C-3443-A0FA-745FF9D91A77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83159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32</xdr:row>
      <xdr:rowOff>0</xdr:rowOff>
    </xdr:from>
    <xdr:ext cx="304800" cy="305547"/>
    <xdr:sp macro="" textlink="">
      <xdr:nvSpPr>
        <xdr:cNvPr id="475" name="AutoShape 979" descr="note-add">
          <a:extLst>
            <a:ext uri="{FF2B5EF4-FFF2-40B4-BE49-F238E27FC236}">
              <a16:creationId xmlns:a16="http://schemas.microsoft.com/office/drawing/2014/main" id="{0641CFC4-A826-E947-861A-A0BE1CE06FF1}"/>
            </a:ext>
          </a:extLst>
        </xdr:cNvPr>
        <xdr:cNvSpPr>
          <a:spLocks noChangeAspect="1" noChangeArrowheads="1"/>
        </xdr:cNvSpPr>
      </xdr:nvSpPr>
      <xdr:spPr bwMode="auto">
        <a:xfrm>
          <a:off x="35382200" y="68072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32</xdr:row>
      <xdr:rowOff>0</xdr:rowOff>
    </xdr:from>
    <xdr:ext cx="304800" cy="305547"/>
    <xdr:sp macro="" textlink="">
      <xdr:nvSpPr>
        <xdr:cNvPr id="476" name="AutoShape 980" descr="alert toggle">
          <a:extLst>
            <a:ext uri="{FF2B5EF4-FFF2-40B4-BE49-F238E27FC236}">
              <a16:creationId xmlns:a16="http://schemas.microsoft.com/office/drawing/2014/main" id="{29BF316D-9DD1-F842-8CAB-5DDF50E32331}"/>
            </a:ext>
          </a:extLst>
        </xdr:cNvPr>
        <xdr:cNvSpPr>
          <a:spLocks noChangeAspect="1" noChangeArrowheads="1"/>
        </xdr:cNvSpPr>
      </xdr:nvSpPr>
      <xdr:spPr bwMode="auto">
        <a:xfrm>
          <a:off x="35699700" y="68072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54</xdr:row>
      <xdr:rowOff>0</xdr:rowOff>
    </xdr:from>
    <xdr:ext cx="304800" cy="277534"/>
    <xdr:sp macro="" textlink="">
      <xdr:nvSpPr>
        <xdr:cNvPr id="477" name="AutoShape 4405" descr="note-add">
          <a:extLst>
            <a:ext uri="{FF2B5EF4-FFF2-40B4-BE49-F238E27FC236}">
              <a16:creationId xmlns:a16="http://schemas.microsoft.com/office/drawing/2014/main" id="{9DF446C1-D1BE-574F-99CC-0D762A26526A}"/>
            </a:ext>
          </a:extLst>
        </xdr:cNvPr>
        <xdr:cNvSpPr>
          <a:spLocks noChangeAspect="1" noChangeArrowheads="1"/>
        </xdr:cNvSpPr>
      </xdr:nvSpPr>
      <xdr:spPr bwMode="auto">
        <a:xfrm>
          <a:off x="41160700" y="115443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54</xdr:row>
      <xdr:rowOff>0</xdr:rowOff>
    </xdr:from>
    <xdr:ext cx="304800" cy="277534"/>
    <xdr:sp macro="" textlink="">
      <xdr:nvSpPr>
        <xdr:cNvPr id="478" name="AutoShape 4406" descr="alert toggle">
          <a:extLst>
            <a:ext uri="{FF2B5EF4-FFF2-40B4-BE49-F238E27FC236}">
              <a16:creationId xmlns:a16="http://schemas.microsoft.com/office/drawing/2014/main" id="{0BE7662B-541A-544F-BAFD-9BF12FC607F4}"/>
            </a:ext>
          </a:extLst>
        </xdr:cNvPr>
        <xdr:cNvSpPr>
          <a:spLocks noChangeAspect="1" noChangeArrowheads="1"/>
        </xdr:cNvSpPr>
      </xdr:nvSpPr>
      <xdr:spPr bwMode="auto">
        <a:xfrm>
          <a:off x="41478200" y="115443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77534"/>
    <xdr:sp macro="" textlink="">
      <xdr:nvSpPr>
        <xdr:cNvPr id="479" name="AutoShape 4405" descr="note-add">
          <a:extLst>
            <a:ext uri="{FF2B5EF4-FFF2-40B4-BE49-F238E27FC236}">
              <a16:creationId xmlns:a16="http://schemas.microsoft.com/office/drawing/2014/main" id="{7CBEA793-C62D-4C4E-85F0-99F8E9D44C15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5443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54</xdr:row>
      <xdr:rowOff>0</xdr:rowOff>
    </xdr:from>
    <xdr:ext cx="304800" cy="277534"/>
    <xdr:sp macro="" textlink="">
      <xdr:nvSpPr>
        <xdr:cNvPr id="480" name="AutoShape 4406" descr="alert toggle">
          <a:extLst>
            <a:ext uri="{FF2B5EF4-FFF2-40B4-BE49-F238E27FC236}">
              <a16:creationId xmlns:a16="http://schemas.microsoft.com/office/drawing/2014/main" id="{368D970D-12BA-D044-B201-998E963115C5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5443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77534"/>
    <xdr:sp macro="" textlink="">
      <xdr:nvSpPr>
        <xdr:cNvPr id="481" name="AutoShape 4405" descr="note-add">
          <a:extLst>
            <a:ext uri="{FF2B5EF4-FFF2-40B4-BE49-F238E27FC236}">
              <a16:creationId xmlns:a16="http://schemas.microsoft.com/office/drawing/2014/main" id="{4BE5C3CA-31DA-D745-844C-CA0C51584996}"/>
            </a:ext>
          </a:extLst>
        </xdr:cNvPr>
        <xdr:cNvSpPr>
          <a:spLocks noChangeAspect="1" noChangeArrowheads="1"/>
        </xdr:cNvSpPr>
      </xdr:nvSpPr>
      <xdr:spPr bwMode="auto">
        <a:xfrm>
          <a:off x="28371800" y="115443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54</xdr:row>
      <xdr:rowOff>0</xdr:rowOff>
    </xdr:from>
    <xdr:ext cx="304800" cy="277534"/>
    <xdr:sp macro="" textlink="">
      <xdr:nvSpPr>
        <xdr:cNvPr id="482" name="AutoShape 4406" descr="alert toggle">
          <a:extLst>
            <a:ext uri="{FF2B5EF4-FFF2-40B4-BE49-F238E27FC236}">
              <a16:creationId xmlns:a16="http://schemas.microsoft.com/office/drawing/2014/main" id="{4E4B244B-BDFA-4C46-A691-1931422F4DE7}"/>
            </a:ext>
          </a:extLst>
        </xdr:cNvPr>
        <xdr:cNvSpPr>
          <a:spLocks noChangeAspect="1" noChangeArrowheads="1"/>
        </xdr:cNvSpPr>
      </xdr:nvSpPr>
      <xdr:spPr bwMode="auto">
        <a:xfrm>
          <a:off x="28689300" y="115443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277532"/>
    <xdr:sp macro="" textlink="">
      <xdr:nvSpPr>
        <xdr:cNvPr id="483" name="AutoShape 1051" descr="note-add">
          <a:extLst>
            <a:ext uri="{FF2B5EF4-FFF2-40B4-BE49-F238E27FC236}">
              <a16:creationId xmlns:a16="http://schemas.microsoft.com/office/drawing/2014/main" id="{87B0E276-9E84-3E48-89F9-1AA4C62C2FA9}"/>
            </a:ext>
          </a:extLst>
        </xdr:cNvPr>
        <xdr:cNvSpPr>
          <a:spLocks noChangeAspect="1" noChangeArrowheads="1"/>
        </xdr:cNvSpPr>
      </xdr:nvSpPr>
      <xdr:spPr bwMode="auto">
        <a:xfrm>
          <a:off x="26200100" y="115443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54</xdr:row>
      <xdr:rowOff>0</xdr:rowOff>
    </xdr:from>
    <xdr:ext cx="304800" cy="277532"/>
    <xdr:sp macro="" textlink="">
      <xdr:nvSpPr>
        <xdr:cNvPr id="484" name="AutoShape 1052" descr="alert toggle">
          <a:extLst>
            <a:ext uri="{FF2B5EF4-FFF2-40B4-BE49-F238E27FC236}">
              <a16:creationId xmlns:a16="http://schemas.microsoft.com/office/drawing/2014/main" id="{3B1F94AA-8971-8342-A0FF-2C40EF091143}"/>
            </a:ext>
          </a:extLst>
        </xdr:cNvPr>
        <xdr:cNvSpPr>
          <a:spLocks noChangeAspect="1" noChangeArrowheads="1"/>
        </xdr:cNvSpPr>
      </xdr:nvSpPr>
      <xdr:spPr bwMode="auto">
        <a:xfrm>
          <a:off x="26517600" y="115443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2" name="AutoShape 2097" descr="note-add">
          <a:extLst>
            <a:ext uri="{FF2B5EF4-FFF2-40B4-BE49-F238E27FC236}">
              <a16:creationId xmlns:a16="http://schemas.microsoft.com/office/drawing/2014/main" id="{4E732C12-A9F1-4B4A-A6D6-A5DC591AD7ED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56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</xdr:row>
      <xdr:rowOff>0</xdr:rowOff>
    </xdr:from>
    <xdr:ext cx="304800" cy="304800"/>
    <xdr:sp macro="" textlink="">
      <xdr:nvSpPr>
        <xdr:cNvPr id="3" name="AutoShape 2101" descr="note-add">
          <a:extLst>
            <a:ext uri="{FF2B5EF4-FFF2-40B4-BE49-F238E27FC236}">
              <a16:creationId xmlns:a16="http://schemas.microsoft.com/office/drawing/2014/main" id="{811F6F46-71F0-A24F-A7CF-0B9EA7B54D7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5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9</xdr:row>
      <xdr:rowOff>0</xdr:rowOff>
    </xdr:from>
    <xdr:ext cx="292100" cy="304800"/>
    <xdr:sp macro="" textlink="">
      <xdr:nvSpPr>
        <xdr:cNvPr id="4" name="AutoShape 2102" descr="alert toggle">
          <a:extLst>
            <a:ext uri="{FF2B5EF4-FFF2-40B4-BE49-F238E27FC236}">
              <a16:creationId xmlns:a16="http://schemas.microsoft.com/office/drawing/2014/main" id="{395BBD8F-00B3-A245-9522-53F7667607A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58595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</xdr:row>
      <xdr:rowOff>0</xdr:rowOff>
    </xdr:from>
    <xdr:ext cx="304800" cy="304800"/>
    <xdr:sp macro="" textlink="">
      <xdr:nvSpPr>
        <xdr:cNvPr id="5" name="AutoShape 2105" descr="note-add">
          <a:extLst>
            <a:ext uri="{FF2B5EF4-FFF2-40B4-BE49-F238E27FC236}">
              <a16:creationId xmlns:a16="http://schemas.microsoft.com/office/drawing/2014/main" id="{24A1B59E-5E35-834A-B1C1-926B173B2BF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4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3</xdr:row>
      <xdr:rowOff>0</xdr:rowOff>
    </xdr:from>
    <xdr:ext cx="292100" cy="304800"/>
    <xdr:sp macro="" textlink="">
      <xdr:nvSpPr>
        <xdr:cNvPr id="6" name="AutoShape 2106" descr="alert toggle">
          <a:extLst>
            <a:ext uri="{FF2B5EF4-FFF2-40B4-BE49-F238E27FC236}">
              <a16:creationId xmlns:a16="http://schemas.microsoft.com/office/drawing/2014/main" id="{79C2FFE9-E1DA-BB46-B954-746BA23A89B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46022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304800" cy="304800"/>
    <xdr:sp macro="" textlink="">
      <xdr:nvSpPr>
        <xdr:cNvPr id="7" name="AutoShape 2109" descr="note-add">
          <a:extLst>
            <a:ext uri="{FF2B5EF4-FFF2-40B4-BE49-F238E27FC236}">
              <a16:creationId xmlns:a16="http://schemas.microsoft.com/office/drawing/2014/main" id="{D2474F10-747C-9A48-8325-E137B15A788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72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16</xdr:row>
      <xdr:rowOff>0</xdr:rowOff>
    </xdr:from>
    <xdr:ext cx="292100" cy="304800"/>
    <xdr:sp macro="" textlink="">
      <xdr:nvSpPr>
        <xdr:cNvPr id="8" name="AutoShape 2110" descr="alert toggle">
          <a:extLst>
            <a:ext uri="{FF2B5EF4-FFF2-40B4-BE49-F238E27FC236}">
              <a16:creationId xmlns:a16="http://schemas.microsoft.com/office/drawing/2014/main" id="{B0F3476A-796B-2C47-B5B6-087F021FE0D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72819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304800" cy="304800"/>
    <xdr:sp macro="" textlink="">
      <xdr:nvSpPr>
        <xdr:cNvPr id="9" name="AutoShape 2113" descr="note-add">
          <a:extLst>
            <a:ext uri="{FF2B5EF4-FFF2-40B4-BE49-F238E27FC236}">
              <a16:creationId xmlns:a16="http://schemas.microsoft.com/office/drawing/2014/main" id="{422EE7CD-C2F6-7841-B600-CBEF02D866FD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39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0</xdr:row>
      <xdr:rowOff>0</xdr:rowOff>
    </xdr:from>
    <xdr:ext cx="292100" cy="304800"/>
    <xdr:sp macro="" textlink="">
      <xdr:nvSpPr>
        <xdr:cNvPr id="10" name="AutoShape 2114" descr="alert toggle">
          <a:extLst>
            <a:ext uri="{FF2B5EF4-FFF2-40B4-BE49-F238E27FC236}">
              <a16:creationId xmlns:a16="http://schemas.microsoft.com/office/drawing/2014/main" id="{29319FAC-BA3F-E849-AFFA-9D98BC8A5EE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39545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11" name="AutoShape 2117" descr="note-add">
          <a:extLst>
            <a:ext uri="{FF2B5EF4-FFF2-40B4-BE49-F238E27FC236}">
              <a16:creationId xmlns:a16="http://schemas.microsoft.com/office/drawing/2014/main" id="{86A66B39-A7CE-3C46-B9E0-B974DBC790F0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7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19</xdr:row>
      <xdr:rowOff>0</xdr:rowOff>
    </xdr:from>
    <xdr:ext cx="292100" cy="304800"/>
    <xdr:sp macro="" textlink="">
      <xdr:nvSpPr>
        <xdr:cNvPr id="12" name="AutoShape 2118" descr="alert toggle">
          <a:extLst>
            <a:ext uri="{FF2B5EF4-FFF2-40B4-BE49-F238E27FC236}">
              <a16:creationId xmlns:a16="http://schemas.microsoft.com/office/drawing/2014/main" id="{6AFEAE11-149C-D448-B1B5-BFFA411F037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78915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13" name="AutoShape 2121" descr="note-add">
          <a:extLst>
            <a:ext uri="{FF2B5EF4-FFF2-40B4-BE49-F238E27FC236}">
              <a16:creationId xmlns:a16="http://schemas.microsoft.com/office/drawing/2014/main" id="{0F9A3983-BC63-C14E-B953-FEDF56C4D9D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54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7</xdr:row>
      <xdr:rowOff>0</xdr:rowOff>
    </xdr:from>
    <xdr:ext cx="292100" cy="304800"/>
    <xdr:sp macro="" textlink="">
      <xdr:nvSpPr>
        <xdr:cNvPr id="14" name="AutoShape 2122" descr="alert toggle">
          <a:extLst>
            <a:ext uri="{FF2B5EF4-FFF2-40B4-BE49-F238E27FC236}">
              <a16:creationId xmlns:a16="http://schemas.microsoft.com/office/drawing/2014/main" id="{73EA65C4-07CD-9E47-857A-0F013876FDB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54531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15" name="AutoShape 2125" descr="note-add">
          <a:extLst>
            <a:ext uri="{FF2B5EF4-FFF2-40B4-BE49-F238E27FC236}">
              <a16:creationId xmlns:a16="http://schemas.microsoft.com/office/drawing/2014/main" id="{D9002F09-BD08-1546-801E-FBCB4746A1F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54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7</xdr:row>
      <xdr:rowOff>0</xdr:rowOff>
    </xdr:from>
    <xdr:ext cx="292100" cy="304800"/>
    <xdr:sp macro="" textlink="">
      <xdr:nvSpPr>
        <xdr:cNvPr id="16" name="AutoShape 2126" descr="alert toggle">
          <a:extLst>
            <a:ext uri="{FF2B5EF4-FFF2-40B4-BE49-F238E27FC236}">
              <a16:creationId xmlns:a16="http://schemas.microsoft.com/office/drawing/2014/main" id="{EFFDCB89-FBCC-4D4C-AF89-70524121A02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54531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04800" cy="304800"/>
    <xdr:sp macro="" textlink="">
      <xdr:nvSpPr>
        <xdr:cNvPr id="17" name="AutoShape 2129" descr="note-add">
          <a:extLst>
            <a:ext uri="{FF2B5EF4-FFF2-40B4-BE49-F238E27FC236}">
              <a16:creationId xmlns:a16="http://schemas.microsoft.com/office/drawing/2014/main" id="{67C6E3E5-9D00-9845-AD00-6C32A6F5156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50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</xdr:row>
      <xdr:rowOff>0</xdr:rowOff>
    </xdr:from>
    <xdr:ext cx="292100" cy="304800"/>
    <xdr:sp macro="" textlink="">
      <xdr:nvSpPr>
        <xdr:cNvPr id="18" name="AutoShape 2130" descr="alert toggle">
          <a:extLst>
            <a:ext uri="{FF2B5EF4-FFF2-40B4-BE49-F238E27FC236}">
              <a16:creationId xmlns:a16="http://schemas.microsoft.com/office/drawing/2014/main" id="{789E0835-554F-DA48-9A6F-CCC15024128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50340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</xdr:row>
      <xdr:rowOff>0</xdr:rowOff>
    </xdr:from>
    <xdr:ext cx="304800" cy="304800"/>
    <xdr:sp macro="" textlink="">
      <xdr:nvSpPr>
        <xdr:cNvPr id="19" name="AutoShape 2133" descr="note-add">
          <a:extLst>
            <a:ext uri="{FF2B5EF4-FFF2-40B4-BE49-F238E27FC236}">
              <a16:creationId xmlns:a16="http://schemas.microsoft.com/office/drawing/2014/main" id="{9F1D2A82-84BA-F24E-A559-2F24C930C8A5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64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12</xdr:row>
      <xdr:rowOff>0</xdr:rowOff>
    </xdr:from>
    <xdr:ext cx="292100" cy="304800"/>
    <xdr:sp macro="" textlink="">
      <xdr:nvSpPr>
        <xdr:cNvPr id="20" name="AutoShape 2134" descr="alert toggle">
          <a:extLst>
            <a:ext uri="{FF2B5EF4-FFF2-40B4-BE49-F238E27FC236}">
              <a16:creationId xmlns:a16="http://schemas.microsoft.com/office/drawing/2014/main" id="{34B6A971-0282-EB48-939B-2D20E2235D9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64691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04800"/>
    <xdr:sp macro="" textlink="">
      <xdr:nvSpPr>
        <xdr:cNvPr id="21" name="AutoShape 2137" descr="note-add">
          <a:extLst>
            <a:ext uri="{FF2B5EF4-FFF2-40B4-BE49-F238E27FC236}">
              <a16:creationId xmlns:a16="http://schemas.microsoft.com/office/drawing/2014/main" id="{4944E504-49CE-4D48-AA8B-F27E1F1B2AA0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7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19</xdr:row>
      <xdr:rowOff>0</xdr:rowOff>
    </xdr:from>
    <xdr:ext cx="292100" cy="304800"/>
    <xdr:sp macro="" textlink="">
      <xdr:nvSpPr>
        <xdr:cNvPr id="22" name="AutoShape 2138" descr="alert toggle">
          <a:extLst>
            <a:ext uri="{FF2B5EF4-FFF2-40B4-BE49-F238E27FC236}">
              <a16:creationId xmlns:a16="http://schemas.microsoft.com/office/drawing/2014/main" id="{F0B6B515-0560-BB44-984B-059DE60E0A0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78915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304800" cy="304800"/>
    <xdr:sp macro="" textlink="">
      <xdr:nvSpPr>
        <xdr:cNvPr id="23" name="AutoShape 2141" descr="note-add">
          <a:extLst>
            <a:ext uri="{FF2B5EF4-FFF2-40B4-BE49-F238E27FC236}">
              <a16:creationId xmlns:a16="http://schemas.microsoft.com/office/drawing/2014/main" id="{09518A10-C064-0E4C-995B-7BA271D4A4C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4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</xdr:row>
      <xdr:rowOff>0</xdr:rowOff>
    </xdr:from>
    <xdr:ext cx="292100" cy="304800"/>
    <xdr:sp macro="" textlink="">
      <xdr:nvSpPr>
        <xdr:cNvPr id="24" name="AutoShape 2142" descr="alert toggle">
          <a:extLst>
            <a:ext uri="{FF2B5EF4-FFF2-40B4-BE49-F238E27FC236}">
              <a16:creationId xmlns:a16="http://schemas.microsoft.com/office/drawing/2014/main" id="{A8EDE54D-E62C-1243-BFDF-7367689EDC6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41704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304800" cy="304800"/>
    <xdr:sp macro="" textlink="">
      <xdr:nvSpPr>
        <xdr:cNvPr id="25" name="AutoShape 2145" descr="note-add">
          <a:extLst>
            <a:ext uri="{FF2B5EF4-FFF2-40B4-BE49-F238E27FC236}">
              <a16:creationId xmlns:a16="http://schemas.microsoft.com/office/drawing/2014/main" id="{E69CC7E8-DF20-3F4D-B114-BBAEE1FBF66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4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2</xdr:row>
      <xdr:rowOff>0</xdr:rowOff>
    </xdr:from>
    <xdr:ext cx="292100" cy="304800"/>
    <xdr:sp macro="" textlink="">
      <xdr:nvSpPr>
        <xdr:cNvPr id="26" name="AutoShape 2146" descr="alert toggle">
          <a:extLst>
            <a:ext uri="{FF2B5EF4-FFF2-40B4-BE49-F238E27FC236}">
              <a16:creationId xmlns:a16="http://schemas.microsoft.com/office/drawing/2014/main" id="{36CF1F71-D2DE-914D-98A5-68E8744BBB9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43863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</xdr:row>
      <xdr:rowOff>0</xdr:rowOff>
    </xdr:from>
    <xdr:ext cx="304800" cy="304800"/>
    <xdr:sp macro="" textlink="">
      <xdr:nvSpPr>
        <xdr:cNvPr id="27" name="AutoShape 2149" descr="note-add">
          <a:extLst>
            <a:ext uri="{FF2B5EF4-FFF2-40B4-BE49-F238E27FC236}">
              <a16:creationId xmlns:a16="http://schemas.microsoft.com/office/drawing/2014/main" id="{75CD56F8-E0BF-BF42-81AD-AF2F97A0B53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64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12</xdr:row>
      <xdr:rowOff>0</xdr:rowOff>
    </xdr:from>
    <xdr:ext cx="292100" cy="304800"/>
    <xdr:sp macro="" textlink="">
      <xdr:nvSpPr>
        <xdr:cNvPr id="28" name="AutoShape 2150" descr="alert toggle">
          <a:extLst>
            <a:ext uri="{FF2B5EF4-FFF2-40B4-BE49-F238E27FC236}">
              <a16:creationId xmlns:a16="http://schemas.microsoft.com/office/drawing/2014/main" id="{B52D767A-4B76-2642-AE87-151CB54AA5A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64691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29" name="AutoShape 2153" descr="note-add">
          <a:extLst>
            <a:ext uri="{FF2B5EF4-FFF2-40B4-BE49-F238E27FC236}">
              <a16:creationId xmlns:a16="http://schemas.microsoft.com/office/drawing/2014/main" id="{38D06947-1928-C54C-B321-0151E5FC1D4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74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17</xdr:row>
      <xdr:rowOff>0</xdr:rowOff>
    </xdr:from>
    <xdr:ext cx="292100" cy="304800"/>
    <xdr:sp macro="" textlink="">
      <xdr:nvSpPr>
        <xdr:cNvPr id="30" name="AutoShape 2154" descr="alert toggle">
          <a:extLst>
            <a:ext uri="{FF2B5EF4-FFF2-40B4-BE49-F238E27FC236}">
              <a16:creationId xmlns:a16="http://schemas.microsoft.com/office/drawing/2014/main" id="{5416D0DD-FD1C-E84E-A88C-732F4B30B5E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74851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304800" cy="304800"/>
    <xdr:sp macro="" textlink="">
      <xdr:nvSpPr>
        <xdr:cNvPr id="31" name="AutoShape 2157" descr="note-add">
          <a:extLst>
            <a:ext uri="{FF2B5EF4-FFF2-40B4-BE49-F238E27FC236}">
              <a16:creationId xmlns:a16="http://schemas.microsoft.com/office/drawing/2014/main" id="{E4E7B19F-3509-A14B-B6D0-21C7EEF2FE92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43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2</xdr:row>
      <xdr:rowOff>0</xdr:rowOff>
    </xdr:from>
    <xdr:ext cx="292100" cy="304800"/>
    <xdr:sp macro="" textlink="">
      <xdr:nvSpPr>
        <xdr:cNvPr id="32" name="AutoShape 2158" descr="alert toggle">
          <a:extLst>
            <a:ext uri="{FF2B5EF4-FFF2-40B4-BE49-F238E27FC236}">
              <a16:creationId xmlns:a16="http://schemas.microsoft.com/office/drawing/2014/main" id="{48478D87-76DB-6A46-9F8A-8409CCF92F2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43863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</xdr:row>
      <xdr:rowOff>0</xdr:rowOff>
    </xdr:from>
    <xdr:ext cx="304800" cy="304800"/>
    <xdr:sp macro="" textlink="">
      <xdr:nvSpPr>
        <xdr:cNvPr id="33" name="AutoShape 2161" descr="note-add">
          <a:extLst>
            <a:ext uri="{FF2B5EF4-FFF2-40B4-BE49-F238E27FC236}">
              <a16:creationId xmlns:a16="http://schemas.microsoft.com/office/drawing/2014/main" id="{570BEDBA-70FF-CF4D-91D0-11D615F42495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66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13</xdr:row>
      <xdr:rowOff>0</xdr:rowOff>
    </xdr:from>
    <xdr:ext cx="292100" cy="304800"/>
    <xdr:sp macro="" textlink="">
      <xdr:nvSpPr>
        <xdr:cNvPr id="34" name="AutoShape 2162" descr="alert toggle">
          <a:extLst>
            <a:ext uri="{FF2B5EF4-FFF2-40B4-BE49-F238E27FC236}">
              <a16:creationId xmlns:a16="http://schemas.microsoft.com/office/drawing/2014/main" id="{DCFBF951-8FB1-A840-9142-4DF9CE01FC6F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66723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</xdr:row>
      <xdr:rowOff>0</xdr:rowOff>
    </xdr:from>
    <xdr:ext cx="304800" cy="304800"/>
    <xdr:sp macro="" textlink="">
      <xdr:nvSpPr>
        <xdr:cNvPr id="35" name="AutoShape 2165" descr="note-add">
          <a:extLst>
            <a:ext uri="{FF2B5EF4-FFF2-40B4-BE49-F238E27FC236}">
              <a16:creationId xmlns:a16="http://schemas.microsoft.com/office/drawing/2014/main" id="{2D2C9088-FF39-CA45-BCDF-16F87D1380B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452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6</xdr:row>
      <xdr:rowOff>0</xdr:rowOff>
    </xdr:from>
    <xdr:ext cx="292100" cy="304800"/>
    <xdr:sp macro="" textlink="">
      <xdr:nvSpPr>
        <xdr:cNvPr id="36" name="AutoShape 2166" descr="alert toggle">
          <a:extLst>
            <a:ext uri="{FF2B5EF4-FFF2-40B4-BE49-F238E27FC236}">
              <a16:creationId xmlns:a16="http://schemas.microsoft.com/office/drawing/2014/main" id="{6811AF75-D24A-9A40-915F-588ED940B77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452499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40</xdr:row>
      <xdr:rowOff>0</xdr:rowOff>
    </xdr:from>
    <xdr:ext cx="304800" cy="304800"/>
    <xdr:sp macro="" textlink="">
      <xdr:nvSpPr>
        <xdr:cNvPr id="37" name="AutoShape 2217" descr="note-add">
          <a:extLst>
            <a:ext uri="{FF2B5EF4-FFF2-40B4-BE49-F238E27FC236}">
              <a16:creationId xmlns:a16="http://schemas.microsoft.com/office/drawing/2014/main" id="{39FCD2B8-D981-C34D-9E30-4869120BE4B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2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40</xdr:row>
      <xdr:rowOff>0</xdr:rowOff>
    </xdr:from>
    <xdr:ext cx="304800" cy="304800"/>
    <xdr:sp macro="" textlink="">
      <xdr:nvSpPr>
        <xdr:cNvPr id="38" name="AutoShape 2218" descr="alert toggle">
          <a:extLst>
            <a:ext uri="{FF2B5EF4-FFF2-40B4-BE49-F238E27FC236}">
              <a16:creationId xmlns:a16="http://schemas.microsoft.com/office/drawing/2014/main" id="{23994648-4777-ED49-932F-8028B1B5DDB9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22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42</xdr:row>
      <xdr:rowOff>0</xdr:rowOff>
    </xdr:from>
    <xdr:ext cx="304800" cy="304800"/>
    <xdr:sp macro="" textlink="">
      <xdr:nvSpPr>
        <xdr:cNvPr id="39" name="AutoShape 2221" descr="note-add">
          <a:extLst>
            <a:ext uri="{FF2B5EF4-FFF2-40B4-BE49-F238E27FC236}">
              <a16:creationId xmlns:a16="http://schemas.microsoft.com/office/drawing/2014/main" id="{925019C8-39D6-5F4B-87C7-D11A8027A9F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26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42</xdr:row>
      <xdr:rowOff>0</xdr:rowOff>
    </xdr:from>
    <xdr:ext cx="304800" cy="304800"/>
    <xdr:sp macro="" textlink="">
      <xdr:nvSpPr>
        <xdr:cNvPr id="40" name="AutoShape 2222" descr="alert toggle">
          <a:extLst>
            <a:ext uri="{FF2B5EF4-FFF2-40B4-BE49-F238E27FC236}">
              <a16:creationId xmlns:a16="http://schemas.microsoft.com/office/drawing/2014/main" id="{52DD775E-691C-684E-92E7-CEF845D26E9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26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304800" cy="304800"/>
    <xdr:sp macro="" textlink="">
      <xdr:nvSpPr>
        <xdr:cNvPr id="41" name="AutoShape 2225" descr="note-add">
          <a:extLst>
            <a:ext uri="{FF2B5EF4-FFF2-40B4-BE49-F238E27FC236}">
              <a16:creationId xmlns:a16="http://schemas.microsoft.com/office/drawing/2014/main" id="{DDDD1B7C-1175-C443-9006-EB7A0FC97CF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3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47</xdr:row>
      <xdr:rowOff>0</xdr:rowOff>
    </xdr:from>
    <xdr:ext cx="304800" cy="304800"/>
    <xdr:sp macro="" textlink="">
      <xdr:nvSpPr>
        <xdr:cNvPr id="42" name="AutoShape 2226" descr="alert toggle">
          <a:extLst>
            <a:ext uri="{FF2B5EF4-FFF2-40B4-BE49-F238E27FC236}">
              <a16:creationId xmlns:a16="http://schemas.microsoft.com/office/drawing/2014/main" id="{89FED8B1-7BAB-354B-A8F8-70C357824F7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3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47</xdr:row>
      <xdr:rowOff>0</xdr:rowOff>
    </xdr:from>
    <xdr:ext cx="304800" cy="304800"/>
    <xdr:sp macro="" textlink="">
      <xdr:nvSpPr>
        <xdr:cNvPr id="43" name="AutoShape 2229" descr="note-add">
          <a:extLst>
            <a:ext uri="{FF2B5EF4-FFF2-40B4-BE49-F238E27FC236}">
              <a16:creationId xmlns:a16="http://schemas.microsoft.com/office/drawing/2014/main" id="{AD25807E-A8FE-674A-B9BF-65FB6D5C905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3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47</xdr:row>
      <xdr:rowOff>0</xdr:rowOff>
    </xdr:from>
    <xdr:ext cx="304800" cy="304800"/>
    <xdr:sp macro="" textlink="">
      <xdr:nvSpPr>
        <xdr:cNvPr id="44" name="AutoShape 2230" descr="alert toggle">
          <a:extLst>
            <a:ext uri="{FF2B5EF4-FFF2-40B4-BE49-F238E27FC236}">
              <a16:creationId xmlns:a16="http://schemas.microsoft.com/office/drawing/2014/main" id="{4CE52BE5-0C8B-3B4F-BC1E-E833329FFAD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3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48</xdr:row>
      <xdr:rowOff>0</xdr:rowOff>
    </xdr:from>
    <xdr:ext cx="304800" cy="304800"/>
    <xdr:sp macro="" textlink="">
      <xdr:nvSpPr>
        <xdr:cNvPr id="45" name="AutoShape 2233" descr="note-add">
          <a:extLst>
            <a:ext uri="{FF2B5EF4-FFF2-40B4-BE49-F238E27FC236}">
              <a16:creationId xmlns:a16="http://schemas.microsoft.com/office/drawing/2014/main" id="{4C81EA1E-90EE-BE48-B900-1EF0CA84505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39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48</xdr:row>
      <xdr:rowOff>0</xdr:rowOff>
    </xdr:from>
    <xdr:ext cx="304800" cy="304800"/>
    <xdr:sp macro="" textlink="">
      <xdr:nvSpPr>
        <xdr:cNvPr id="46" name="AutoShape 2234" descr="alert toggle">
          <a:extLst>
            <a:ext uri="{FF2B5EF4-FFF2-40B4-BE49-F238E27FC236}">
              <a16:creationId xmlns:a16="http://schemas.microsoft.com/office/drawing/2014/main" id="{22F32AC9-04D5-654E-8AB6-2F32CEFE41A3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39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49</xdr:row>
      <xdr:rowOff>0</xdr:rowOff>
    </xdr:from>
    <xdr:ext cx="304800" cy="304800"/>
    <xdr:sp macro="" textlink="">
      <xdr:nvSpPr>
        <xdr:cNvPr id="47" name="AutoShape 2237" descr="note-add">
          <a:extLst>
            <a:ext uri="{FF2B5EF4-FFF2-40B4-BE49-F238E27FC236}">
              <a16:creationId xmlns:a16="http://schemas.microsoft.com/office/drawing/2014/main" id="{D039C2E3-178D-DC47-95A0-91C4162F673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41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49</xdr:row>
      <xdr:rowOff>0</xdr:rowOff>
    </xdr:from>
    <xdr:ext cx="304800" cy="304800"/>
    <xdr:sp macro="" textlink="">
      <xdr:nvSpPr>
        <xdr:cNvPr id="48" name="AutoShape 2238" descr="alert toggle">
          <a:extLst>
            <a:ext uri="{FF2B5EF4-FFF2-40B4-BE49-F238E27FC236}">
              <a16:creationId xmlns:a16="http://schemas.microsoft.com/office/drawing/2014/main" id="{899FDA33-EEC1-E241-B0B1-A6B9BBDF218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41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50</xdr:row>
      <xdr:rowOff>0</xdr:rowOff>
    </xdr:from>
    <xdr:ext cx="304800" cy="304800"/>
    <xdr:sp macro="" textlink="">
      <xdr:nvSpPr>
        <xdr:cNvPr id="49" name="AutoShape 2241" descr="note-add">
          <a:extLst>
            <a:ext uri="{FF2B5EF4-FFF2-40B4-BE49-F238E27FC236}">
              <a16:creationId xmlns:a16="http://schemas.microsoft.com/office/drawing/2014/main" id="{90230F70-B0AF-CA4B-9A35-61568214DDD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4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50</xdr:row>
      <xdr:rowOff>0</xdr:rowOff>
    </xdr:from>
    <xdr:ext cx="304800" cy="304800"/>
    <xdr:sp macro="" textlink="">
      <xdr:nvSpPr>
        <xdr:cNvPr id="50" name="AutoShape 2242" descr="alert toggle">
          <a:extLst>
            <a:ext uri="{FF2B5EF4-FFF2-40B4-BE49-F238E27FC236}">
              <a16:creationId xmlns:a16="http://schemas.microsoft.com/office/drawing/2014/main" id="{D1FD2EED-780D-5948-8A51-15C4D38BAFA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43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51</xdr:row>
      <xdr:rowOff>0</xdr:rowOff>
    </xdr:from>
    <xdr:ext cx="304800" cy="304800"/>
    <xdr:sp macro="" textlink="">
      <xdr:nvSpPr>
        <xdr:cNvPr id="51" name="AutoShape 2245" descr="note-add">
          <a:extLst>
            <a:ext uri="{FF2B5EF4-FFF2-40B4-BE49-F238E27FC236}">
              <a16:creationId xmlns:a16="http://schemas.microsoft.com/office/drawing/2014/main" id="{965D9D7D-697A-E940-9483-CD7E3FD9B7B0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45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51</xdr:row>
      <xdr:rowOff>0</xdr:rowOff>
    </xdr:from>
    <xdr:ext cx="304800" cy="304800"/>
    <xdr:sp macro="" textlink="">
      <xdr:nvSpPr>
        <xdr:cNvPr id="52" name="AutoShape 2246" descr="alert toggle">
          <a:extLst>
            <a:ext uri="{FF2B5EF4-FFF2-40B4-BE49-F238E27FC236}">
              <a16:creationId xmlns:a16="http://schemas.microsoft.com/office/drawing/2014/main" id="{8A658FFC-4E41-2A4E-B2F5-0447D45B8EE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45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304800" cy="304800"/>
    <xdr:sp macro="" textlink="">
      <xdr:nvSpPr>
        <xdr:cNvPr id="53" name="AutoShape 2249" descr="note-add">
          <a:extLst>
            <a:ext uri="{FF2B5EF4-FFF2-40B4-BE49-F238E27FC236}">
              <a16:creationId xmlns:a16="http://schemas.microsoft.com/office/drawing/2014/main" id="{9A998A1E-A9D8-6E47-B0A5-40BA1342A91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4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52</xdr:row>
      <xdr:rowOff>0</xdr:rowOff>
    </xdr:from>
    <xdr:ext cx="304800" cy="304800"/>
    <xdr:sp macro="" textlink="">
      <xdr:nvSpPr>
        <xdr:cNvPr id="54" name="AutoShape 2250" descr="alert toggle">
          <a:extLst>
            <a:ext uri="{FF2B5EF4-FFF2-40B4-BE49-F238E27FC236}">
              <a16:creationId xmlns:a16="http://schemas.microsoft.com/office/drawing/2014/main" id="{D0639CF3-6AA9-D44A-A759-D8515EEE366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4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52</xdr:row>
      <xdr:rowOff>0</xdr:rowOff>
    </xdr:from>
    <xdr:ext cx="304800" cy="304800"/>
    <xdr:sp macro="" textlink="">
      <xdr:nvSpPr>
        <xdr:cNvPr id="55" name="AutoShape 2253" descr="note-add">
          <a:extLst>
            <a:ext uri="{FF2B5EF4-FFF2-40B4-BE49-F238E27FC236}">
              <a16:creationId xmlns:a16="http://schemas.microsoft.com/office/drawing/2014/main" id="{F5756D27-786C-1C40-95D4-6E26AE231F9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4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52</xdr:row>
      <xdr:rowOff>0</xdr:rowOff>
    </xdr:from>
    <xdr:ext cx="304800" cy="304800"/>
    <xdr:sp macro="" textlink="">
      <xdr:nvSpPr>
        <xdr:cNvPr id="56" name="AutoShape 2254" descr="alert toggle">
          <a:extLst>
            <a:ext uri="{FF2B5EF4-FFF2-40B4-BE49-F238E27FC236}">
              <a16:creationId xmlns:a16="http://schemas.microsoft.com/office/drawing/2014/main" id="{8DA9F7E6-6746-A442-A740-5DCC9F0C4118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4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55</xdr:row>
      <xdr:rowOff>0</xdr:rowOff>
    </xdr:from>
    <xdr:ext cx="304800" cy="304800"/>
    <xdr:sp macro="" textlink="">
      <xdr:nvSpPr>
        <xdr:cNvPr id="57" name="AutoShape 2257" descr="note-add">
          <a:extLst>
            <a:ext uri="{FF2B5EF4-FFF2-40B4-BE49-F238E27FC236}">
              <a16:creationId xmlns:a16="http://schemas.microsoft.com/office/drawing/2014/main" id="{E7BD4738-34A1-3042-9E44-20F69A08A4E2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5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55</xdr:row>
      <xdr:rowOff>0</xdr:rowOff>
    </xdr:from>
    <xdr:ext cx="304800" cy="304800"/>
    <xdr:sp macro="" textlink="">
      <xdr:nvSpPr>
        <xdr:cNvPr id="58" name="AutoShape 2258" descr="alert toggle">
          <a:extLst>
            <a:ext uri="{FF2B5EF4-FFF2-40B4-BE49-F238E27FC236}">
              <a16:creationId xmlns:a16="http://schemas.microsoft.com/office/drawing/2014/main" id="{4F49F825-76E7-2F4A-B9C5-50092B41862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54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56</xdr:row>
      <xdr:rowOff>0</xdr:rowOff>
    </xdr:from>
    <xdr:ext cx="304800" cy="304800"/>
    <xdr:sp macro="" textlink="">
      <xdr:nvSpPr>
        <xdr:cNvPr id="59" name="AutoShape 2261" descr="note-add">
          <a:extLst>
            <a:ext uri="{FF2B5EF4-FFF2-40B4-BE49-F238E27FC236}">
              <a16:creationId xmlns:a16="http://schemas.microsoft.com/office/drawing/2014/main" id="{EE443444-9D94-A542-8957-7E90BC7833B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5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56</xdr:row>
      <xdr:rowOff>0</xdr:rowOff>
    </xdr:from>
    <xdr:ext cx="304800" cy="304800"/>
    <xdr:sp macro="" textlink="">
      <xdr:nvSpPr>
        <xdr:cNvPr id="60" name="AutoShape 2262" descr="alert toggle">
          <a:extLst>
            <a:ext uri="{FF2B5EF4-FFF2-40B4-BE49-F238E27FC236}">
              <a16:creationId xmlns:a16="http://schemas.microsoft.com/office/drawing/2014/main" id="{7A800C5B-E11B-C343-BEA9-46017D514446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5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57</xdr:row>
      <xdr:rowOff>0</xdr:rowOff>
    </xdr:from>
    <xdr:ext cx="304800" cy="304800"/>
    <xdr:sp macro="" textlink="">
      <xdr:nvSpPr>
        <xdr:cNvPr id="61" name="AutoShape 2265" descr="note-add">
          <a:extLst>
            <a:ext uri="{FF2B5EF4-FFF2-40B4-BE49-F238E27FC236}">
              <a16:creationId xmlns:a16="http://schemas.microsoft.com/office/drawing/2014/main" id="{1FF9FDA8-29E2-0D4E-BDCB-809CCD331055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5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57</xdr:row>
      <xdr:rowOff>0</xdr:rowOff>
    </xdr:from>
    <xdr:ext cx="304800" cy="304800"/>
    <xdr:sp macro="" textlink="">
      <xdr:nvSpPr>
        <xdr:cNvPr id="62" name="AutoShape 2266" descr="alert toggle">
          <a:extLst>
            <a:ext uri="{FF2B5EF4-FFF2-40B4-BE49-F238E27FC236}">
              <a16:creationId xmlns:a16="http://schemas.microsoft.com/office/drawing/2014/main" id="{71D23D28-3E72-A044-864F-37791282C3CD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59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58</xdr:row>
      <xdr:rowOff>0</xdr:rowOff>
    </xdr:from>
    <xdr:ext cx="304800" cy="304800"/>
    <xdr:sp macro="" textlink="">
      <xdr:nvSpPr>
        <xdr:cNvPr id="63" name="AutoShape 2269" descr="note-add">
          <a:extLst>
            <a:ext uri="{FF2B5EF4-FFF2-40B4-BE49-F238E27FC236}">
              <a16:creationId xmlns:a16="http://schemas.microsoft.com/office/drawing/2014/main" id="{967EE31A-BE56-7A4B-B456-D1BF84835A9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61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58</xdr:row>
      <xdr:rowOff>0</xdr:rowOff>
    </xdr:from>
    <xdr:ext cx="304800" cy="304800"/>
    <xdr:sp macro="" textlink="">
      <xdr:nvSpPr>
        <xdr:cNvPr id="64" name="AutoShape 2270" descr="alert toggle">
          <a:extLst>
            <a:ext uri="{FF2B5EF4-FFF2-40B4-BE49-F238E27FC236}">
              <a16:creationId xmlns:a16="http://schemas.microsoft.com/office/drawing/2014/main" id="{2B69F955-AC9D-E648-8025-8ABF96FE971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61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59</xdr:row>
      <xdr:rowOff>0</xdr:rowOff>
    </xdr:from>
    <xdr:ext cx="304800" cy="304800"/>
    <xdr:sp macro="" textlink="">
      <xdr:nvSpPr>
        <xdr:cNvPr id="65" name="AutoShape 2273" descr="note-add">
          <a:extLst>
            <a:ext uri="{FF2B5EF4-FFF2-40B4-BE49-F238E27FC236}">
              <a16:creationId xmlns:a16="http://schemas.microsoft.com/office/drawing/2014/main" id="{D961ACCC-4597-0E4C-BBF2-9BD29BE34825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56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317500</xdr:colOff>
      <xdr:row>59</xdr:row>
      <xdr:rowOff>0</xdr:rowOff>
    </xdr:from>
    <xdr:ext cx="304800" cy="304800"/>
    <xdr:sp macro="" textlink="">
      <xdr:nvSpPr>
        <xdr:cNvPr id="66" name="AutoShape 2274" descr="alert toggle">
          <a:extLst>
            <a:ext uri="{FF2B5EF4-FFF2-40B4-BE49-F238E27FC236}">
              <a16:creationId xmlns:a16="http://schemas.microsoft.com/office/drawing/2014/main" id="{C12A05C3-FEB6-F547-9C85-D47E9CCA63D3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56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49" name="AutoShape 464" descr="note-add">
          <a:extLst>
            <a:ext uri="{FF2B5EF4-FFF2-40B4-BE49-F238E27FC236}">
              <a16:creationId xmlns:a16="http://schemas.microsoft.com/office/drawing/2014/main" id="{88D948B9-1B96-7F4B-9B1A-51967AF0DF89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50" name="AutoShape 465" descr="alert toggle">
          <a:extLst>
            <a:ext uri="{FF2B5EF4-FFF2-40B4-BE49-F238E27FC236}">
              <a16:creationId xmlns:a16="http://schemas.microsoft.com/office/drawing/2014/main" id="{5E65EF5F-0A6E-6B48-BADE-F488B1ED2FE4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51" name="AutoShape 466" descr="note-add">
          <a:extLst>
            <a:ext uri="{FF2B5EF4-FFF2-40B4-BE49-F238E27FC236}">
              <a16:creationId xmlns:a16="http://schemas.microsoft.com/office/drawing/2014/main" id="{E36325F0-6EE6-B148-94FF-AC59B54DFA3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52" name="AutoShape 467" descr="alert toggle">
          <a:extLst>
            <a:ext uri="{FF2B5EF4-FFF2-40B4-BE49-F238E27FC236}">
              <a16:creationId xmlns:a16="http://schemas.microsoft.com/office/drawing/2014/main" id="{42870092-706A-3E4C-946C-9300434F632B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53" name="AutoShape 470" descr="note-add">
          <a:extLst>
            <a:ext uri="{FF2B5EF4-FFF2-40B4-BE49-F238E27FC236}">
              <a16:creationId xmlns:a16="http://schemas.microsoft.com/office/drawing/2014/main" id="{78023C04-7D67-174A-9248-1032432D302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54" name="AutoShape 471" descr="alert toggle">
          <a:extLst>
            <a:ext uri="{FF2B5EF4-FFF2-40B4-BE49-F238E27FC236}">
              <a16:creationId xmlns:a16="http://schemas.microsoft.com/office/drawing/2014/main" id="{E8DCAF0E-6495-A744-86F2-FC949BA2C7F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55" name="AutoShape 472" descr="note-add">
          <a:extLst>
            <a:ext uri="{FF2B5EF4-FFF2-40B4-BE49-F238E27FC236}">
              <a16:creationId xmlns:a16="http://schemas.microsoft.com/office/drawing/2014/main" id="{BF9AAF93-254D-6F48-B27C-7E77AF5BBC6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56" name="AutoShape 473" descr="alert toggle">
          <a:extLst>
            <a:ext uri="{FF2B5EF4-FFF2-40B4-BE49-F238E27FC236}">
              <a16:creationId xmlns:a16="http://schemas.microsoft.com/office/drawing/2014/main" id="{7702A62A-47C7-EB41-A1E9-22CF4FFC0604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57" name="AutoShape 474" descr="note-add">
          <a:extLst>
            <a:ext uri="{FF2B5EF4-FFF2-40B4-BE49-F238E27FC236}">
              <a16:creationId xmlns:a16="http://schemas.microsoft.com/office/drawing/2014/main" id="{A048CE8F-9EBB-2E48-BC26-1F378AE16CF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58" name="AutoShape 475" descr="alert toggle">
          <a:extLst>
            <a:ext uri="{FF2B5EF4-FFF2-40B4-BE49-F238E27FC236}">
              <a16:creationId xmlns:a16="http://schemas.microsoft.com/office/drawing/2014/main" id="{6DD35398-9FA7-0345-A91B-52452F51160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59" name="AutoShape 476" descr="note-add">
          <a:extLst>
            <a:ext uri="{FF2B5EF4-FFF2-40B4-BE49-F238E27FC236}">
              <a16:creationId xmlns:a16="http://schemas.microsoft.com/office/drawing/2014/main" id="{A2819C0B-5B03-CE4B-BA14-39CDC8088D8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60" name="AutoShape 477" descr="alert toggle">
          <a:extLst>
            <a:ext uri="{FF2B5EF4-FFF2-40B4-BE49-F238E27FC236}">
              <a16:creationId xmlns:a16="http://schemas.microsoft.com/office/drawing/2014/main" id="{71E3370D-B1A7-044F-B97A-BD4177427FD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61" name="AutoShape 478" descr="note-add">
          <a:extLst>
            <a:ext uri="{FF2B5EF4-FFF2-40B4-BE49-F238E27FC236}">
              <a16:creationId xmlns:a16="http://schemas.microsoft.com/office/drawing/2014/main" id="{012DEFE9-AB13-8B43-92B2-591273413E0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62" name="AutoShape 480" descr="note-add">
          <a:extLst>
            <a:ext uri="{FF2B5EF4-FFF2-40B4-BE49-F238E27FC236}">
              <a16:creationId xmlns:a16="http://schemas.microsoft.com/office/drawing/2014/main" id="{CD8E2DB3-3943-F840-8F97-28241CB8E85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63" name="AutoShape 481" descr="alert toggle">
          <a:extLst>
            <a:ext uri="{FF2B5EF4-FFF2-40B4-BE49-F238E27FC236}">
              <a16:creationId xmlns:a16="http://schemas.microsoft.com/office/drawing/2014/main" id="{AB86B565-4480-CC4A-83A6-F948345870E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64" name="AutoShape 482" descr="note-add">
          <a:extLst>
            <a:ext uri="{FF2B5EF4-FFF2-40B4-BE49-F238E27FC236}">
              <a16:creationId xmlns:a16="http://schemas.microsoft.com/office/drawing/2014/main" id="{37A50CF4-23D2-D141-86F8-46DFD0F3ADD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65" name="AutoShape 483" descr="alert toggle">
          <a:extLst>
            <a:ext uri="{FF2B5EF4-FFF2-40B4-BE49-F238E27FC236}">
              <a16:creationId xmlns:a16="http://schemas.microsoft.com/office/drawing/2014/main" id="{053E97E7-89F1-D643-B0B2-2DCEFB1DF4E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66" name="AutoShape 484" descr="note-add">
          <a:extLst>
            <a:ext uri="{FF2B5EF4-FFF2-40B4-BE49-F238E27FC236}">
              <a16:creationId xmlns:a16="http://schemas.microsoft.com/office/drawing/2014/main" id="{0D34C824-4E74-EB46-B73D-3F781E4D92D6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67" name="AutoShape 485" descr="alert toggle">
          <a:extLst>
            <a:ext uri="{FF2B5EF4-FFF2-40B4-BE49-F238E27FC236}">
              <a16:creationId xmlns:a16="http://schemas.microsoft.com/office/drawing/2014/main" id="{CC170559-1412-0844-8CDA-5714637A870E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68" name="AutoShape 486" descr="note-add">
          <a:extLst>
            <a:ext uri="{FF2B5EF4-FFF2-40B4-BE49-F238E27FC236}">
              <a16:creationId xmlns:a16="http://schemas.microsoft.com/office/drawing/2014/main" id="{196B3CA9-9FAB-C540-A311-6773AF62DC0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69" name="AutoShape 487" descr="alert toggle">
          <a:extLst>
            <a:ext uri="{FF2B5EF4-FFF2-40B4-BE49-F238E27FC236}">
              <a16:creationId xmlns:a16="http://schemas.microsoft.com/office/drawing/2014/main" id="{13878CA2-ED17-964E-9ADA-C52C8D2E4854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70" name="AutoShape 488" descr="note-add">
          <a:extLst>
            <a:ext uri="{FF2B5EF4-FFF2-40B4-BE49-F238E27FC236}">
              <a16:creationId xmlns:a16="http://schemas.microsoft.com/office/drawing/2014/main" id="{3879F5C0-77F4-CF43-9BA4-36F81DF30F60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71" name="AutoShape 489" descr="alert toggle">
          <a:extLst>
            <a:ext uri="{FF2B5EF4-FFF2-40B4-BE49-F238E27FC236}">
              <a16:creationId xmlns:a16="http://schemas.microsoft.com/office/drawing/2014/main" id="{B2445630-33D5-EE44-9A48-E88A5AB2E9CB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72" name="AutoShape 490" descr="note-add">
          <a:extLst>
            <a:ext uri="{FF2B5EF4-FFF2-40B4-BE49-F238E27FC236}">
              <a16:creationId xmlns:a16="http://schemas.microsoft.com/office/drawing/2014/main" id="{AE55C1DE-5240-0F43-BF6E-B5D97A91677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73" name="AutoShape 491" descr="alert toggle">
          <a:extLst>
            <a:ext uri="{FF2B5EF4-FFF2-40B4-BE49-F238E27FC236}">
              <a16:creationId xmlns:a16="http://schemas.microsoft.com/office/drawing/2014/main" id="{5C68E85A-0EDA-B043-93C1-FD76C7BA2D1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74" name="AutoShape 492" descr="note-add">
          <a:extLst>
            <a:ext uri="{FF2B5EF4-FFF2-40B4-BE49-F238E27FC236}">
              <a16:creationId xmlns:a16="http://schemas.microsoft.com/office/drawing/2014/main" id="{5E683331-2DE3-E843-81C9-02A740B6204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75" name="AutoShape 493" descr="alert toggle">
          <a:extLst>
            <a:ext uri="{FF2B5EF4-FFF2-40B4-BE49-F238E27FC236}">
              <a16:creationId xmlns:a16="http://schemas.microsoft.com/office/drawing/2014/main" id="{F828D67E-B9A1-004A-8C01-4BBCCE54DB6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76" name="AutoShape 494" descr="note-add">
          <a:extLst>
            <a:ext uri="{FF2B5EF4-FFF2-40B4-BE49-F238E27FC236}">
              <a16:creationId xmlns:a16="http://schemas.microsoft.com/office/drawing/2014/main" id="{5ABCCC80-79BD-0A47-A071-D8B9D43D197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77" name="AutoShape 495" descr="alert toggle">
          <a:extLst>
            <a:ext uri="{FF2B5EF4-FFF2-40B4-BE49-F238E27FC236}">
              <a16:creationId xmlns:a16="http://schemas.microsoft.com/office/drawing/2014/main" id="{C6CA14EF-EC3B-994D-BA66-1175D02C0EB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578" name="AutoShape 496" descr="note-add">
          <a:extLst>
            <a:ext uri="{FF2B5EF4-FFF2-40B4-BE49-F238E27FC236}">
              <a16:creationId xmlns:a16="http://schemas.microsoft.com/office/drawing/2014/main" id="{2742E0C8-3079-C04B-9A94-CDD70A87C3E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79" name="AutoShape 497" descr="alert toggle">
          <a:extLst>
            <a:ext uri="{FF2B5EF4-FFF2-40B4-BE49-F238E27FC236}">
              <a16:creationId xmlns:a16="http://schemas.microsoft.com/office/drawing/2014/main" id="{B07449C2-638B-DE41-9170-80724E2235E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0</xdr:row>
      <xdr:rowOff>0</xdr:rowOff>
    </xdr:from>
    <xdr:ext cx="317500" cy="279400"/>
    <xdr:sp macro="" textlink="">
      <xdr:nvSpPr>
        <xdr:cNvPr id="580" name="AutoShape 500" descr="note-add">
          <a:extLst>
            <a:ext uri="{FF2B5EF4-FFF2-40B4-BE49-F238E27FC236}">
              <a16:creationId xmlns:a16="http://schemas.microsoft.com/office/drawing/2014/main" id="{7D8A784E-2CA8-664D-BA28-F8033F3E980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0</xdr:row>
      <xdr:rowOff>0</xdr:rowOff>
    </xdr:from>
    <xdr:ext cx="317500" cy="279400"/>
    <xdr:sp macro="" textlink="">
      <xdr:nvSpPr>
        <xdr:cNvPr id="581" name="AutoShape 502" descr="note-add">
          <a:extLst>
            <a:ext uri="{FF2B5EF4-FFF2-40B4-BE49-F238E27FC236}">
              <a16:creationId xmlns:a16="http://schemas.microsoft.com/office/drawing/2014/main" id="{5602452B-5620-AD4F-91FC-14CCA9A4FC12}"/>
            </a:ext>
          </a:extLst>
        </xdr:cNvPr>
        <xdr:cNvSpPr>
          <a:spLocks noChangeAspect="1" noChangeArrowheads="1"/>
        </xdr:cNvSpPr>
      </xdr:nvSpPr>
      <xdr:spPr bwMode="auto">
        <a:xfrm>
          <a:off x="2331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317500" cy="279400"/>
    <xdr:sp macro="" textlink="">
      <xdr:nvSpPr>
        <xdr:cNvPr id="582" name="AutoShape 506" descr="note-add">
          <a:extLst>
            <a:ext uri="{FF2B5EF4-FFF2-40B4-BE49-F238E27FC236}">
              <a16:creationId xmlns:a16="http://schemas.microsoft.com/office/drawing/2014/main" id="{83B1AC60-A886-F04E-A63D-ABDC2A111561}"/>
            </a:ext>
          </a:extLst>
        </xdr:cNvPr>
        <xdr:cNvSpPr>
          <a:spLocks noChangeAspect="1" noChangeArrowheads="1"/>
        </xdr:cNvSpPr>
      </xdr:nvSpPr>
      <xdr:spPr bwMode="auto">
        <a:xfrm>
          <a:off x="156845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317500</xdr:colOff>
      <xdr:row>0</xdr:row>
      <xdr:rowOff>0</xdr:rowOff>
    </xdr:from>
    <xdr:ext cx="292100" cy="279400"/>
    <xdr:sp macro="" textlink="">
      <xdr:nvSpPr>
        <xdr:cNvPr id="583" name="AutoShape 507" descr="alert toggle">
          <a:extLst>
            <a:ext uri="{FF2B5EF4-FFF2-40B4-BE49-F238E27FC236}">
              <a16:creationId xmlns:a16="http://schemas.microsoft.com/office/drawing/2014/main" id="{3EB5F842-FF0F-6247-8451-25D25296716F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495300"/>
          <a:ext cx="2921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0</xdr:row>
      <xdr:rowOff>0</xdr:rowOff>
    </xdr:from>
    <xdr:ext cx="317500" cy="279400"/>
    <xdr:sp macro="" textlink="">
      <xdr:nvSpPr>
        <xdr:cNvPr id="584" name="AutoShape 508" descr="note-add">
          <a:extLst>
            <a:ext uri="{FF2B5EF4-FFF2-40B4-BE49-F238E27FC236}">
              <a16:creationId xmlns:a16="http://schemas.microsoft.com/office/drawing/2014/main" id="{E8FE3A7F-0D64-8D46-A417-9BD0C4C31DB6}"/>
            </a:ext>
          </a:extLst>
        </xdr:cNvPr>
        <xdr:cNvSpPr>
          <a:spLocks noChangeAspect="1" noChangeArrowheads="1"/>
        </xdr:cNvSpPr>
      </xdr:nvSpPr>
      <xdr:spPr bwMode="auto">
        <a:xfrm>
          <a:off x="261620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317500</xdr:colOff>
      <xdr:row>0</xdr:row>
      <xdr:rowOff>0</xdr:rowOff>
    </xdr:from>
    <xdr:ext cx="304800" cy="279400"/>
    <xdr:sp macro="" textlink="">
      <xdr:nvSpPr>
        <xdr:cNvPr id="585" name="AutoShape 509" descr="alert toggle">
          <a:extLst>
            <a:ext uri="{FF2B5EF4-FFF2-40B4-BE49-F238E27FC236}">
              <a16:creationId xmlns:a16="http://schemas.microsoft.com/office/drawing/2014/main" id="{2D1E50B9-B15B-6141-91BC-BCF37EE99318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0</xdr:row>
      <xdr:rowOff>0</xdr:rowOff>
    </xdr:from>
    <xdr:ext cx="317500" cy="279400"/>
    <xdr:sp macro="" textlink="">
      <xdr:nvSpPr>
        <xdr:cNvPr id="586" name="AutoShape 510" descr="note-add">
          <a:extLst>
            <a:ext uri="{FF2B5EF4-FFF2-40B4-BE49-F238E27FC236}">
              <a16:creationId xmlns:a16="http://schemas.microsoft.com/office/drawing/2014/main" id="{BE485D35-CEB3-944E-93EF-15C72BBDB38A}"/>
            </a:ext>
          </a:extLst>
        </xdr:cNvPr>
        <xdr:cNvSpPr>
          <a:spLocks noChangeAspect="1" noChangeArrowheads="1"/>
        </xdr:cNvSpPr>
      </xdr:nvSpPr>
      <xdr:spPr bwMode="auto">
        <a:xfrm>
          <a:off x="272288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</xdr:row>
      <xdr:rowOff>0</xdr:rowOff>
    </xdr:from>
    <xdr:ext cx="304800" cy="279400"/>
    <xdr:sp macro="" textlink="">
      <xdr:nvSpPr>
        <xdr:cNvPr id="587" name="AutoShape 2167" descr="note-add">
          <a:extLst>
            <a:ext uri="{FF2B5EF4-FFF2-40B4-BE49-F238E27FC236}">
              <a16:creationId xmlns:a16="http://schemas.microsoft.com/office/drawing/2014/main" id="{B5407AB6-0479-7740-A658-B2863004AF4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1</xdr:row>
      <xdr:rowOff>0</xdr:rowOff>
    </xdr:from>
    <xdr:ext cx="304800" cy="279400"/>
    <xdr:sp macro="" textlink="">
      <xdr:nvSpPr>
        <xdr:cNvPr id="588" name="AutoShape 2168" descr="alert toggle">
          <a:extLst>
            <a:ext uri="{FF2B5EF4-FFF2-40B4-BE49-F238E27FC236}">
              <a16:creationId xmlns:a16="http://schemas.microsoft.com/office/drawing/2014/main" id="{EF3136D3-9709-4846-955A-8279F6154F5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589" name="AutoShape 2171" descr="note-add">
          <a:extLst>
            <a:ext uri="{FF2B5EF4-FFF2-40B4-BE49-F238E27FC236}">
              <a16:creationId xmlns:a16="http://schemas.microsoft.com/office/drawing/2014/main" id="{D6093768-57FD-594D-AA03-C68AD171664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590" name="AutoShape 2172" descr="alert toggle">
          <a:extLst>
            <a:ext uri="{FF2B5EF4-FFF2-40B4-BE49-F238E27FC236}">
              <a16:creationId xmlns:a16="http://schemas.microsoft.com/office/drawing/2014/main" id="{94378AB6-585E-1E4A-89B9-8A1E3F9E349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</xdr:row>
      <xdr:rowOff>0</xdr:rowOff>
    </xdr:from>
    <xdr:ext cx="304800" cy="279400"/>
    <xdr:sp macro="" textlink="">
      <xdr:nvSpPr>
        <xdr:cNvPr id="591" name="AutoShape 3852" descr="note-add">
          <a:extLst>
            <a:ext uri="{FF2B5EF4-FFF2-40B4-BE49-F238E27FC236}">
              <a16:creationId xmlns:a16="http://schemas.microsoft.com/office/drawing/2014/main" id="{D5894C29-C4A8-F043-BBEE-8446B34C8BC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1</xdr:row>
      <xdr:rowOff>0</xdr:rowOff>
    </xdr:from>
    <xdr:ext cx="304800" cy="279400"/>
    <xdr:sp macro="" textlink="">
      <xdr:nvSpPr>
        <xdr:cNvPr id="592" name="AutoShape 3853" descr="alert toggle">
          <a:extLst>
            <a:ext uri="{FF2B5EF4-FFF2-40B4-BE49-F238E27FC236}">
              <a16:creationId xmlns:a16="http://schemas.microsoft.com/office/drawing/2014/main" id="{2694BA4D-AA15-4841-A7FD-34C2A043CC5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593" name="AutoShape 3856" descr="note-add">
          <a:extLst>
            <a:ext uri="{FF2B5EF4-FFF2-40B4-BE49-F238E27FC236}">
              <a16:creationId xmlns:a16="http://schemas.microsoft.com/office/drawing/2014/main" id="{9B9EE053-7FEB-8B48-B4D8-9732A9F541B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594" name="AutoShape 3857" descr="alert toggle">
          <a:extLst>
            <a:ext uri="{FF2B5EF4-FFF2-40B4-BE49-F238E27FC236}">
              <a16:creationId xmlns:a16="http://schemas.microsoft.com/office/drawing/2014/main" id="{81269333-96E8-A349-A5E0-ED62A2A579A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595" name="AutoShape 2175" descr="note-add">
          <a:extLst>
            <a:ext uri="{FF2B5EF4-FFF2-40B4-BE49-F238E27FC236}">
              <a16:creationId xmlns:a16="http://schemas.microsoft.com/office/drawing/2014/main" id="{5F29AAA8-0F82-444F-B6A5-832044006F3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96" name="AutoShape 2176" descr="alert toggle">
          <a:extLst>
            <a:ext uri="{FF2B5EF4-FFF2-40B4-BE49-F238E27FC236}">
              <a16:creationId xmlns:a16="http://schemas.microsoft.com/office/drawing/2014/main" id="{A0413693-76DA-AC4E-AE7D-EBC6F9EB596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597" name="AutoShape 2179" descr="note-add">
          <a:extLst>
            <a:ext uri="{FF2B5EF4-FFF2-40B4-BE49-F238E27FC236}">
              <a16:creationId xmlns:a16="http://schemas.microsoft.com/office/drawing/2014/main" id="{BB7506BB-364B-F045-8647-D750C25CEDB5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598" name="AutoShape 2180" descr="alert toggle">
          <a:extLst>
            <a:ext uri="{FF2B5EF4-FFF2-40B4-BE49-F238E27FC236}">
              <a16:creationId xmlns:a16="http://schemas.microsoft.com/office/drawing/2014/main" id="{DB2D9453-BD5A-3C4F-8E3A-23000E3D44A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599" name="AutoShape 2183" descr="note-add">
          <a:extLst>
            <a:ext uri="{FF2B5EF4-FFF2-40B4-BE49-F238E27FC236}">
              <a16:creationId xmlns:a16="http://schemas.microsoft.com/office/drawing/2014/main" id="{9A122C89-0580-F94D-9CA2-CC0622E27A8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00" name="AutoShape 2184" descr="alert toggle">
          <a:extLst>
            <a:ext uri="{FF2B5EF4-FFF2-40B4-BE49-F238E27FC236}">
              <a16:creationId xmlns:a16="http://schemas.microsoft.com/office/drawing/2014/main" id="{D388184D-2600-C44F-8EFB-FFAA1227CD2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01" name="AutoShape 2187" descr="note-add">
          <a:extLst>
            <a:ext uri="{FF2B5EF4-FFF2-40B4-BE49-F238E27FC236}">
              <a16:creationId xmlns:a16="http://schemas.microsoft.com/office/drawing/2014/main" id="{B3ADCDCE-A416-3445-81DC-7F6FB80A5D3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02" name="AutoShape 2188" descr="alert toggle">
          <a:extLst>
            <a:ext uri="{FF2B5EF4-FFF2-40B4-BE49-F238E27FC236}">
              <a16:creationId xmlns:a16="http://schemas.microsoft.com/office/drawing/2014/main" id="{3BE8BBDF-A481-264C-917A-E23D1ED8F54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03" name="AutoShape 2191" descr="note-add">
          <a:extLst>
            <a:ext uri="{FF2B5EF4-FFF2-40B4-BE49-F238E27FC236}">
              <a16:creationId xmlns:a16="http://schemas.microsoft.com/office/drawing/2014/main" id="{C61994D1-B999-5043-B993-56722F4421A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04" name="AutoShape 2192" descr="alert toggle">
          <a:extLst>
            <a:ext uri="{FF2B5EF4-FFF2-40B4-BE49-F238E27FC236}">
              <a16:creationId xmlns:a16="http://schemas.microsoft.com/office/drawing/2014/main" id="{C3A0DD4A-DEB3-4A4B-AFBA-4175E02CFBFA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304800" cy="279400"/>
    <xdr:sp macro="" textlink="">
      <xdr:nvSpPr>
        <xdr:cNvPr id="605" name="AutoShape 2195" descr="note-add">
          <a:extLst>
            <a:ext uri="{FF2B5EF4-FFF2-40B4-BE49-F238E27FC236}">
              <a16:creationId xmlns:a16="http://schemas.microsoft.com/office/drawing/2014/main" id="{E75F48A7-F5F1-A644-AE60-21AA03854167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3</xdr:row>
      <xdr:rowOff>0</xdr:rowOff>
    </xdr:from>
    <xdr:ext cx="304800" cy="279400"/>
    <xdr:sp macro="" textlink="">
      <xdr:nvSpPr>
        <xdr:cNvPr id="606" name="AutoShape 2196" descr="alert toggle">
          <a:extLst>
            <a:ext uri="{FF2B5EF4-FFF2-40B4-BE49-F238E27FC236}">
              <a16:creationId xmlns:a16="http://schemas.microsoft.com/office/drawing/2014/main" id="{DC342341-869C-C04A-A940-6F68616528E9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607" name="AutoShape 2199" descr="note-add">
          <a:extLst>
            <a:ext uri="{FF2B5EF4-FFF2-40B4-BE49-F238E27FC236}">
              <a16:creationId xmlns:a16="http://schemas.microsoft.com/office/drawing/2014/main" id="{57200EDC-49F6-C041-B91A-C5C92C547D5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</xdr:row>
      <xdr:rowOff>0</xdr:rowOff>
    </xdr:from>
    <xdr:ext cx="304800" cy="279400"/>
    <xdr:sp macro="" textlink="">
      <xdr:nvSpPr>
        <xdr:cNvPr id="608" name="AutoShape 2200" descr="alert toggle">
          <a:extLst>
            <a:ext uri="{FF2B5EF4-FFF2-40B4-BE49-F238E27FC236}">
              <a16:creationId xmlns:a16="http://schemas.microsoft.com/office/drawing/2014/main" id="{A2271415-2A69-E149-B57F-B3A9FF680A3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09" name="AutoShape 2203" descr="note-add">
          <a:extLst>
            <a:ext uri="{FF2B5EF4-FFF2-40B4-BE49-F238E27FC236}">
              <a16:creationId xmlns:a16="http://schemas.microsoft.com/office/drawing/2014/main" id="{4023D1C7-3F0B-7440-94D3-AFA15E38BD30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10" name="AutoShape 2204" descr="alert toggle">
          <a:extLst>
            <a:ext uri="{FF2B5EF4-FFF2-40B4-BE49-F238E27FC236}">
              <a16:creationId xmlns:a16="http://schemas.microsoft.com/office/drawing/2014/main" id="{FC94ABAC-4997-BE47-ADD7-9651F17E311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11" name="AutoShape 2207" descr="note-add">
          <a:extLst>
            <a:ext uri="{FF2B5EF4-FFF2-40B4-BE49-F238E27FC236}">
              <a16:creationId xmlns:a16="http://schemas.microsoft.com/office/drawing/2014/main" id="{2E77957A-03B1-1146-B72F-28FB3147A65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12" name="AutoShape 2208" descr="alert toggle">
          <a:extLst>
            <a:ext uri="{FF2B5EF4-FFF2-40B4-BE49-F238E27FC236}">
              <a16:creationId xmlns:a16="http://schemas.microsoft.com/office/drawing/2014/main" id="{A44278B8-4186-0E41-9234-FFA1F3A9D3F6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613" name="AutoShape 2211" descr="note-add">
          <a:extLst>
            <a:ext uri="{FF2B5EF4-FFF2-40B4-BE49-F238E27FC236}">
              <a16:creationId xmlns:a16="http://schemas.microsoft.com/office/drawing/2014/main" id="{2E44FE28-CC9A-2D47-ADA0-1F2DA0A1D39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</xdr:row>
      <xdr:rowOff>0</xdr:rowOff>
    </xdr:from>
    <xdr:ext cx="304800" cy="279400"/>
    <xdr:sp macro="" textlink="">
      <xdr:nvSpPr>
        <xdr:cNvPr id="614" name="AutoShape 2212" descr="alert toggle">
          <a:extLst>
            <a:ext uri="{FF2B5EF4-FFF2-40B4-BE49-F238E27FC236}">
              <a16:creationId xmlns:a16="http://schemas.microsoft.com/office/drawing/2014/main" id="{4CF0C715-55BB-EE4A-BB03-0A9FAA4CAF6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15" name="AutoShape 3860" descr="note-add">
          <a:extLst>
            <a:ext uri="{FF2B5EF4-FFF2-40B4-BE49-F238E27FC236}">
              <a16:creationId xmlns:a16="http://schemas.microsoft.com/office/drawing/2014/main" id="{16892D05-ABD5-C446-8EB5-7D01B35AEE09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16" name="AutoShape 3861" descr="alert toggle">
          <a:extLst>
            <a:ext uri="{FF2B5EF4-FFF2-40B4-BE49-F238E27FC236}">
              <a16:creationId xmlns:a16="http://schemas.microsoft.com/office/drawing/2014/main" id="{3322D593-5AFF-074D-B56A-E62D0D9B6FC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17" name="AutoShape 3864" descr="note-add">
          <a:extLst>
            <a:ext uri="{FF2B5EF4-FFF2-40B4-BE49-F238E27FC236}">
              <a16:creationId xmlns:a16="http://schemas.microsoft.com/office/drawing/2014/main" id="{02657053-D4BD-C642-B5A8-20487C90980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18" name="AutoShape 3865" descr="alert toggle">
          <a:extLst>
            <a:ext uri="{FF2B5EF4-FFF2-40B4-BE49-F238E27FC236}">
              <a16:creationId xmlns:a16="http://schemas.microsoft.com/office/drawing/2014/main" id="{87841C2B-2742-C245-8099-0E99C56438EE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19" name="AutoShape 3868" descr="note-add">
          <a:extLst>
            <a:ext uri="{FF2B5EF4-FFF2-40B4-BE49-F238E27FC236}">
              <a16:creationId xmlns:a16="http://schemas.microsoft.com/office/drawing/2014/main" id="{2CBDCFC7-1F15-074E-9104-7624D2222E6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20" name="AutoShape 3869" descr="alert toggle">
          <a:extLst>
            <a:ext uri="{FF2B5EF4-FFF2-40B4-BE49-F238E27FC236}">
              <a16:creationId xmlns:a16="http://schemas.microsoft.com/office/drawing/2014/main" id="{806071D0-0012-C745-91EE-A94376C2DF0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21" name="AutoShape 3872" descr="note-add">
          <a:extLst>
            <a:ext uri="{FF2B5EF4-FFF2-40B4-BE49-F238E27FC236}">
              <a16:creationId xmlns:a16="http://schemas.microsoft.com/office/drawing/2014/main" id="{874FBB9D-B35F-004E-9A24-AEFEEAC0C99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22" name="AutoShape 3873" descr="alert toggle">
          <a:extLst>
            <a:ext uri="{FF2B5EF4-FFF2-40B4-BE49-F238E27FC236}">
              <a16:creationId xmlns:a16="http://schemas.microsoft.com/office/drawing/2014/main" id="{15127E47-F45B-1C44-963A-2F2E2F5E7ED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23" name="AutoShape 3876" descr="note-add">
          <a:extLst>
            <a:ext uri="{FF2B5EF4-FFF2-40B4-BE49-F238E27FC236}">
              <a16:creationId xmlns:a16="http://schemas.microsoft.com/office/drawing/2014/main" id="{9DCDC8FE-7F03-9E40-9431-D1DFD39ED896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24" name="AutoShape 3877" descr="alert toggle">
          <a:extLst>
            <a:ext uri="{FF2B5EF4-FFF2-40B4-BE49-F238E27FC236}">
              <a16:creationId xmlns:a16="http://schemas.microsoft.com/office/drawing/2014/main" id="{EC48EC6F-2BF6-524D-B737-4890C60B4049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25" name="AutoShape 3880" descr="note-add">
          <a:extLst>
            <a:ext uri="{FF2B5EF4-FFF2-40B4-BE49-F238E27FC236}">
              <a16:creationId xmlns:a16="http://schemas.microsoft.com/office/drawing/2014/main" id="{73E171CE-CF5B-2544-B386-6D25B799ADC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26" name="AutoShape 3881" descr="alert toggle">
          <a:extLst>
            <a:ext uri="{FF2B5EF4-FFF2-40B4-BE49-F238E27FC236}">
              <a16:creationId xmlns:a16="http://schemas.microsoft.com/office/drawing/2014/main" id="{66EAEE2E-ABA9-684A-8559-B6DCDDF464A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27" name="AutoShape 3884" descr="note-add">
          <a:extLst>
            <a:ext uri="{FF2B5EF4-FFF2-40B4-BE49-F238E27FC236}">
              <a16:creationId xmlns:a16="http://schemas.microsoft.com/office/drawing/2014/main" id="{82F35588-8403-9449-97DC-CC610885868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28" name="AutoShape 3885" descr="alert toggle">
          <a:extLst>
            <a:ext uri="{FF2B5EF4-FFF2-40B4-BE49-F238E27FC236}">
              <a16:creationId xmlns:a16="http://schemas.microsoft.com/office/drawing/2014/main" id="{7EAAA185-E9F9-0E42-B0D7-22C9FCE1E7BE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29" name="AutoShape 3888" descr="note-add">
          <a:extLst>
            <a:ext uri="{FF2B5EF4-FFF2-40B4-BE49-F238E27FC236}">
              <a16:creationId xmlns:a16="http://schemas.microsoft.com/office/drawing/2014/main" id="{9D002C78-6DF9-024F-9047-395110C3815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30" name="AutoShape 3889" descr="alert toggle">
          <a:extLst>
            <a:ext uri="{FF2B5EF4-FFF2-40B4-BE49-F238E27FC236}">
              <a16:creationId xmlns:a16="http://schemas.microsoft.com/office/drawing/2014/main" id="{A4A7CFE2-15C4-E948-B80F-BEA065BC734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31" name="AutoShape 3892" descr="note-add">
          <a:extLst>
            <a:ext uri="{FF2B5EF4-FFF2-40B4-BE49-F238E27FC236}">
              <a16:creationId xmlns:a16="http://schemas.microsoft.com/office/drawing/2014/main" id="{60CBB033-C144-CD4A-A1D8-D72D1030994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32" name="AutoShape 3893" descr="alert toggle">
          <a:extLst>
            <a:ext uri="{FF2B5EF4-FFF2-40B4-BE49-F238E27FC236}">
              <a16:creationId xmlns:a16="http://schemas.microsoft.com/office/drawing/2014/main" id="{2F449AD6-A474-1B4F-BEAE-137CB113072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633" name="AutoShape 3896" descr="note-add">
          <a:extLst>
            <a:ext uri="{FF2B5EF4-FFF2-40B4-BE49-F238E27FC236}">
              <a16:creationId xmlns:a16="http://schemas.microsoft.com/office/drawing/2014/main" id="{83710411-7A8F-9744-9591-440E95EC1D9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634" name="AutoShape 3897" descr="alert toggle">
          <a:extLst>
            <a:ext uri="{FF2B5EF4-FFF2-40B4-BE49-F238E27FC236}">
              <a16:creationId xmlns:a16="http://schemas.microsoft.com/office/drawing/2014/main" id="{B177BA86-F9CE-4041-992D-F861DAC8592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304800" cy="279400"/>
    <xdr:sp macro="" textlink="">
      <xdr:nvSpPr>
        <xdr:cNvPr id="635" name="AutoShape 3900" descr="note-add">
          <a:extLst>
            <a:ext uri="{FF2B5EF4-FFF2-40B4-BE49-F238E27FC236}">
              <a16:creationId xmlns:a16="http://schemas.microsoft.com/office/drawing/2014/main" id="{FCD4B833-ECFB-F345-A0DF-9D914DE7DC9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636" name="AutoShape 3904" descr="note-add">
          <a:extLst>
            <a:ext uri="{FF2B5EF4-FFF2-40B4-BE49-F238E27FC236}">
              <a16:creationId xmlns:a16="http://schemas.microsoft.com/office/drawing/2014/main" id="{23ACD48C-B027-3248-994A-9C99D36A86D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637" name="AutoShape 3906" descr="note-add">
          <a:extLst>
            <a:ext uri="{FF2B5EF4-FFF2-40B4-BE49-F238E27FC236}">
              <a16:creationId xmlns:a16="http://schemas.microsoft.com/office/drawing/2014/main" id="{03B28A33-E18D-1E48-99F2-E672A7000B3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</xdr:row>
      <xdr:rowOff>0</xdr:rowOff>
    </xdr:from>
    <xdr:ext cx="304800" cy="279400"/>
    <xdr:sp macro="" textlink="">
      <xdr:nvSpPr>
        <xdr:cNvPr id="638" name="AutoShape 3907" descr="alert toggle">
          <a:extLst>
            <a:ext uri="{FF2B5EF4-FFF2-40B4-BE49-F238E27FC236}">
              <a16:creationId xmlns:a16="http://schemas.microsoft.com/office/drawing/2014/main" id="{8557024C-C49C-3848-A4B0-B4527A5DA0D1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279400"/>
    <xdr:sp macro="" textlink="">
      <xdr:nvSpPr>
        <xdr:cNvPr id="639" name="AutoShape 3910" descr="note-add">
          <a:extLst>
            <a:ext uri="{FF2B5EF4-FFF2-40B4-BE49-F238E27FC236}">
              <a16:creationId xmlns:a16="http://schemas.microsoft.com/office/drawing/2014/main" id="{CF499B6A-CF45-CB4B-96D8-BBF2F8F35190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</xdr:row>
      <xdr:rowOff>0</xdr:rowOff>
    </xdr:from>
    <xdr:ext cx="304800" cy="279400"/>
    <xdr:sp macro="" textlink="">
      <xdr:nvSpPr>
        <xdr:cNvPr id="640" name="AutoShape 3911" descr="alert toggle">
          <a:extLst>
            <a:ext uri="{FF2B5EF4-FFF2-40B4-BE49-F238E27FC236}">
              <a16:creationId xmlns:a16="http://schemas.microsoft.com/office/drawing/2014/main" id="{59B433C4-6B2A-7044-A87D-FC3CBABB7CF4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641" name="AutoShape 3914" descr="note-add">
          <a:extLst>
            <a:ext uri="{FF2B5EF4-FFF2-40B4-BE49-F238E27FC236}">
              <a16:creationId xmlns:a16="http://schemas.microsoft.com/office/drawing/2014/main" id="{7604FD2C-837B-B34C-98A9-BDD39D676FF0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642" name="AutoShape 3915" descr="alert toggle">
          <a:extLst>
            <a:ext uri="{FF2B5EF4-FFF2-40B4-BE49-F238E27FC236}">
              <a16:creationId xmlns:a16="http://schemas.microsoft.com/office/drawing/2014/main" id="{D80167FB-43EB-F245-BAC0-5BEAEE98FC4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304800" cy="279400"/>
    <xdr:sp macro="" textlink="">
      <xdr:nvSpPr>
        <xdr:cNvPr id="643" name="AutoShape 3918" descr="note-add">
          <a:extLst>
            <a:ext uri="{FF2B5EF4-FFF2-40B4-BE49-F238E27FC236}">
              <a16:creationId xmlns:a16="http://schemas.microsoft.com/office/drawing/2014/main" id="{409E8221-1A08-F842-88ED-7AF35D5931C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28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9</xdr:row>
      <xdr:rowOff>0</xdr:rowOff>
    </xdr:from>
    <xdr:ext cx="304800" cy="279400"/>
    <xdr:sp macro="" textlink="">
      <xdr:nvSpPr>
        <xdr:cNvPr id="644" name="AutoShape 3919" descr="alert toggle">
          <a:extLst>
            <a:ext uri="{FF2B5EF4-FFF2-40B4-BE49-F238E27FC236}">
              <a16:creationId xmlns:a16="http://schemas.microsoft.com/office/drawing/2014/main" id="{E915E080-0290-CA46-9221-51B51EE4EBA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28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45" name="AutoShape 4181" descr="note-add">
          <a:extLst>
            <a:ext uri="{FF2B5EF4-FFF2-40B4-BE49-F238E27FC236}">
              <a16:creationId xmlns:a16="http://schemas.microsoft.com/office/drawing/2014/main" id="{963B0747-6B7D-D843-9188-0EB54E0732F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46" name="AutoShape 4182" descr="alert toggle">
          <a:extLst>
            <a:ext uri="{FF2B5EF4-FFF2-40B4-BE49-F238E27FC236}">
              <a16:creationId xmlns:a16="http://schemas.microsoft.com/office/drawing/2014/main" id="{6FE3B649-5842-4140-BAF1-76CD480AD811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47" name="AutoShape 4185" descr="note-add">
          <a:extLst>
            <a:ext uri="{FF2B5EF4-FFF2-40B4-BE49-F238E27FC236}">
              <a16:creationId xmlns:a16="http://schemas.microsoft.com/office/drawing/2014/main" id="{6233EDBE-A6B9-454D-940C-359F018310F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48" name="AutoShape 4186" descr="alert toggle">
          <a:extLst>
            <a:ext uri="{FF2B5EF4-FFF2-40B4-BE49-F238E27FC236}">
              <a16:creationId xmlns:a16="http://schemas.microsoft.com/office/drawing/2014/main" id="{7DAA37A8-2B16-FB40-9B7B-C96D3857FA7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49" name="AutoShape 4189" descr="note-add">
          <a:extLst>
            <a:ext uri="{FF2B5EF4-FFF2-40B4-BE49-F238E27FC236}">
              <a16:creationId xmlns:a16="http://schemas.microsoft.com/office/drawing/2014/main" id="{73A6BAC1-62ED-714C-89CB-CC1D906307F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50" name="AutoShape 4190" descr="alert toggle">
          <a:extLst>
            <a:ext uri="{FF2B5EF4-FFF2-40B4-BE49-F238E27FC236}">
              <a16:creationId xmlns:a16="http://schemas.microsoft.com/office/drawing/2014/main" id="{02D5FF0B-A362-AA41-B044-37645B898BE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51" name="AutoShape 4193" descr="note-add">
          <a:extLst>
            <a:ext uri="{FF2B5EF4-FFF2-40B4-BE49-F238E27FC236}">
              <a16:creationId xmlns:a16="http://schemas.microsoft.com/office/drawing/2014/main" id="{6F6DB4DB-80FA-EC48-A0D9-C9F2D2DD18E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52" name="AutoShape 4194" descr="alert toggle">
          <a:extLst>
            <a:ext uri="{FF2B5EF4-FFF2-40B4-BE49-F238E27FC236}">
              <a16:creationId xmlns:a16="http://schemas.microsoft.com/office/drawing/2014/main" id="{7375D2DE-036A-9841-BAAF-E5DAEAACFD9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53" name="AutoShape 4197" descr="note-add">
          <a:extLst>
            <a:ext uri="{FF2B5EF4-FFF2-40B4-BE49-F238E27FC236}">
              <a16:creationId xmlns:a16="http://schemas.microsoft.com/office/drawing/2014/main" id="{1A8D44F8-5FDE-A646-A53F-1747B3D1F59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54" name="AutoShape 4198" descr="alert toggle">
          <a:extLst>
            <a:ext uri="{FF2B5EF4-FFF2-40B4-BE49-F238E27FC236}">
              <a16:creationId xmlns:a16="http://schemas.microsoft.com/office/drawing/2014/main" id="{C3158F87-1514-1149-B533-3786A105585B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655" name="AutoShape 4201" descr="note-add">
          <a:extLst>
            <a:ext uri="{FF2B5EF4-FFF2-40B4-BE49-F238E27FC236}">
              <a16:creationId xmlns:a16="http://schemas.microsoft.com/office/drawing/2014/main" id="{E4480F3B-307A-1245-A22A-C02ACCD21DD7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656" name="AutoShape 4202" descr="alert toggle">
          <a:extLst>
            <a:ext uri="{FF2B5EF4-FFF2-40B4-BE49-F238E27FC236}">
              <a16:creationId xmlns:a16="http://schemas.microsoft.com/office/drawing/2014/main" id="{BF85FF81-A302-5540-A699-FA8A74E5557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304800" cy="279400"/>
    <xdr:sp macro="" textlink="">
      <xdr:nvSpPr>
        <xdr:cNvPr id="657" name="AutoShape 4371" descr="note-add">
          <a:extLst>
            <a:ext uri="{FF2B5EF4-FFF2-40B4-BE49-F238E27FC236}">
              <a16:creationId xmlns:a16="http://schemas.microsoft.com/office/drawing/2014/main" id="{FA4EC82E-A3BE-3140-93CE-0B2835700268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524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15</xdr:row>
      <xdr:rowOff>0</xdr:rowOff>
    </xdr:from>
    <xdr:ext cx="304800" cy="279400"/>
    <xdr:sp macro="" textlink="">
      <xdr:nvSpPr>
        <xdr:cNvPr id="658" name="AutoShape 4372" descr="alert toggle">
          <a:extLst>
            <a:ext uri="{FF2B5EF4-FFF2-40B4-BE49-F238E27FC236}">
              <a16:creationId xmlns:a16="http://schemas.microsoft.com/office/drawing/2014/main" id="{6E3A548B-68A8-3349-AE07-417309816A3D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524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25</xdr:row>
      <xdr:rowOff>0</xdr:rowOff>
    </xdr:from>
    <xdr:ext cx="304800" cy="279400"/>
    <xdr:sp macro="" textlink="">
      <xdr:nvSpPr>
        <xdr:cNvPr id="659" name="AutoShape 3946" descr="note-add">
          <a:extLst>
            <a:ext uri="{FF2B5EF4-FFF2-40B4-BE49-F238E27FC236}">
              <a16:creationId xmlns:a16="http://schemas.microsoft.com/office/drawing/2014/main" id="{E3ED81F1-4147-4B4A-ABBC-E361605DD9F8}"/>
            </a:ext>
          </a:extLst>
        </xdr:cNvPr>
        <xdr:cNvSpPr>
          <a:spLocks noChangeAspect="1" noChangeArrowheads="1"/>
        </xdr:cNvSpPr>
      </xdr:nvSpPr>
      <xdr:spPr bwMode="auto">
        <a:xfrm>
          <a:off x="29210000" y="7480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317500</xdr:colOff>
      <xdr:row>25</xdr:row>
      <xdr:rowOff>0</xdr:rowOff>
    </xdr:from>
    <xdr:ext cx="304800" cy="279400"/>
    <xdr:sp macro="" textlink="">
      <xdr:nvSpPr>
        <xdr:cNvPr id="660" name="AutoShape 3947" descr="alert toggle">
          <a:extLst>
            <a:ext uri="{FF2B5EF4-FFF2-40B4-BE49-F238E27FC236}">
              <a16:creationId xmlns:a16="http://schemas.microsoft.com/office/drawing/2014/main" id="{42545F50-E8F6-AF4A-A7AD-26CB222D0FF8}"/>
            </a:ext>
          </a:extLst>
        </xdr:cNvPr>
        <xdr:cNvSpPr>
          <a:spLocks noChangeAspect="1" noChangeArrowheads="1"/>
        </xdr:cNvSpPr>
      </xdr:nvSpPr>
      <xdr:spPr bwMode="auto">
        <a:xfrm>
          <a:off x="29527500" y="7480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39</xdr:row>
      <xdr:rowOff>0</xdr:rowOff>
    </xdr:from>
    <xdr:ext cx="304800" cy="279400"/>
    <xdr:sp macro="" textlink="">
      <xdr:nvSpPr>
        <xdr:cNvPr id="661" name="AutoShape 3962" descr="note-add">
          <a:extLst>
            <a:ext uri="{FF2B5EF4-FFF2-40B4-BE49-F238E27FC236}">
              <a16:creationId xmlns:a16="http://schemas.microsoft.com/office/drawing/2014/main" id="{618F0B7B-1CE1-5549-9466-C62E69B117D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1671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39</xdr:row>
      <xdr:rowOff>0</xdr:rowOff>
    </xdr:from>
    <xdr:ext cx="304800" cy="279400"/>
    <xdr:sp macro="" textlink="">
      <xdr:nvSpPr>
        <xdr:cNvPr id="662" name="AutoShape 3963" descr="alert toggle">
          <a:extLst>
            <a:ext uri="{FF2B5EF4-FFF2-40B4-BE49-F238E27FC236}">
              <a16:creationId xmlns:a16="http://schemas.microsoft.com/office/drawing/2014/main" id="{DA66E7D3-2125-F149-8A68-93D7D425A5B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1671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47</xdr:row>
      <xdr:rowOff>0</xdr:rowOff>
    </xdr:from>
    <xdr:ext cx="304800" cy="279400"/>
    <xdr:sp macro="" textlink="">
      <xdr:nvSpPr>
        <xdr:cNvPr id="663" name="AutoShape 3966" descr="note-add">
          <a:extLst>
            <a:ext uri="{FF2B5EF4-FFF2-40B4-BE49-F238E27FC236}">
              <a16:creationId xmlns:a16="http://schemas.microsoft.com/office/drawing/2014/main" id="{04FDF34F-948D-EE40-BFC6-72E8730D2EC6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362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47</xdr:row>
      <xdr:rowOff>0</xdr:rowOff>
    </xdr:from>
    <xdr:ext cx="304800" cy="279400"/>
    <xdr:sp macro="" textlink="">
      <xdr:nvSpPr>
        <xdr:cNvPr id="664" name="AutoShape 3967" descr="alert toggle">
          <a:extLst>
            <a:ext uri="{FF2B5EF4-FFF2-40B4-BE49-F238E27FC236}">
              <a16:creationId xmlns:a16="http://schemas.microsoft.com/office/drawing/2014/main" id="{FD933C84-94C5-F246-90CE-75E66D91E6B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3627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47</xdr:row>
      <xdr:rowOff>0</xdr:rowOff>
    </xdr:from>
    <xdr:ext cx="304800" cy="279400"/>
    <xdr:sp macro="" textlink="">
      <xdr:nvSpPr>
        <xdr:cNvPr id="665" name="AutoShape 3970" descr="note-add">
          <a:extLst>
            <a:ext uri="{FF2B5EF4-FFF2-40B4-BE49-F238E27FC236}">
              <a16:creationId xmlns:a16="http://schemas.microsoft.com/office/drawing/2014/main" id="{0D26A3BB-7895-D147-80B9-99BDB9B233F9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390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47</xdr:row>
      <xdr:rowOff>0</xdr:rowOff>
    </xdr:from>
    <xdr:ext cx="304800" cy="279400"/>
    <xdr:sp macro="" textlink="">
      <xdr:nvSpPr>
        <xdr:cNvPr id="666" name="AutoShape 3971" descr="alert toggle">
          <a:extLst>
            <a:ext uri="{FF2B5EF4-FFF2-40B4-BE49-F238E27FC236}">
              <a16:creationId xmlns:a16="http://schemas.microsoft.com/office/drawing/2014/main" id="{6138CEC5-DE5E-AC4C-8D11-CC1AADEEFEA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390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38</xdr:row>
      <xdr:rowOff>0</xdr:rowOff>
    </xdr:from>
    <xdr:ext cx="304800" cy="304799"/>
    <xdr:sp macro="" textlink="">
      <xdr:nvSpPr>
        <xdr:cNvPr id="667" name="AutoShape 678" descr="note-add">
          <a:extLst>
            <a:ext uri="{FF2B5EF4-FFF2-40B4-BE49-F238E27FC236}">
              <a16:creationId xmlns:a16="http://schemas.microsoft.com/office/drawing/2014/main" id="{DE41A302-FF65-C84E-AA9C-11383853BB51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39</xdr:row>
      <xdr:rowOff>0</xdr:rowOff>
    </xdr:from>
    <xdr:ext cx="304800" cy="304800"/>
    <xdr:sp macro="" textlink="">
      <xdr:nvSpPr>
        <xdr:cNvPr id="668" name="AutoShape 682" descr="note-add">
          <a:extLst>
            <a:ext uri="{FF2B5EF4-FFF2-40B4-BE49-F238E27FC236}">
              <a16:creationId xmlns:a16="http://schemas.microsoft.com/office/drawing/2014/main" id="{7DCFA8FD-87EF-434A-B3A6-556AA03BB4ED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39</xdr:row>
      <xdr:rowOff>0</xdr:rowOff>
    </xdr:from>
    <xdr:ext cx="304800" cy="304800"/>
    <xdr:sp macro="" textlink="">
      <xdr:nvSpPr>
        <xdr:cNvPr id="669" name="AutoShape 683" descr="alert toggle">
          <a:extLst>
            <a:ext uri="{FF2B5EF4-FFF2-40B4-BE49-F238E27FC236}">
              <a16:creationId xmlns:a16="http://schemas.microsoft.com/office/drawing/2014/main" id="{1FE515DC-48B9-134E-93E1-1B039EA6A136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40</xdr:row>
      <xdr:rowOff>0</xdr:rowOff>
    </xdr:from>
    <xdr:ext cx="304800" cy="304799"/>
    <xdr:sp macro="" textlink="">
      <xdr:nvSpPr>
        <xdr:cNvPr id="670" name="AutoShape 686" descr="note-add">
          <a:extLst>
            <a:ext uri="{FF2B5EF4-FFF2-40B4-BE49-F238E27FC236}">
              <a16:creationId xmlns:a16="http://schemas.microsoft.com/office/drawing/2014/main" id="{9BE3ED38-B2A2-EA47-97D4-7692859B62B2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40</xdr:row>
      <xdr:rowOff>0</xdr:rowOff>
    </xdr:from>
    <xdr:ext cx="304800" cy="304799"/>
    <xdr:sp macro="" textlink="">
      <xdr:nvSpPr>
        <xdr:cNvPr id="671" name="AutoShape 687" descr="alert toggle">
          <a:extLst>
            <a:ext uri="{FF2B5EF4-FFF2-40B4-BE49-F238E27FC236}">
              <a16:creationId xmlns:a16="http://schemas.microsoft.com/office/drawing/2014/main" id="{523F6CC2-1564-5C47-9661-E428781A28FD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41</xdr:row>
      <xdr:rowOff>0</xdr:rowOff>
    </xdr:from>
    <xdr:ext cx="304800" cy="304800"/>
    <xdr:sp macro="" textlink="">
      <xdr:nvSpPr>
        <xdr:cNvPr id="672" name="AutoShape 691" descr="alert toggle">
          <a:extLst>
            <a:ext uri="{FF2B5EF4-FFF2-40B4-BE49-F238E27FC236}">
              <a16:creationId xmlns:a16="http://schemas.microsoft.com/office/drawing/2014/main" id="{0772BB14-CC34-CD43-B268-7A7F1CB904B7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42</xdr:row>
      <xdr:rowOff>0</xdr:rowOff>
    </xdr:from>
    <xdr:ext cx="304800" cy="304799"/>
    <xdr:sp macro="" textlink="">
      <xdr:nvSpPr>
        <xdr:cNvPr id="673" name="AutoShape 694" descr="note-add">
          <a:extLst>
            <a:ext uri="{FF2B5EF4-FFF2-40B4-BE49-F238E27FC236}">
              <a16:creationId xmlns:a16="http://schemas.microsoft.com/office/drawing/2014/main" id="{0C5C1511-8EDA-8B44-9BE9-807287520A70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42</xdr:row>
      <xdr:rowOff>0</xdr:rowOff>
    </xdr:from>
    <xdr:ext cx="304800" cy="304799"/>
    <xdr:sp macro="" textlink="">
      <xdr:nvSpPr>
        <xdr:cNvPr id="674" name="AutoShape 695" descr="alert toggle">
          <a:extLst>
            <a:ext uri="{FF2B5EF4-FFF2-40B4-BE49-F238E27FC236}">
              <a16:creationId xmlns:a16="http://schemas.microsoft.com/office/drawing/2014/main" id="{4792CAD7-22AB-5D4C-818F-4A09EDCCC978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42</xdr:row>
      <xdr:rowOff>0</xdr:rowOff>
    </xdr:from>
    <xdr:ext cx="304800" cy="304799"/>
    <xdr:sp macro="" textlink="">
      <xdr:nvSpPr>
        <xdr:cNvPr id="675" name="AutoShape 698" descr="note-add">
          <a:extLst>
            <a:ext uri="{FF2B5EF4-FFF2-40B4-BE49-F238E27FC236}">
              <a16:creationId xmlns:a16="http://schemas.microsoft.com/office/drawing/2014/main" id="{1394137A-0D74-0F41-B54A-990412C442C0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42</xdr:row>
      <xdr:rowOff>0</xdr:rowOff>
    </xdr:from>
    <xdr:ext cx="304800" cy="304799"/>
    <xdr:sp macro="" textlink="">
      <xdr:nvSpPr>
        <xdr:cNvPr id="676" name="AutoShape 699" descr="alert toggle">
          <a:extLst>
            <a:ext uri="{FF2B5EF4-FFF2-40B4-BE49-F238E27FC236}">
              <a16:creationId xmlns:a16="http://schemas.microsoft.com/office/drawing/2014/main" id="{7CA12D39-319B-B24C-9630-5A6540865E6D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43</xdr:row>
      <xdr:rowOff>0</xdr:rowOff>
    </xdr:from>
    <xdr:ext cx="304800" cy="304799"/>
    <xdr:sp macro="" textlink="">
      <xdr:nvSpPr>
        <xdr:cNvPr id="677" name="AutoShape 702" descr="note-add">
          <a:extLst>
            <a:ext uri="{FF2B5EF4-FFF2-40B4-BE49-F238E27FC236}">
              <a16:creationId xmlns:a16="http://schemas.microsoft.com/office/drawing/2014/main" id="{D4B600AA-966F-1F44-A3E3-4820CAC93C07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43</xdr:row>
      <xdr:rowOff>0</xdr:rowOff>
    </xdr:from>
    <xdr:ext cx="304800" cy="304799"/>
    <xdr:sp macro="" textlink="">
      <xdr:nvSpPr>
        <xdr:cNvPr id="678" name="AutoShape 703" descr="alert toggle">
          <a:extLst>
            <a:ext uri="{FF2B5EF4-FFF2-40B4-BE49-F238E27FC236}">
              <a16:creationId xmlns:a16="http://schemas.microsoft.com/office/drawing/2014/main" id="{36C7D341-E96F-D443-87F2-06E4B24A7219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44</xdr:row>
      <xdr:rowOff>0</xdr:rowOff>
    </xdr:from>
    <xdr:ext cx="304800" cy="304799"/>
    <xdr:sp macro="" textlink="">
      <xdr:nvSpPr>
        <xdr:cNvPr id="679" name="AutoShape 706" descr="note-add">
          <a:extLst>
            <a:ext uri="{FF2B5EF4-FFF2-40B4-BE49-F238E27FC236}">
              <a16:creationId xmlns:a16="http://schemas.microsoft.com/office/drawing/2014/main" id="{70954454-9711-B440-A411-0BF33AA31567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44</xdr:row>
      <xdr:rowOff>0</xdr:rowOff>
    </xdr:from>
    <xdr:ext cx="304800" cy="304799"/>
    <xdr:sp macro="" textlink="">
      <xdr:nvSpPr>
        <xdr:cNvPr id="680" name="AutoShape 707" descr="alert toggle">
          <a:extLst>
            <a:ext uri="{FF2B5EF4-FFF2-40B4-BE49-F238E27FC236}">
              <a16:creationId xmlns:a16="http://schemas.microsoft.com/office/drawing/2014/main" id="{F5FB09C0-7B09-074A-B8F6-60188C37B558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45</xdr:row>
      <xdr:rowOff>0</xdr:rowOff>
    </xdr:from>
    <xdr:ext cx="304800" cy="304800"/>
    <xdr:sp macro="" textlink="">
      <xdr:nvSpPr>
        <xdr:cNvPr id="681" name="AutoShape 710" descr="note-add">
          <a:extLst>
            <a:ext uri="{FF2B5EF4-FFF2-40B4-BE49-F238E27FC236}">
              <a16:creationId xmlns:a16="http://schemas.microsoft.com/office/drawing/2014/main" id="{3AAB287A-8642-3441-943F-3B43B7B2B439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45</xdr:row>
      <xdr:rowOff>0</xdr:rowOff>
    </xdr:from>
    <xdr:ext cx="304800" cy="304800"/>
    <xdr:sp macro="" textlink="">
      <xdr:nvSpPr>
        <xdr:cNvPr id="682" name="AutoShape 711" descr="alert toggle">
          <a:extLst>
            <a:ext uri="{FF2B5EF4-FFF2-40B4-BE49-F238E27FC236}">
              <a16:creationId xmlns:a16="http://schemas.microsoft.com/office/drawing/2014/main" id="{51605B10-5CCB-434F-B9B6-C3B3F9FC64F9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38</xdr:row>
      <xdr:rowOff>0</xdr:rowOff>
    </xdr:from>
    <xdr:ext cx="304800" cy="304799"/>
    <xdr:sp macro="" textlink="">
      <xdr:nvSpPr>
        <xdr:cNvPr id="683" name="AutoShape 1011" descr="note-add">
          <a:extLst>
            <a:ext uri="{FF2B5EF4-FFF2-40B4-BE49-F238E27FC236}">
              <a16:creationId xmlns:a16="http://schemas.microsoft.com/office/drawing/2014/main" id="{383A7860-3B9E-D54E-882B-7F98062FABCE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38</xdr:row>
      <xdr:rowOff>0</xdr:rowOff>
    </xdr:from>
    <xdr:ext cx="304800" cy="304799"/>
    <xdr:sp macro="" textlink="">
      <xdr:nvSpPr>
        <xdr:cNvPr id="684" name="AutoShape 1012" descr="alert toggle">
          <a:extLst>
            <a:ext uri="{FF2B5EF4-FFF2-40B4-BE49-F238E27FC236}">
              <a16:creationId xmlns:a16="http://schemas.microsoft.com/office/drawing/2014/main" id="{088E25B5-940D-C148-BDBF-FC10ADC0016C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39</xdr:row>
      <xdr:rowOff>0</xdr:rowOff>
    </xdr:from>
    <xdr:ext cx="304800" cy="304800"/>
    <xdr:sp macro="" textlink="">
      <xdr:nvSpPr>
        <xdr:cNvPr id="685" name="AutoShape 1015" descr="note-add">
          <a:extLst>
            <a:ext uri="{FF2B5EF4-FFF2-40B4-BE49-F238E27FC236}">
              <a16:creationId xmlns:a16="http://schemas.microsoft.com/office/drawing/2014/main" id="{9659CA82-B17F-0249-AAFC-1FA38BA9BD2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39</xdr:row>
      <xdr:rowOff>0</xdr:rowOff>
    </xdr:from>
    <xdr:ext cx="304800" cy="304800"/>
    <xdr:sp macro="" textlink="">
      <xdr:nvSpPr>
        <xdr:cNvPr id="686" name="AutoShape 1016" descr="alert toggle">
          <a:extLst>
            <a:ext uri="{FF2B5EF4-FFF2-40B4-BE49-F238E27FC236}">
              <a16:creationId xmlns:a16="http://schemas.microsoft.com/office/drawing/2014/main" id="{B77244DB-E6F4-9D41-8359-90A612D8A855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40</xdr:row>
      <xdr:rowOff>0</xdr:rowOff>
    </xdr:from>
    <xdr:ext cx="304800" cy="304799"/>
    <xdr:sp macro="" textlink="">
      <xdr:nvSpPr>
        <xdr:cNvPr id="687" name="AutoShape 1019" descr="note-add">
          <a:extLst>
            <a:ext uri="{FF2B5EF4-FFF2-40B4-BE49-F238E27FC236}">
              <a16:creationId xmlns:a16="http://schemas.microsoft.com/office/drawing/2014/main" id="{55A9CB88-B937-404B-8AD2-801D511B47BC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40</xdr:row>
      <xdr:rowOff>0</xdr:rowOff>
    </xdr:from>
    <xdr:ext cx="304800" cy="304799"/>
    <xdr:sp macro="" textlink="">
      <xdr:nvSpPr>
        <xdr:cNvPr id="688" name="AutoShape 1020" descr="alert toggle">
          <a:extLst>
            <a:ext uri="{FF2B5EF4-FFF2-40B4-BE49-F238E27FC236}">
              <a16:creationId xmlns:a16="http://schemas.microsoft.com/office/drawing/2014/main" id="{4F3D182B-8E5C-5042-81C7-F4B81D2F529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41</xdr:row>
      <xdr:rowOff>0</xdr:rowOff>
    </xdr:from>
    <xdr:ext cx="304800" cy="304800"/>
    <xdr:sp macro="" textlink="">
      <xdr:nvSpPr>
        <xdr:cNvPr id="689" name="AutoShape 1023" descr="note-add">
          <a:extLst>
            <a:ext uri="{FF2B5EF4-FFF2-40B4-BE49-F238E27FC236}">
              <a16:creationId xmlns:a16="http://schemas.microsoft.com/office/drawing/2014/main" id="{D9E7D2F4-81AB-C84D-8BD1-FE72A5D0F36D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41</xdr:row>
      <xdr:rowOff>0</xdr:rowOff>
    </xdr:from>
    <xdr:ext cx="304800" cy="304800"/>
    <xdr:sp macro="" textlink="">
      <xdr:nvSpPr>
        <xdr:cNvPr id="690" name="AutoShape 1024" descr="alert toggle">
          <a:extLst>
            <a:ext uri="{FF2B5EF4-FFF2-40B4-BE49-F238E27FC236}">
              <a16:creationId xmlns:a16="http://schemas.microsoft.com/office/drawing/2014/main" id="{B48F8904-3C10-934B-A458-102F21BDE6A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42</xdr:row>
      <xdr:rowOff>0</xdr:rowOff>
    </xdr:from>
    <xdr:ext cx="304800" cy="304799"/>
    <xdr:sp macro="" textlink="">
      <xdr:nvSpPr>
        <xdr:cNvPr id="691" name="AutoShape 1027" descr="note-add">
          <a:extLst>
            <a:ext uri="{FF2B5EF4-FFF2-40B4-BE49-F238E27FC236}">
              <a16:creationId xmlns:a16="http://schemas.microsoft.com/office/drawing/2014/main" id="{2BAE09FE-0254-A14C-95B5-8092BC2B2ED5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42</xdr:row>
      <xdr:rowOff>0</xdr:rowOff>
    </xdr:from>
    <xdr:ext cx="304800" cy="304799"/>
    <xdr:sp macro="" textlink="">
      <xdr:nvSpPr>
        <xdr:cNvPr id="692" name="AutoShape 1028" descr="alert toggle">
          <a:extLst>
            <a:ext uri="{FF2B5EF4-FFF2-40B4-BE49-F238E27FC236}">
              <a16:creationId xmlns:a16="http://schemas.microsoft.com/office/drawing/2014/main" id="{C51BBB07-EBE7-B840-A907-ACAC399CB233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42</xdr:row>
      <xdr:rowOff>0</xdr:rowOff>
    </xdr:from>
    <xdr:ext cx="304800" cy="304799"/>
    <xdr:sp macro="" textlink="">
      <xdr:nvSpPr>
        <xdr:cNvPr id="693" name="AutoShape 1031" descr="note-add">
          <a:extLst>
            <a:ext uri="{FF2B5EF4-FFF2-40B4-BE49-F238E27FC236}">
              <a16:creationId xmlns:a16="http://schemas.microsoft.com/office/drawing/2014/main" id="{E300DA3D-C02B-5E40-98C8-192C76A89725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42</xdr:row>
      <xdr:rowOff>0</xdr:rowOff>
    </xdr:from>
    <xdr:ext cx="304800" cy="304799"/>
    <xdr:sp macro="" textlink="">
      <xdr:nvSpPr>
        <xdr:cNvPr id="694" name="AutoShape 1032" descr="alert toggle">
          <a:extLst>
            <a:ext uri="{FF2B5EF4-FFF2-40B4-BE49-F238E27FC236}">
              <a16:creationId xmlns:a16="http://schemas.microsoft.com/office/drawing/2014/main" id="{22F0D1B3-BE84-1D48-A047-D238C5B9263F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43</xdr:row>
      <xdr:rowOff>0</xdr:rowOff>
    </xdr:from>
    <xdr:ext cx="304800" cy="304799"/>
    <xdr:sp macro="" textlink="">
      <xdr:nvSpPr>
        <xdr:cNvPr id="695" name="AutoShape 1036" descr="alert toggle">
          <a:extLst>
            <a:ext uri="{FF2B5EF4-FFF2-40B4-BE49-F238E27FC236}">
              <a16:creationId xmlns:a16="http://schemas.microsoft.com/office/drawing/2014/main" id="{4A731100-5770-4244-A3D7-0E37A85A8C77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44</xdr:row>
      <xdr:rowOff>0</xdr:rowOff>
    </xdr:from>
    <xdr:ext cx="304800" cy="304799"/>
    <xdr:sp macro="" textlink="">
      <xdr:nvSpPr>
        <xdr:cNvPr id="696" name="AutoShape 1039" descr="note-add">
          <a:extLst>
            <a:ext uri="{FF2B5EF4-FFF2-40B4-BE49-F238E27FC236}">
              <a16:creationId xmlns:a16="http://schemas.microsoft.com/office/drawing/2014/main" id="{9788DA70-6E8B-2E46-B438-E5F22E8F353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44</xdr:row>
      <xdr:rowOff>0</xdr:rowOff>
    </xdr:from>
    <xdr:ext cx="304800" cy="304799"/>
    <xdr:sp macro="" textlink="">
      <xdr:nvSpPr>
        <xdr:cNvPr id="697" name="AutoShape 1040" descr="alert toggle">
          <a:extLst>
            <a:ext uri="{FF2B5EF4-FFF2-40B4-BE49-F238E27FC236}">
              <a16:creationId xmlns:a16="http://schemas.microsoft.com/office/drawing/2014/main" id="{09A176B2-6DE7-D44E-B9CB-21B38749DBE1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45</xdr:row>
      <xdr:rowOff>0</xdr:rowOff>
    </xdr:from>
    <xdr:ext cx="304800" cy="304800"/>
    <xdr:sp macro="" textlink="">
      <xdr:nvSpPr>
        <xdr:cNvPr id="698" name="AutoShape 1043" descr="note-add">
          <a:extLst>
            <a:ext uri="{FF2B5EF4-FFF2-40B4-BE49-F238E27FC236}">
              <a16:creationId xmlns:a16="http://schemas.microsoft.com/office/drawing/2014/main" id="{E3F741B9-7F7C-E044-874F-8A50E62B173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45</xdr:row>
      <xdr:rowOff>0</xdr:rowOff>
    </xdr:from>
    <xdr:ext cx="304800" cy="304800"/>
    <xdr:sp macro="" textlink="">
      <xdr:nvSpPr>
        <xdr:cNvPr id="699" name="AutoShape 1044" descr="alert toggle">
          <a:extLst>
            <a:ext uri="{FF2B5EF4-FFF2-40B4-BE49-F238E27FC236}">
              <a16:creationId xmlns:a16="http://schemas.microsoft.com/office/drawing/2014/main" id="{0568B5F4-A07A-B243-8E06-178873B15FBC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46</xdr:row>
      <xdr:rowOff>0</xdr:rowOff>
    </xdr:from>
    <xdr:ext cx="304800" cy="304799"/>
    <xdr:sp macro="" textlink="">
      <xdr:nvSpPr>
        <xdr:cNvPr id="700" name="AutoShape 1047" descr="note-add">
          <a:extLst>
            <a:ext uri="{FF2B5EF4-FFF2-40B4-BE49-F238E27FC236}">
              <a16:creationId xmlns:a16="http://schemas.microsoft.com/office/drawing/2014/main" id="{B1F59EB2-A0DA-4942-BEB7-CD4C260C87A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46</xdr:row>
      <xdr:rowOff>0</xdr:rowOff>
    </xdr:from>
    <xdr:ext cx="304800" cy="304799"/>
    <xdr:sp macro="" textlink="">
      <xdr:nvSpPr>
        <xdr:cNvPr id="701" name="AutoShape 1048" descr="alert toggle">
          <a:extLst>
            <a:ext uri="{FF2B5EF4-FFF2-40B4-BE49-F238E27FC236}">
              <a16:creationId xmlns:a16="http://schemas.microsoft.com/office/drawing/2014/main" id="{4068CB05-9FB8-9541-B88A-6C514184B3B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4744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47</xdr:row>
      <xdr:rowOff>0</xdr:rowOff>
    </xdr:from>
    <xdr:ext cx="304800" cy="304800"/>
    <xdr:sp macro="" textlink="">
      <xdr:nvSpPr>
        <xdr:cNvPr id="702" name="AutoShape 1051" descr="note-add">
          <a:extLst>
            <a:ext uri="{FF2B5EF4-FFF2-40B4-BE49-F238E27FC236}">
              <a16:creationId xmlns:a16="http://schemas.microsoft.com/office/drawing/2014/main" id="{33ACAF0A-EBB5-904C-AEEF-905BD15D4E4C}"/>
            </a:ext>
          </a:extLst>
        </xdr:cNvPr>
        <xdr:cNvSpPr>
          <a:spLocks noChangeAspect="1" noChangeArrowheads="1"/>
        </xdr:cNvSpPr>
      </xdr:nvSpPr>
      <xdr:spPr bwMode="auto">
        <a:xfrm>
          <a:off x="156845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317500</xdr:colOff>
      <xdr:row>47</xdr:row>
      <xdr:rowOff>0</xdr:rowOff>
    </xdr:from>
    <xdr:ext cx="304800" cy="304800"/>
    <xdr:sp macro="" textlink="">
      <xdr:nvSpPr>
        <xdr:cNvPr id="703" name="AutoShape 1052" descr="alert toggle">
          <a:extLst>
            <a:ext uri="{FF2B5EF4-FFF2-40B4-BE49-F238E27FC236}">
              <a16:creationId xmlns:a16="http://schemas.microsoft.com/office/drawing/2014/main" id="{68725C6F-DF49-AE46-BA21-F2E7582B2DB0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48</xdr:row>
      <xdr:rowOff>0</xdr:rowOff>
    </xdr:from>
    <xdr:ext cx="304800" cy="304800"/>
    <xdr:sp macro="" textlink="">
      <xdr:nvSpPr>
        <xdr:cNvPr id="704" name="AutoShape 4405" descr="note-add">
          <a:extLst>
            <a:ext uri="{FF2B5EF4-FFF2-40B4-BE49-F238E27FC236}">
              <a16:creationId xmlns:a16="http://schemas.microsoft.com/office/drawing/2014/main" id="{FEFA626C-D2DA-924F-8507-D2E0FEF6CB25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48</xdr:row>
      <xdr:rowOff>0</xdr:rowOff>
    </xdr:from>
    <xdr:ext cx="304800" cy="304800"/>
    <xdr:sp macro="" textlink="">
      <xdr:nvSpPr>
        <xdr:cNvPr id="705" name="AutoShape 4406" descr="alert toggle">
          <a:extLst>
            <a:ext uri="{FF2B5EF4-FFF2-40B4-BE49-F238E27FC236}">
              <a16:creationId xmlns:a16="http://schemas.microsoft.com/office/drawing/2014/main" id="{FE6EF97E-0C7C-AE41-9FEA-A3338E31DCB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47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52</xdr:row>
      <xdr:rowOff>0</xdr:rowOff>
    </xdr:from>
    <xdr:ext cx="304800" cy="279399"/>
    <xdr:sp macro="" textlink="">
      <xdr:nvSpPr>
        <xdr:cNvPr id="706" name="AutoShape 4413" descr="note-add">
          <a:extLst>
            <a:ext uri="{FF2B5EF4-FFF2-40B4-BE49-F238E27FC236}">
              <a16:creationId xmlns:a16="http://schemas.microsoft.com/office/drawing/2014/main" id="{E99847B9-6D29-E34A-B161-72D26310E75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586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52</xdr:row>
      <xdr:rowOff>0</xdr:rowOff>
    </xdr:from>
    <xdr:ext cx="304800" cy="279399"/>
    <xdr:sp macro="" textlink="">
      <xdr:nvSpPr>
        <xdr:cNvPr id="707" name="AutoShape 4414" descr="alert toggle">
          <a:extLst>
            <a:ext uri="{FF2B5EF4-FFF2-40B4-BE49-F238E27FC236}">
              <a16:creationId xmlns:a16="http://schemas.microsoft.com/office/drawing/2014/main" id="{65824E25-A48A-4D49-9BBF-EB2EE116F21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586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53</xdr:row>
      <xdr:rowOff>0</xdr:rowOff>
    </xdr:from>
    <xdr:ext cx="304800" cy="279399"/>
    <xdr:sp macro="" textlink="">
      <xdr:nvSpPr>
        <xdr:cNvPr id="708" name="AutoShape 4417" descr="note-add">
          <a:extLst>
            <a:ext uri="{FF2B5EF4-FFF2-40B4-BE49-F238E27FC236}">
              <a16:creationId xmlns:a16="http://schemas.microsoft.com/office/drawing/2014/main" id="{87704A84-32D9-9841-8771-CF1D21AA4F2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586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53</xdr:row>
      <xdr:rowOff>0</xdr:rowOff>
    </xdr:from>
    <xdr:ext cx="304800" cy="279399"/>
    <xdr:sp macro="" textlink="">
      <xdr:nvSpPr>
        <xdr:cNvPr id="709" name="AutoShape 4418" descr="alert toggle">
          <a:extLst>
            <a:ext uri="{FF2B5EF4-FFF2-40B4-BE49-F238E27FC236}">
              <a16:creationId xmlns:a16="http://schemas.microsoft.com/office/drawing/2014/main" id="{1E61015F-C5D3-9949-906E-4C6CA263CEF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586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54</xdr:row>
      <xdr:rowOff>0</xdr:rowOff>
    </xdr:from>
    <xdr:ext cx="304800" cy="279399"/>
    <xdr:sp macro="" textlink="">
      <xdr:nvSpPr>
        <xdr:cNvPr id="710" name="AutoShape 4421" descr="note-add">
          <a:extLst>
            <a:ext uri="{FF2B5EF4-FFF2-40B4-BE49-F238E27FC236}">
              <a16:creationId xmlns:a16="http://schemas.microsoft.com/office/drawing/2014/main" id="{43983D1F-1AA1-E54D-A426-47B8921697A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586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54</xdr:row>
      <xdr:rowOff>0</xdr:rowOff>
    </xdr:from>
    <xdr:ext cx="304800" cy="279399"/>
    <xdr:sp macro="" textlink="">
      <xdr:nvSpPr>
        <xdr:cNvPr id="711" name="AutoShape 4422" descr="alert toggle">
          <a:extLst>
            <a:ext uri="{FF2B5EF4-FFF2-40B4-BE49-F238E27FC236}">
              <a16:creationId xmlns:a16="http://schemas.microsoft.com/office/drawing/2014/main" id="{43FF153D-F400-384F-8F8E-16537585D05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58623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56</xdr:row>
      <xdr:rowOff>0</xdr:rowOff>
    </xdr:from>
    <xdr:ext cx="304800" cy="279400"/>
    <xdr:sp macro="" textlink="">
      <xdr:nvSpPr>
        <xdr:cNvPr id="712" name="AutoShape 4425" descr="note-add">
          <a:extLst>
            <a:ext uri="{FF2B5EF4-FFF2-40B4-BE49-F238E27FC236}">
              <a16:creationId xmlns:a16="http://schemas.microsoft.com/office/drawing/2014/main" id="{20D017E3-D9FB-DF4E-99F6-191DE8C3060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4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56</xdr:row>
      <xdr:rowOff>0</xdr:rowOff>
    </xdr:from>
    <xdr:ext cx="304800" cy="279400"/>
    <xdr:sp macro="" textlink="">
      <xdr:nvSpPr>
        <xdr:cNvPr id="713" name="AutoShape 4426" descr="alert toggle">
          <a:extLst>
            <a:ext uri="{FF2B5EF4-FFF2-40B4-BE49-F238E27FC236}">
              <a16:creationId xmlns:a16="http://schemas.microsoft.com/office/drawing/2014/main" id="{480534AC-8E39-3142-8455-8C96C14882B1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4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55</xdr:row>
      <xdr:rowOff>0</xdr:rowOff>
    </xdr:from>
    <xdr:ext cx="304800" cy="279400"/>
    <xdr:sp macro="" textlink="">
      <xdr:nvSpPr>
        <xdr:cNvPr id="714" name="AutoShape 4409" descr="note-add">
          <a:extLst>
            <a:ext uri="{FF2B5EF4-FFF2-40B4-BE49-F238E27FC236}">
              <a16:creationId xmlns:a16="http://schemas.microsoft.com/office/drawing/2014/main" id="{2480549C-8E31-904F-A995-1721E40E59B1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55</xdr:row>
      <xdr:rowOff>0</xdr:rowOff>
    </xdr:from>
    <xdr:ext cx="304800" cy="279400"/>
    <xdr:sp macro="" textlink="">
      <xdr:nvSpPr>
        <xdr:cNvPr id="715" name="AutoShape 4410" descr="alert toggle">
          <a:extLst>
            <a:ext uri="{FF2B5EF4-FFF2-40B4-BE49-F238E27FC236}">
              <a16:creationId xmlns:a16="http://schemas.microsoft.com/office/drawing/2014/main" id="{813327DF-C899-EF4A-9ABF-F66C46756B9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55</xdr:row>
      <xdr:rowOff>0</xdr:rowOff>
    </xdr:from>
    <xdr:ext cx="304800" cy="279400"/>
    <xdr:sp macro="" textlink="">
      <xdr:nvSpPr>
        <xdr:cNvPr id="716" name="AutoShape 4429" descr="note-add">
          <a:extLst>
            <a:ext uri="{FF2B5EF4-FFF2-40B4-BE49-F238E27FC236}">
              <a16:creationId xmlns:a16="http://schemas.microsoft.com/office/drawing/2014/main" id="{341970C3-67F2-904D-8160-688BF277487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55</xdr:row>
      <xdr:rowOff>0</xdr:rowOff>
    </xdr:from>
    <xdr:ext cx="304800" cy="279400"/>
    <xdr:sp macro="" textlink="">
      <xdr:nvSpPr>
        <xdr:cNvPr id="717" name="AutoShape 4430" descr="alert toggle">
          <a:extLst>
            <a:ext uri="{FF2B5EF4-FFF2-40B4-BE49-F238E27FC236}">
              <a16:creationId xmlns:a16="http://schemas.microsoft.com/office/drawing/2014/main" id="{2155A55A-1AC8-A448-8921-DBFF283D375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57</xdr:row>
      <xdr:rowOff>0</xdr:rowOff>
    </xdr:from>
    <xdr:ext cx="304800" cy="279400"/>
    <xdr:sp macro="" textlink="">
      <xdr:nvSpPr>
        <xdr:cNvPr id="718" name="AutoShape 4433" descr="note-add">
          <a:extLst>
            <a:ext uri="{FF2B5EF4-FFF2-40B4-BE49-F238E27FC236}">
              <a16:creationId xmlns:a16="http://schemas.microsoft.com/office/drawing/2014/main" id="{9F5171CC-F85A-A945-B2C7-C242EFD024A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57</xdr:row>
      <xdr:rowOff>0</xdr:rowOff>
    </xdr:from>
    <xdr:ext cx="304800" cy="279400"/>
    <xdr:sp macro="" textlink="">
      <xdr:nvSpPr>
        <xdr:cNvPr id="719" name="AutoShape 4434" descr="alert toggle">
          <a:extLst>
            <a:ext uri="{FF2B5EF4-FFF2-40B4-BE49-F238E27FC236}">
              <a16:creationId xmlns:a16="http://schemas.microsoft.com/office/drawing/2014/main" id="{D4C1395F-9DA1-5E44-8075-9AD6E7F0F7CE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55</xdr:row>
      <xdr:rowOff>0</xdr:rowOff>
    </xdr:from>
    <xdr:ext cx="304800" cy="279400"/>
    <xdr:sp macro="" textlink="">
      <xdr:nvSpPr>
        <xdr:cNvPr id="720" name="AutoShape 3101" descr="note-add">
          <a:extLst>
            <a:ext uri="{FF2B5EF4-FFF2-40B4-BE49-F238E27FC236}">
              <a16:creationId xmlns:a16="http://schemas.microsoft.com/office/drawing/2014/main" id="{1CCE8896-6F7D-6245-9FA6-FF6397C32B20}"/>
            </a:ext>
          </a:extLst>
        </xdr:cNvPr>
        <xdr:cNvSpPr>
          <a:spLocks noChangeAspect="1" noChangeArrowheads="1"/>
        </xdr:cNvSpPr>
      </xdr:nvSpPr>
      <xdr:spPr bwMode="auto">
        <a:xfrm>
          <a:off x="272288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317500</xdr:colOff>
      <xdr:row>55</xdr:row>
      <xdr:rowOff>0</xdr:rowOff>
    </xdr:from>
    <xdr:ext cx="304800" cy="279400"/>
    <xdr:sp macro="" textlink="">
      <xdr:nvSpPr>
        <xdr:cNvPr id="721" name="AutoShape 3102" descr="alert toggle">
          <a:extLst>
            <a:ext uri="{FF2B5EF4-FFF2-40B4-BE49-F238E27FC236}">
              <a16:creationId xmlns:a16="http://schemas.microsoft.com/office/drawing/2014/main" id="{D85CA2EC-DF90-C74D-BB0D-A2542E779783}"/>
            </a:ext>
          </a:extLst>
        </xdr:cNvPr>
        <xdr:cNvSpPr>
          <a:spLocks noChangeAspect="1" noChangeArrowheads="1"/>
        </xdr:cNvSpPr>
      </xdr:nvSpPr>
      <xdr:spPr bwMode="auto">
        <a:xfrm>
          <a:off x="275463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54</xdr:row>
      <xdr:rowOff>0</xdr:rowOff>
    </xdr:from>
    <xdr:ext cx="304800" cy="279400"/>
    <xdr:sp macro="" textlink="">
      <xdr:nvSpPr>
        <xdr:cNvPr id="722" name="AutoShape 4437" descr="note-add">
          <a:extLst>
            <a:ext uri="{FF2B5EF4-FFF2-40B4-BE49-F238E27FC236}">
              <a16:creationId xmlns:a16="http://schemas.microsoft.com/office/drawing/2014/main" id="{04E2934F-BB77-7E4F-A351-58FF96A5BBF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54</xdr:row>
      <xdr:rowOff>0</xdr:rowOff>
    </xdr:from>
    <xdr:ext cx="304800" cy="279400"/>
    <xdr:sp macro="" textlink="">
      <xdr:nvSpPr>
        <xdr:cNvPr id="723" name="AutoShape 4438" descr="alert toggle">
          <a:extLst>
            <a:ext uri="{FF2B5EF4-FFF2-40B4-BE49-F238E27FC236}">
              <a16:creationId xmlns:a16="http://schemas.microsoft.com/office/drawing/2014/main" id="{93A91A6B-ACB8-9844-854D-DDCC97EFEC4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58</xdr:row>
      <xdr:rowOff>0</xdr:rowOff>
    </xdr:from>
    <xdr:ext cx="304800" cy="279400"/>
    <xdr:sp macro="" textlink="">
      <xdr:nvSpPr>
        <xdr:cNvPr id="724" name="AutoShape 3278" descr="note-add">
          <a:extLst>
            <a:ext uri="{FF2B5EF4-FFF2-40B4-BE49-F238E27FC236}">
              <a16:creationId xmlns:a16="http://schemas.microsoft.com/office/drawing/2014/main" id="{BB055362-C6E9-B346-AF22-C4C62B6448F4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25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58</xdr:row>
      <xdr:rowOff>0</xdr:rowOff>
    </xdr:from>
    <xdr:ext cx="304800" cy="279400"/>
    <xdr:sp macro="" textlink="">
      <xdr:nvSpPr>
        <xdr:cNvPr id="725" name="AutoShape 3279" descr="alert toggle">
          <a:extLst>
            <a:ext uri="{FF2B5EF4-FFF2-40B4-BE49-F238E27FC236}">
              <a16:creationId xmlns:a16="http://schemas.microsoft.com/office/drawing/2014/main" id="{A9E0ABCC-3588-D942-AFEB-9327A5D4CFE7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25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60</xdr:row>
      <xdr:rowOff>0</xdr:rowOff>
    </xdr:from>
    <xdr:ext cx="304800" cy="279400"/>
    <xdr:sp macro="" textlink="">
      <xdr:nvSpPr>
        <xdr:cNvPr id="726" name="AutoShape 3282" descr="note-add">
          <a:extLst>
            <a:ext uri="{FF2B5EF4-FFF2-40B4-BE49-F238E27FC236}">
              <a16:creationId xmlns:a16="http://schemas.microsoft.com/office/drawing/2014/main" id="{63CAD12E-2ED9-D649-8C05-DFFDCCDFDD51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25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52</xdr:row>
      <xdr:rowOff>0</xdr:rowOff>
    </xdr:from>
    <xdr:ext cx="304800" cy="279400"/>
    <xdr:sp macro="" textlink="">
      <xdr:nvSpPr>
        <xdr:cNvPr id="727" name="AutoShape 3286" descr="note-add">
          <a:extLst>
            <a:ext uri="{FF2B5EF4-FFF2-40B4-BE49-F238E27FC236}">
              <a16:creationId xmlns:a16="http://schemas.microsoft.com/office/drawing/2014/main" id="{DB23B116-F1BF-BF43-A183-2515071C007F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52</xdr:row>
      <xdr:rowOff>0</xdr:rowOff>
    </xdr:from>
    <xdr:ext cx="304800" cy="279400"/>
    <xdr:sp macro="" textlink="">
      <xdr:nvSpPr>
        <xdr:cNvPr id="728" name="AutoShape 3287" descr="alert toggle">
          <a:extLst>
            <a:ext uri="{FF2B5EF4-FFF2-40B4-BE49-F238E27FC236}">
              <a16:creationId xmlns:a16="http://schemas.microsoft.com/office/drawing/2014/main" id="{E333FABE-B727-9D4D-A786-A63CC8A51B99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53</xdr:row>
      <xdr:rowOff>0</xdr:rowOff>
    </xdr:from>
    <xdr:ext cx="304800" cy="279400"/>
    <xdr:sp macro="" textlink="">
      <xdr:nvSpPr>
        <xdr:cNvPr id="729" name="AutoShape 3290" descr="note-add">
          <a:extLst>
            <a:ext uri="{FF2B5EF4-FFF2-40B4-BE49-F238E27FC236}">
              <a16:creationId xmlns:a16="http://schemas.microsoft.com/office/drawing/2014/main" id="{F8907189-6490-C649-BC24-72514A187194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53</xdr:row>
      <xdr:rowOff>0</xdr:rowOff>
    </xdr:from>
    <xdr:ext cx="304800" cy="279400"/>
    <xdr:sp macro="" textlink="">
      <xdr:nvSpPr>
        <xdr:cNvPr id="730" name="AutoShape 3291" descr="alert toggle">
          <a:extLst>
            <a:ext uri="{FF2B5EF4-FFF2-40B4-BE49-F238E27FC236}">
              <a16:creationId xmlns:a16="http://schemas.microsoft.com/office/drawing/2014/main" id="{DD8A9A65-2769-7B47-AF43-AE72CC4E3F67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54</xdr:row>
      <xdr:rowOff>0</xdr:rowOff>
    </xdr:from>
    <xdr:ext cx="304800" cy="279400"/>
    <xdr:sp macro="" textlink="">
      <xdr:nvSpPr>
        <xdr:cNvPr id="731" name="AutoShape 3294" descr="note-add">
          <a:extLst>
            <a:ext uri="{FF2B5EF4-FFF2-40B4-BE49-F238E27FC236}">
              <a16:creationId xmlns:a16="http://schemas.microsoft.com/office/drawing/2014/main" id="{08461FD0-4450-6E4B-818E-277ED244EFF7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54</xdr:row>
      <xdr:rowOff>0</xdr:rowOff>
    </xdr:from>
    <xdr:ext cx="304800" cy="279400"/>
    <xdr:sp macro="" textlink="">
      <xdr:nvSpPr>
        <xdr:cNvPr id="732" name="AutoShape 3295" descr="alert toggle">
          <a:extLst>
            <a:ext uri="{FF2B5EF4-FFF2-40B4-BE49-F238E27FC236}">
              <a16:creationId xmlns:a16="http://schemas.microsoft.com/office/drawing/2014/main" id="{6593DF2B-83AB-ED4E-BC21-55B0B197B3BE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55</xdr:row>
      <xdr:rowOff>0</xdr:rowOff>
    </xdr:from>
    <xdr:ext cx="304800" cy="279400"/>
    <xdr:sp macro="" textlink="">
      <xdr:nvSpPr>
        <xdr:cNvPr id="733" name="AutoShape 3298" descr="note-add">
          <a:extLst>
            <a:ext uri="{FF2B5EF4-FFF2-40B4-BE49-F238E27FC236}">
              <a16:creationId xmlns:a16="http://schemas.microsoft.com/office/drawing/2014/main" id="{607F4195-6E97-6644-8F54-D46A77D46121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55</xdr:row>
      <xdr:rowOff>0</xdr:rowOff>
    </xdr:from>
    <xdr:ext cx="304800" cy="279400"/>
    <xdr:sp macro="" textlink="">
      <xdr:nvSpPr>
        <xdr:cNvPr id="734" name="AutoShape 3299" descr="alert toggle">
          <a:extLst>
            <a:ext uri="{FF2B5EF4-FFF2-40B4-BE49-F238E27FC236}">
              <a16:creationId xmlns:a16="http://schemas.microsoft.com/office/drawing/2014/main" id="{21ED0257-ADE7-D647-BA29-4FBB0BC73FF8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56</xdr:row>
      <xdr:rowOff>0</xdr:rowOff>
    </xdr:from>
    <xdr:ext cx="304800" cy="279400"/>
    <xdr:sp macro="" textlink="">
      <xdr:nvSpPr>
        <xdr:cNvPr id="735" name="AutoShape 3302" descr="note-add">
          <a:extLst>
            <a:ext uri="{FF2B5EF4-FFF2-40B4-BE49-F238E27FC236}">
              <a16:creationId xmlns:a16="http://schemas.microsoft.com/office/drawing/2014/main" id="{9FC35EBC-9461-4145-988D-03B7A9172097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56</xdr:row>
      <xdr:rowOff>0</xdr:rowOff>
    </xdr:from>
    <xdr:ext cx="304800" cy="279400"/>
    <xdr:sp macro="" textlink="">
      <xdr:nvSpPr>
        <xdr:cNvPr id="736" name="AutoShape 3303" descr="alert toggle">
          <a:extLst>
            <a:ext uri="{FF2B5EF4-FFF2-40B4-BE49-F238E27FC236}">
              <a16:creationId xmlns:a16="http://schemas.microsoft.com/office/drawing/2014/main" id="{7F840ED5-F266-E340-9EBA-8627193D7349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57</xdr:row>
      <xdr:rowOff>0</xdr:rowOff>
    </xdr:from>
    <xdr:ext cx="304800" cy="279400"/>
    <xdr:sp macro="" textlink="">
      <xdr:nvSpPr>
        <xdr:cNvPr id="737" name="AutoShape 3306" descr="note-add">
          <a:extLst>
            <a:ext uri="{FF2B5EF4-FFF2-40B4-BE49-F238E27FC236}">
              <a16:creationId xmlns:a16="http://schemas.microsoft.com/office/drawing/2014/main" id="{7D35AA37-4310-944C-A6F8-FED0DCD14996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57</xdr:row>
      <xdr:rowOff>0</xdr:rowOff>
    </xdr:from>
    <xdr:ext cx="304800" cy="279400"/>
    <xdr:sp macro="" textlink="">
      <xdr:nvSpPr>
        <xdr:cNvPr id="738" name="AutoShape 3307" descr="alert toggle">
          <a:extLst>
            <a:ext uri="{FF2B5EF4-FFF2-40B4-BE49-F238E27FC236}">
              <a16:creationId xmlns:a16="http://schemas.microsoft.com/office/drawing/2014/main" id="{32E9673C-328B-6E43-B3F8-232D0BD66DA4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58</xdr:row>
      <xdr:rowOff>0</xdr:rowOff>
    </xdr:from>
    <xdr:ext cx="304800" cy="279400"/>
    <xdr:sp macro="" textlink="">
      <xdr:nvSpPr>
        <xdr:cNvPr id="739" name="AutoShape 3310" descr="note-add">
          <a:extLst>
            <a:ext uri="{FF2B5EF4-FFF2-40B4-BE49-F238E27FC236}">
              <a16:creationId xmlns:a16="http://schemas.microsoft.com/office/drawing/2014/main" id="{3100C090-1DB1-5D46-BA7C-F452F789271E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58</xdr:row>
      <xdr:rowOff>0</xdr:rowOff>
    </xdr:from>
    <xdr:ext cx="304800" cy="279400"/>
    <xdr:sp macro="" textlink="">
      <xdr:nvSpPr>
        <xdr:cNvPr id="740" name="AutoShape 3311" descr="alert toggle">
          <a:extLst>
            <a:ext uri="{FF2B5EF4-FFF2-40B4-BE49-F238E27FC236}">
              <a16:creationId xmlns:a16="http://schemas.microsoft.com/office/drawing/2014/main" id="{E19DD36A-C938-814B-92F8-F9E3BA2CBE21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59</xdr:row>
      <xdr:rowOff>0</xdr:rowOff>
    </xdr:from>
    <xdr:ext cx="304800" cy="279400"/>
    <xdr:sp macro="" textlink="">
      <xdr:nvSpPr>
        <xdr:cNvPr id="741" name="AutoShape 3314" descr="note-add">
          <a:extLst>
            <a:ext uri="{FF2B5EF4-FFF2-40B4-BE49-F238E27FC236}">
              <a16:creationId xmlns:a16="http://schemas.microsoft.com/office/drawing/2014/main" id="{0024F547-A12E-9745-B056-A2354CE8B1CA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59</xdr:row>
      <xdr:rowOff>0</xdr:rowOff>
    </xdr:from>
    <xdr:ext cx="304800" cy="279400"/>
    <xdr:sp macro="" textlink="">
      <xdr:nvSpPr>
        <xdr:cNvPr id="742" name="AutoShape 3315" descr="alert toggle">
          <a:extLst>
            <a:ext uri="{FF2B5EF4-FFF2-40B4-BE49-F238E27FC236}">
              <a16:creationId xmlns:a16="http://schemas.microsoft.com/office/drawing/2014/main" id="{FAECF4C0-944B-0749-9066-03E181DBC862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61</xdr:row>
      <xdr:rowOff>0</xdr:rowOff>
    </xdr:from>
    <xdr:ext cx="304800" cy="279400"/>
    <xdr:sp macro="" textlink="">
      <xdr:nvSpPr>
        <xdr:cNvPr id="743" name="AutoShape 3318" descr="note-add">
          <a:extLst>
            <a:ext uri="{FF2B5EF4-FFF2-40B4-BE49-F238E27FC236}">
              <a16:creationId xmlns:a16="http://schemas.microsoft.com/office/drawing/2014/main" id="{EE57AB48-3BC3-864E-91D8-4A2151356849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61</xdr:row>
      <xdr:rowOff>0</xdr:rowOff>
    </xdr:from>
    <xdr:ext cx="304800" cy="279400"/>
    <xdr:sp macro="" textlink="">
      <xdr:nvSpPr>
        <xdr:cNvPr id="744" name="AutoShape 3319" descr="alert toggle">
          <a:extLst>
            <a:ext uri="{FF2B5EF4-FFF2-40B4-BE49-F238E27FC236}">
              <a16:creationId xmlns:a16="http://schemas.microsoft.com/office/drawing/2014/main" id="{9ABD1C76-58DF-B640-9063-7C17138E10CF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61</xdr:row>
      <xdr:rowOff>0</xdr:rowOff>
    </xdr:from>
    <xdr:ext cx="304800" cy="279400"/>
    <xdr:sp macro="" textlink="">
      <xdr:nvSpPr>
        <xdr:cNvPr id="745" name="AutoShape 3330" descr="note-add">
          <a:extLst>
            <a:ext uri="{FF2B5EF4-FFF2-40B4-BE49-F238E27FC236}">
              <a16:creationId xmlns:a16="http://schemas.microsoft.com/office/drawing/2014/main" id="{C35F68CC-308B-9744-8A37-61DCE758CEA3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61</xdr:row>
      <xdr:rowOff>0</xdr:rowOff>
    </xdr:from>
    <xdr:ext cx="304800" cy="279400"/>
    <xdr:sp macro="" textlink="">
      <xdr:nvSpPr>
        <xdr:cNvPr id="746" name="AutoShape 3331" descr="alert toggle">
          <a:extLst>
            <a:ext uri="{FF2B5EF4-FFF2-40B4-BE49-F238E27FC236}">
              <a16:creationId xmlns:a16="http://schemas.microsoft.com/office/drawing/2014/main" id="{E386F583-72B9-0740-AD68-048897952744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51</xdr:row>
      <xdr:rowOff>0</xdr:rowOff>
    </xdr:from>
    <xdr:ext cx="304800" cy="279400"/>
    <xdr:sp macro="" textlink="">
      <xdr:nvSpPr>
        <xdr:cNvPr id="747" name="AutoShape 3322" descr="note-add">
          <a:extLst>
            <a:ext uri="{FF2B5EF4-FFF2-40B4-BE49-F238E27FC236}">
              <a16:creationId xmlns:a16="http://schemas.microsoft.com/office/drawing/2014/main" id="{5DAC0BBE-683D-F543-B96F-AF51977FD104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51</xdr:row>
      <xdr:rowOff>0</xdr:rowOff>
    </xdr:from>
    <xdr:ext cx="304800" cy="279400"/>
    <xdr:sp macro="" textlink="">
      <xdr:nvSpPr>
        <xdr:cNvPr id="748" name="AutoShape 3323" descr="alert toggle">
          <a:extLst>
            <a:ext uri="{FF2B5EF4-FFF2-40B4-BE49-F238E27FC236}">
              <a16:creationId xmlns:a16="http://schemas.microsoft.com/office/drawing/2014/main" id="{76BADBCF-6658-AB41-AF97-D1DFAC6B3522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59</xdr:row>
      <xdr:rowOff>0</xdr:rowOff>
    </xdr:from>
    <xdr:ext cx="304800" cy="279400"/>
    <xdr:sp macro="" textlink="">
      <xdr:nvSpPr>
        <xdr:cNvPr id="749" name="AutoShape 3326" descr="note-add">
          <a:extLst>
            <a:ext uri="{FF2B5EF4-FFF2-40B4-BE49-F238E27FC236}">
              <a16:creationId xmlns:a16="http://schemas.microsoft.com/office/drawing/2014/main" id="{011E9E4B-FD71-D84A-907E-1F5E6409483B}"/>
            </a:ext>
          </a:extLst>
        </xdr:cNvPr>
        <xdr:cNvSpPr>
          <a:spLocks noChangeAspect="1" noChangeArrowheads="1"/>
        </xdr:cNvSpPr>
      </xdr:nvSpPr>
      <xdr:spPr bwMode="auto">
        <a:xfrm>
          <a:off x="233172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51</xdr:row>
      <xdr:rowOff>0</xdr:rowOff>
    </xdr:from>
    <xdr:ext cx="304800" cy="279400"/>
    <xdr:sp macro="" textlink="">
      <xdr:nvSpPr>
        <xdr:cNvPr id="750" name="AutoShape 3334" descr="note-add">
          <a:extLst>
            <a:ext uri="{FF2B5EF4-FFF2-40B4-BE49-F238E27FC236}">
              <a16:creationId xmlns:a16="http://schemas.microsoft.com/office/drawing/2014/main" id="{BFCA7D3C-F678-3F45-90ED-22C4026303D5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51</xdr:row>
      <xdr:rowOff>0</xdr:rowOff>
    </xdr:from>
    <xdr:ext cx="304800" cy="279400"/>
    <xdr:sp macro="" textlink="">
      <xdr:nvSpPr>
        <xdr:cNvPr id="751" name="AutoShape 3335" descr="alert toggle">
          <a:extLst>
            <a:ext uri="{FF2B5EF4-FFF2-40B4-BE49-F238E27FC236}">
              <a16:creationId xmlns:a16="http://schemas.microsoft.com/office/drawing/2014/main" id="{3AB6A6FB-E6DF-6640-A949-24D3992CAF39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61</xdr:row>
      <xdr:rowOff>0</xdr:rowOff>
    </xdr:from>
    <xdr:ext cx="304800" cy="304800"/>
    <xdr:sp macro="" textlink="">
      <xdr:nvSpPr>
        <xdr:cNvPr id="752" name="AutoShape 1237" descr="note-add">
          <a:extLst>
            <a:ext uri="{FF2B5EF4-FFF2-40B4-BE49-F238E27FC236}">
              <a16:creationId xmlns:a16="http://schemas.microsoft.com/office/drawing/2014/main" id="{0B0F77F6-F613-D546-AB0D-113ED022C90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61</xdr:row>
      <xdr:rowOff>0</xdr:rowOff>
    </xdr:from>
    <xdr:ext cx="304800" cy="304800"/>
    <xdr:sp macro="" textlink="">
      <xdr:nvSpPr>
        <xdr:cNvPr id="753" name="AutoShape 1238" descr="alert toggle">
          <a:extLst>
            <a:ext uri="{FF2B5EF4-FFF2-40B4-BE49-F238E27FC236}">
              <a16:creationId xmlns:a16="http://schemas.microsoft.com/office/drawing/2014/main" id="{3C558FAA-1898-4346-9982-C3F65471861E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62</xdr:row>
      <xdr:rowOff>0</xdr:rowOff>
    </xdr:from>
    <xdr:ext cx="304800" cy="304801"/>
    <xdr:sp macro="" textlink="">
      <xdr:nvSpPr>
        <xdr:cNvPr id="754" name="AutoShape 1241" descr="note-add">
          <a:extLst>
            <a:ext uri="{FF2B5EF4-FFF2-40B4-BE49-F238E27FC236}">
              <a16:creationId xmlns:a16="http://schemas.microsoft.com/office/drawing/2014/main" id="{413918B5-A614-394A-A0F9-2104EEA80DD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62</xdr:row>
      <xdr:rowOff>0</xdr:rowOff>
    </xdr:from>
    <xdr:ext cx="304800" cy="304801"/>
    <xdr:sp macro="" textlink="">
      <xdr:nvSpPr>
        <xdr:cNvPr id="755" name="AutoShape 1242" descr="alert toggle">
          <a:extLst>
            <a:ext uri="{FF2B5EF4-FFF2-40B4-BE49-F238E27FC236}">
              <a16:creationId xmlns:a16="http://schemas.microsoft.com/office/drawing/2014/main" id="{408F2091-488C-D144-A771-06A0A625121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756" name="AutoShape 1245" descr="note-add">
          <a:extLst>
            <a:ext uri="{FF2B5EF4-FFF2-40B4-BE49-F238E27FC236}">
              <a16:creationId xmlns:a16="http://schemas.microsoft.com/office/drawing/2014/main" id="{C9CCD4FE-C169-E548-9AED-74782F3D011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63</xdr:row>
      <xdr:rowOff>0</xdr:rowOff>
    </xdr:from>
    <xdr:ext cx="304800" cy="304800"/>
    <xdr:sp macro="" textlink="">
      <xdr:nvSpPr>
        <xdr:cNvPr id="757" name="AutoShape 1246" descr="alert toggle">
          <a:extLst>
            <a:ext uri="{FF2B5EF4-FFF2-40B4-BE49-F238E27FC236}">
              <a16:creationId xmlns:a16="http://schemas.microsoft.com/office/drawing/2014/main" id="{772BECE0-DC83-2943-93B4-142A4F0FA859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758" name="AutoShape 1249" descr="note-add">
          <a:extLst>
            <a:ext uri="{FF2B5EF4-FFF2-40B4-BE49-F238E27FC236}">
              <a16:creationId xmlns:a16="http://schemas.microsoft.com/office/drawing/2014/main" id="{04DAEC8F-B915-9647-BF6D-8879642AAB6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64</xdr:row>
      <xdr:rowOff>0</xdr:rowOff>
    </xdr:from>
    <xdr:ext cx="304800" cy="304801"/>
    <xdr:sp macro="" textlink="">
      <xdr:nvSpPr>
        <xdr:cNvPr id="759" name="AutoShape 1250" descr="alert toggle">
          <a:extLst>
            <a:ext uri="{FF2B5EF4-FFF2-40B4-BE49-F238E27FC236}">
              <a16:creationId xmlns:a16="http://schemas.microsoft.com/office/drawing/2014/main" id="{8A08BE64-0D04-754D-BD8F-307EF30D3591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60" name="AutoShape 1253" descr="note-add">
          <a:extLst>
            <a:ext uri="{FF2B5EF4-FFF2-40B4-BE49-F238E27FC236}">
              <a16:creationId xmlns:a16="http://schemas.microsoft.com/office/drawing/2014/main" id="{FD37BCA2-1E86-6D40-A5C0-4FE08BD21EE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61" name="AutoShape 1254" descr="alert toggle">
          <a:extLst>
            <a:ext uri="{FF2B5EF4-FFF2-40B4-BE49-F238E27FC236}">
              <a16:creationId xmlns:a16="http://schemas.microsoft.com/office/drawing/2014/main" id="{162A81DB-79EA-3F49-9225-B81BB5D4254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62" name="AutoShape 1257" descr="note-add">
          <a:extLst>
            <a:ext uri="{FF2B5EF4-FFF2-40B4-BE49-F238E27FC236}">
              <a16:creationId xmlns:a16="http://schemas.microsoft.com/office/drawing/2014/main" id="{F111F0B9-A11B-2341-9CB4-A40DED8CC71E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63" name="AutoShape 1258" descr="alert toggle">
          <a:extLst>
            <a:ext uri="{FF2B5EF4-FFF2-40B4-BE49-F238E27FC236}">
              <a16:creationId xmlns:a16="http://schemas.microsoft.com/office/drawing/2014/main" id="{5A02E1EB-0572-B146-AB1B-C1C196BE3C28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61</xdr:row>
      <xdr:rowOff>0</xdr:rowOff>
    </xdr:from>
    <xdr:ext cx="304800" cy="304800"/>
    <xdr:sp macro="" textlink="">
      <xdr:nvSpPr>
        <xdr:cNvPr id="764" name="AutoShape 1311" descr="note-add">
          <a:extLst>
            <a:ext uri="{FF2B5EF4-FFF2-40B4-BE49-F238E27FC236}">
              <a16:creationId xmlns:a16="http://schemas.microsoft.com/office/drawing/2014/main" id="{8519213E-44EF-864B-9B2E-BF9C2D47179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61</xdr:row>
      <xdr:rowOff>0</xdr:rowOff>
    </xdr:from>
    <xdr:ext cx="304800" cy="304800"/>
    <xdr:sp macro="" textlink="">
      <xdr:nvSpPr>
        <xdr:cNvPr id="765" name="AutoShape 1312" descr="alert toggle">
          <a:extLst>
            <a:ext uri="{FF2B5EF4-FFF2-40B4-BE49-F238E27FC236}">
              <a16:creationId xmlns:a16="http://schemas.microsoft.com/office/drawing/2014/main" id="{287C87F4-85CE-2146-9E7D-CF3C54E794BE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62</xdr:row>
      <xdr:rowOff>0</xdr:rowOff>
    </xdr:from>
    <xdr:ext cx="304800" cy="304801"/>
    <xdr:sp macro="" textlink="">
      <xdr:nvSpPr>
        <xdr:cNvPr id="766" name="AutoShape 1315" descr="note-add">
          <a:extLst>
            <a:ext uri="{FF2B5EF4-FFF2-40B4-BE49-F238E27FC236}">
              <a16:creationId xmlns:a16="http://schemas.microsoft.com/office/drawing/2014/main" id="{C74B6664-93CA-8E42-9B76-271AE6542FB4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62</xdr:row>
      <xdr:rowOff>0</xdr:rowOff>
    </xdr:from>
    <xdr:ext cx="304800" cy="304801"/>
    <xdr:sp macro="" textlink="">
      <xdr:nvSpPr>
        <xdr:cNvPr id="767" name="AutoShape 1316" descr="alert toggle">
          <a:extLst>
            <a:ext uri="{FF2B5EF4-FFF2-40B4-BE49-F238E27FC236}">
              <a16:creationId xmlns:a16="http://schemas.microsoft.com/office/drawing/2014/main" id="{DDE6BFE3-29C5-9240-A2B9-F7C4ABD1D44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768" name="AutoShape 1319" descr="note-add">
          <a:extLst>
            <a:ext uri="{FF2B5EF4-FFF2-40B4-BE49-F238E27FC236}">
              <a16:creationId xmlns:a16="http://schemas.microsoft.com/office/drawing/2014/main" id="{B1BB3457-62AD-5741-A21C-14ADD388B4E1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63</xdr:row>
      <xdr:rowOff>0</xdr:rowOff>
    </xdr:from>
    <xdr:ext cx="304800" cy="304800"/>
    <xdr:sp macro="" textlink="">
      <xdr:nvSpPr>
        <xdr:cNvPr id="769" name="AutoShape 1320" descr="alert toggle">
          <a:extLst>
            <a:ext uri="{FF2B5EF4-FFF2-40B4-BE49-F238E27FC236}">
              <a16:creationId xmlns:a16="http://schemas.microsoft.com/office/drawing/2014/main" id="{456951C2-04E0-4A4B-8FE2-65EDE101A810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770" name="AutoShape 1323" descr="note-add">
          <a:extLst>
            <a:ext uri="{FF2B5EF4-FFF2-40B4-BE49-F238E27FC236}">
              <a16:creationId xmlns:a16="http://schemas.microsoft.com/office/drawing/2014/main" id="{7B1D19C3-77F8-4C4E-99F6-34C6A7D552C5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64</xdr:row>
      <xdr:rowOff>0</xdr:rowOff>
    </xdr:from>
    <xdr:ext cx="304800" cy="304801"/>
    <xdr:sp macro="" textlink="">
      <xdr:nvSpPr>
        <xdr:cNvPr id="771" name="AutoShape 1324" descr="alert toggle">
          <a:extLst>
            <a:ext uri="{FF2B5EF4-FFF2-40B4-BE49-F238E27FC236}">
              <a16:creationId xmlns:a16="http://schemas.microsoft.com/office/drawing/2014/main" id="{E0A073C9-58F1-9A43-862B-289BA918B53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72" name="AutoShape 1327" descr="note-add">
          <a:extLst>
            <a:ext uri="{FF2B5EF4-FFF2-40B4-BE49-F238E27FC236}">
              <a16:creationId xmlns:a16="http://schemas.microsoft.com/office/drawing/2014/main" id="{6F91D824-D0AE-6F4D-A3F0-C94B31852B9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73" name="AutoShape 1328" descr="alert toggle">
          <a:extLst>
            <a:ext uri="{FF2B5EF4-FFF2-40B4-BE49-F238E27FC236}">
              <a16:creationId xmlns:a16="http://schemas.microsoft.com/office/drawing/2014/main" id="{C309A73E-5A8B-914F-BF03-C552B707855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74" name="AutoShape 1331" descr="note-add">
          <a:extLst>
            <a:ext uri="{FF2B5EF4-FFF2-40B4-BE49-F238E27FC236}">
              <a16:creationId xmlns:a16="http://schemas.microsoft.com/office/drawing/2014/main" id="{2C5CC492-2866-C442-996A-98011BAF9BF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75" name="AutoShape 1332" descr="alert toggle">
          <a:extLst>
            <a:ext uri="{FF2B5EF4-FFF2-40B4-BE49-F238E27FC236}">
              <a16:creationId xmlns:a16="http://schemas.microsoft.com/office/drawing/2014/main" id="{863ABCE3-5340-DE43-95C0-D76060710E5C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61</xdr:row>
      <xdr:rowOff>0</xdr:rowOff>
    </xdr:from>
    <xdr:ext cx="304800" cy="304800"/>
    <xdr:sp macro="" textlink="">
      <xdr:nvSpPr>
        <xdr:cNvPr id="776" name="AutoShape 1757" descr="note-add">
          <a:extLst>
            <a:ext uri="{FF2B5EF4-FFF2-40B4-BE49-F238E27FC236}">
              <a16:creationId xmlns:a16="http://schemas.microsoft.com/office/drawing/2014/main" id="{2328BB1C-DE00-6B4D-B778-5F3D8D333D2E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61</xdr:row>
      <xdr:rowOff>0</xdr:rowOff>
    </xdr:from>
    <xdr:ext cx="304800" cy="304800"/>
    <xdr:sp macro="" textlink="">
      <xdr:nvSpPr>
        <xdr:cNvPr id="777" name="AutoShape 1758" descr="alert toggle">
          <a:extLst>
            <a:ext uri="{FF2B5EF4-FFF2-40B4-BE49-F238E27FC236}">
              <a16:creationId xmlns:a16="http://schemas.microsoft.com/office/drawing/2014/main" id="{53338846-4FAF-A347-B560-174BF869450A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62</xdr:row>
      <xdr:rowOff>0</xdr:rowOff>
    </xdr:from>
    <xdr:ext cx="304800" cy="304801"/>
    <xdr:sp macro="" textlink="">
      <xdr:nvSpPr>
        <xdr:cNvPr id="778" name="AutoShape 1761" descr="note-add">
          <a:extLst>
            <a:ext uri="{FF2B5EF4-FFF2-40B4-BE49-F238E27FC236}">
              <a16:creationId xmlns:a16="http://schemas.microsoft.com/office/drawing/2014/main" id="{1CA1D50C-6CD4-534E-8C94-FD178AF9306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62</xdr:row>
      <xdr:rowOff>0</xdr:rowOff>
    </xdr:from>
    <xdr:ext cx="304800" cy="304801"/>
    <xdr:sp macro="" textlink="">
      <xdr:nvSpPr>
        <xdr:cNvPr id="779" name="AutoShape 1762" descr="alert toggle">
          <a:extLst>
            <a:ext uri="{FF2B5EF4-FFF2-40B4-BE49-F238E27FC236}">
              <a16:creationId xmlns:a16="http://schemas.microsoft.com/office/drawing/2014/main" id="{3E4920C4-DE5E-1443-801D-7D092440CDD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780" name="AutoShape 1765" descr="note-add">
          <a:extLst>
            <a:ext uri="{FF2B5EF4-FFF2-40B4-BE49-F238E27FC236}">
              <a16:creationId xmlns:a16="http://schemas.microsoft.com/office/drawing/2014/main" id="{2C48CE24-8DAD-0843-89EE-3F002436FD1F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63</xdr:row>
      <xdr:rowOff>0</xdr:rowOff>
    </xdr:from>
    <xdr:ext cx="304800" cy="304800"/>
    <xdr:sp macro="" textlink="">
      <xdr:nvSpPr>
        <xdr:cNvPr id="781" name="AutoShape 1766" descr="alert toggle">
          <a:extLst>
            <a:ext uri="{FF2B5EF4-FFF2-40B4-BE49-F238E27FC236}">
              <a16:creationId xmlns:a16="http://schemas.microsoft.com/office/drawing/2014/main" id="{293147E2-D9FD-B449-8163-05369CDA436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782" name="AutoShape 1769" descr="note-add">
          <a:extLst>
            <a:ext uri="{FF2B5EF4-FFF2-40B4-BE49-F238E27FC236}">
              <a16:creationId xmlns:a16="http://schemas.microsoft.com/office/drawing/2014/main" id="{5EA63AA0-5528-7347-9FCB-5647327309D9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64</xdr:row>
      <xdr:rowOff>0</xdr:rowOff>
    </xdr:from>
    <xdr:ext cx="304800" cy="304801"/>
    <xdr:sp macro="" textlink="">
      <xdr:nvSpPr>
        <xdr:cNvPr id="783" name="AutoShape 1770" descr="alert toggle">
          <a:extLst>
            <a:ext uri="{FF2B5EF4-FFF2-40B4-BE49-F238E27FC236}">
              <a16:creationId xmlns:a16="http://schemas.microsoft.com/office/drawing/2014/main" id="{8B2FD434-D931-0B4D-AF18-EF88E6BC5C6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84" name="AutoShape 1773" descr="note-add">
          <a:extLst>
            <a:ext uri="{FF2B5EF4-FFF2-40B4-BE49-F238E27FC236}">
              <a16:creationId xmlns:a16="http://schemas.microsoft.com/office/drawing/2014/main" id="{A7CD69BA-F6A4-E347-9DEE-C49B7498AD2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85" name="AutoShape 1774" descr="alert toggle">
          <a:extLst>
            <a:ext uri="{FF2B5EF4-FFF2-40B4-BE49-F238E27FC236}">
              <a16:creationId xmlns:a16="http://schemas.microsoft.com/office/drawing/2014/main" id="{F80D6F2E-89F0-7B46-BCD9-C5CCE3A2812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86" name="AutoShape 1777" descr="note-add">
          <a:extLst>
            <a:ext uri="{FF2B5EF4-FFF2-40B4-BE49-F238E27FC236}">
              <a16:creationId xmlns:a16="http://schemas.microsoft.com/office/drawing/2014/main" id="{E28303B2-34A4-D948-86F3-05C95C7E009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87" name="AutoShape 1778" descr="alert toggle">
          <a:extLst>
            <a:ext uri="{FF2B5EF4-FFF2-40B4-BE49-F238E27FC236}">
              <a16:creationId xmlns:a16="http://schemas.microsoft.com/office/drawing/2014/main" id="{C4611F6A-5EDD-F34A-8DC4-1DD37B2C433E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61</xdr:row>
      <xdr:rowOff>0</xdr:rowOff>
    </xdr:from>
    <xdr:ext cx="304800" cy="304800"/>
    <xdr:sp macro="" textlink="">
      <xdr:nvSpPr>
        <xdr:cNvPr id="788" name="AutoShape 1829" descr="note-add">
          <a:extLst>
            <a:ext uri="{FF2B5EF4-FFF2-40B4-BE49-F238E27FC236}">
              <a16:creationId xmlns:a16="http://schemas.microsoft.com/office/drawing/2014/main" id="{5AC1B612-7129-1642-8C99-363EE5F8B7A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62</xdr:row>
      <xdr:rowOff>0</xdr:rowOff>
    </xdr:from>
    <xdr:ext cx="304800" cy="304801"/>
    <xdr:sp macro="" textlink="">
      <xdr:nvSpPr>
        <xdr:cNvPr id="789" name="AutoShape 1833" descr="note-add">
          <a:extLst>
            <a:ext uri="{FF2B5EF4-FFF2-40B4-BE49-F238E27FC236}">
              <a16:creationId xmlns:a16="http://schemas.microsoft.com/office/drawing/2014/main" id="{B19065DD-ED2F-C44C-BB14-CD9A27FE8C24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790" name="AutoShape 1837" descr="note-add">
          <a:extLst>
            <a:ext uri="{FF2B5EF4-FFF2-40B4-BE49-F238E27FC236}">
              <a16:creationId xmlns:a16="http://schemas.microsoft.com/office/drawing/2014/main" id="{233289E0-46E1-E542-91D2-79556D9315F6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63</xdr:row>
      <xdr:rowOff>0</xdr:rowOff>
    </xdr:from>
    <xdr:ext cx="304800" cy="304800"/>
    <xdr:sp macro="" textlink="">
      <xdr:nvSpPr>
        <xdr:cNvPr id="791" name="AutoShape 1838" descr="alert toggle">
          <a:extLst>
            <a:ext uri="{FF2B5EF4-FFF2-40B4-BE49-F238E27FC236}">
              <a16:creationId xmlns:a16="http://schemas.microsoft.com/office/drawing/2014/main" id="{95902B2F-1C6E-E140-8FCD-AC6F76FF27C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792" name="AutoShape 1841" descr="note-add">
          <a:extLst>
            <a:ext uri="{FF2B5EF4-FFF2-40B4-BE49-F238E27FC236}">
              <a16:creationId xmlns:a16="http://schemas.microsoft.com/office/drawing/2014/main" id="{352471BD-7749-524B-88AC-26B5E742DA05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64</xdr:row>
      <xdr:rowOff>0</xdr:rowOff>
    </xdr:from>
    <xdr:ext cx="304800" cy="304801"/>
    <xdr:sp macro="" textlink="">
      <xdr:nvSpPr>
        <xdr:cNvPr id="793" name="AutoShape 1842" descr="alert toggle">
          <a:extLst>
            <a:ext uri="{FF2B5EF4-FFF2-40B4-BE49-F238E27FC236}">
              <a16:creationId xmlns:a16="http://schemas.microsoft.com/office/drawing/2014/main" id="{5D1270B6-E568-1345-9EF9-1DC36A6AB913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94" name="AutoShape 1845" descr="note-add">
          <a:extLst>
            <a:ext uri="{FF2B5EF4-FFF2-40B4-BE49-F238E27FC236}">
              <a16:creationId xmlns:a16="http://schemas.microsoft.com/office/drawing/2014/main" id="{2FB1BB96-B52D-C94B-8A06-6AD190CD4045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95" name="AutoShape 1846" descr="alert toggle">
          <a:extLst>
            <a:ext uri="{FF2B5EF4-FFF2-40B4-BE49-F238E27FC236}">
              <a16:creationId xmlns:a16="http://schemas.microsoft.com/office/drawing/2014/main" id="{9D319420-77A3-7143-9605-DAE11900C84C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796" name="AutoShape 1849" descr="note-add">
          <a:extLst>
            <a:ext uri="{FF2B5EF4-FFF2-40B4-BE49-F238E27FC236}">
              <a16:creationId xmlns:a16="http://schemas.microsoft.com/office/drawing/2014/main" id="{4C43563B-F876-E242-BC7B-AF21CC506281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797" name="AutoShape 1850" descr="alert toggle">
          <a:extLst>
            <a:ext uri="{FF2B5EF4-FFF2-40B4-BE49-F238E27FC236}">
              <a16:creationId xmlns:a16="http://schemas.microsoft.com/office/drawing/2014/main" id="{E81D8DF5-D6CA-3A4D-B756-A0FE05679ED8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2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70</xdr:row>
      <xdr:rowOff>0</xdr:rowOff>
    </xdr:from>
    <xdr:ext cx="304800" cy="277532"/>
    <xdr:sp macro="" textlink="">
      <xdr:nvSpPr>
        <xdr:cNvPr id="798" name="AutoShape 1051" descr="note-add">
          <a:extLst>
            <a:ext uri="{FF2B5EF4-FFF2-40B4-BE49-F238E27FC236}">
              <a16:creationId xmlns:a16="http://schemas.microsoft.com/office/drawing/2014/main" id="{03FE4941-E35D-D94E-9F7F-D86B0B7BB3B6}"/>
            </a:ext>
          </a:extLst>
        </xdr:cNvPr>
        <xdr:cNvSpPr>
          <a:spLocks noChangeAspect="1" noChangeArrowheads="1"/>
        </xdr:cNvSpPr>
      </xdr:nvSpPr>
      <xdr:spPr bwMode="auto">
        <a:xfrm>
          <a:off x="15684500" y="200533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317500</xdr:colOff>
      <xdr:row>70</xdr:row>
      <xdr:rowOff>0</xdr:rowOff>
    </xdr:from>
    <xdr:ext cx="304800" cy="277532"/>
    <xdr:sp macro="" textlink="">
      <xdr:nvSpPr>
        <xdr:cNvPr id="799" name="AutoShape 1052" descr="alert toggle">
          <a:extLst>
            <a:ext uri="{FF2B5EF4-FFF2-40B4-BE49-F238E27FC236}">
              <a16:creationId xmlns:a16="http://schemas.microsoft.com/office/drawing/2014/main" id="{12BB1111-C13C-A249-B3E6-E6D561617B75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200533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66</xdr:row>
      <xdr:rowOff>0</xdr:rowOff>
    </xdr:from>
    <xdr:ext cx="304800" cy="277534"/>
    <xdr:sp macro="" textlink="">
      <xdr:nvSpPr>
        <xdr:cNvPr id="800" name="AutoShape 4405" descr="note-add">
          <a:extLst>
            <a:ext uri="{FF2B5EF4-FFF2-40B4-BE49-F238E27FC236}">
              <a16:creationId xmlns:a16="http://schemas.microsoft.com/office/drawing/2014/main" id="{2E714DD2-C871-B543-95BA-FB76C06135E0}"/>
            </a:ext>
          </a:extLst>
        </xdr:cNvPr>
        <xdr:cNvSpPr>
          <a:spLocks noChangeAspect="1" noChangeArrowheads="1"/>
        </xdr:cNvSpPr>
      </xdr:nvSpPr>
      <xdr:spPr bwMode="auto">
        <a:xfrm>
          <a:off x="26162000" y="203327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317500</xdr:colOff>
      <xdr:row>66</xdr:row>
      <xdr:rowOff>0</xdr:rowOff>
    </xdr:from>
    <xdr:ext cx="304800" cy="277534"/>
    <xdr:sp macro="" textlink="">
      <xdr:nvSpPr>
        <xdr:cNvPr id="801" name="AutoShape 4406" descr="alert toggle">
          <a:extLst>
            <a:ext uri="{FF2B5EF4-FFF2-40B4-BE49-F238E27FC236}">
              <a16:creationId xmlns:a16="http://schemas.microsoft.com/office/drawing/2014/main" id="{7377EC23-0CD6-7047-9BF4-D5D80335CD78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03327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66</xdr:row>
      <xdr:rowOff>0</xdr:rowOff>
    </xdr:from>
    <xdr:ext cx="304800" cy="277534"/>
    <xdr:sp macro="" textlink="">
      <xdr:nvSpPr>
        <xdr:cNvPr id="802" name="AutoShape 4405" descr="note-add">
          <a:extLst>
            <a:ext uri="{FF2B5EF4-FFF2-40B4-BE49-F238E27FC236}">
              <a16:creationId xmlns:a16="http://schemas.microsoft.com/office/drawing/2014/main" id="{D9050B43-5967-9648-9E31-9FD604C7DE81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3327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66</xdr:row>
      <xdr:rowOff>0</xdr:rowOff>
    </xdr:from>
    <xdr:ext cx="304800" cy="277534"/>
    <xdr:sp macro="" textlink="">
      <xdr:nvSpPr>
        <xdr:cNvPr id="803" name="AutoShape 4406" descr="alert toggle">
          <a:extLst>
            <a:ext uri="{FF2B5EF4-FFF2-40B4-BE49-F238E27FC236}">
              <a16:creationId xmlns:a16="http://schemas.microsoft.com/office/drawing/2014/main" id="{52FF0874-E38F-5C47-A8FA-B07CB03D4C7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3327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66</xdr:row>
      <xdr:rowOff>0</xdr:rowOff>
    </xdr:from>
    <xdr:ext cx="304800" cy="277534"/>
    <xdr:sp macro="" textlink="">
      <xdr:nvSpPr>
        <xdr:cNvPr id="804" name="AutoShape 4405" descr="note-add">
          <a:extLst>
            <a:ext uri="{FF2B5EF4-FFF2-40B4-BE49-F238E27FC236}">
              <a16:creationId xmlns:a16="http://schemas.microsoft.com/office/drawing/2014/main" id="{77F471BF-546A-194E-A078-6656FE33D6D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3327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66</xdr:row>
      <xdr:rowOff>0</xdr:rowOff>
    </xdr:from>
    <xdr:ext cx="304800" cy="277534"/>
    <xdr:sp macro="" textlink="">
      <xdr:nvSpPr>
        <xdr:cNvPr id="805" name="AutoShape 4406" descr="alert toggle">
          <a:extLst>
            <a:ext uri="{FF2B5EF4-FFF2-40B4-BE49-F238E27FC236}">
              <a16:creationId xmlns:a16="http://schemas.microsoft.com/office/drawing/2014/main" id="{F894A416-B40E-C745-8482-10C4153E75F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3327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75</xdr:row>
      <xdr:rowOff>0</xdr:rowOff>
    </xdr:from>
    <xdr:ext cx="304800" cy="279400"/>
    <xdr:sp macro="" textlink="">
      <xdr:nvSpPr>
        <xdr:cNvPr id="806" name="AutoShape 2509" descr="note-add">
          <a:extLst>
            <a:ext uri="{FF2B5EF4-FFF2-40B4-BE49-F238E27FC236}">
              <a16:creationId xmlns:a16="http://schemas.microsoft.com/office/drawing/2014/main" id="{285458BB-FD6C-9F4F-BFE5-E1866442DCC9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20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75</xdr:row>
      <xdr:rowOff>0</xdr:rowOff>
    </xdr:from>
    <xdr:ext cx="304800" cy="279400"/>
    <xdr:sp macro="" textlink="">
      <xdr:nvSpPr>
        <xdr:cNvPr id="807" name="AutoShape 2510" descr="alert toggle">
          <a:extLst>
            <a:ext uri="{FF2B5EF4-FFF2-40B4-BE49-F238E27FC236}">
              <a16:creationId xmlns:a16="http://schemas.microsoft.com/office/drawing/2014/main" id="{2905CFB1-27B6-8D41-80D1-D56C65D96D9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20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77</xdr:row>
      <xdr:rowOff>0</xdr:rowOff>
    </xdr:from>
    <xdr:ext cx="304800" cy="279400"/>
    <xdr:sp macro="" textlink="">
      <xdr:nvSpPr>
        <xdr:cNvPr id="808" name="AutoShape 2513" descr="note-add">
          <a:extLst>
            <a:ext uri="{FF2B5EF4-FFF2-40B4-BE49-F238E27FC236}">
              <a16:creationId xmlns:a16="http://schemas.microsoft.com/office/drawing/2014/main" id="{26C8CFB9-8DBE-2249-9762-5DFEA7F330F1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20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77</xdr:row>
      <xdr:rowOff>0</xdr:rowOff>
    </xdr:from>
    <xdr:ext cx="304800" cy="279400"/>
    <xdr:sp macro="" textlink="">
      <xdr:nvSpPr>
        <xdr:cNvPr id="809" name="AutoShape 2514" descr="alert toggle">
          <a:extLst>
            <a:ext uri="{FF2B5EF4-FFF2-40B4-BE49-F238E27FC236}">
              <a16:creationId xmlns:a16="http://schemas.microsoft.com/office/drawing/2014/main" id="{F6BD612E-B641-1C43-BACF-5DC148B9E445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2009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80</xdr:row>
      <xdr:rowOff>0</xdr:rowOff>
    </xdr:from>
    <xdr:ext cx="304800" cy="279400"/>
    <xdr:sp macro="" textlink="">
      <xdr:nvSpPr>
        <xdr:cNvPr id="810" name="AutoShape 2517" descr="note-add">
          <a:extLst>
            <a:ext uri="{FF2B5EF4-FFF2-40B4-BE49-F238E27FC236}">
              <a16:creationId xmlns:a16="http://schemas.microsoft.com/office/drawing/2014/main" id="{63CABF63-D3B2-ED4E-9A70-29BACB791AC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284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80</xdr:row>
      <xdr:rowOff>0</xdr:rowOff>
    </xdr:from>
    <xdr:ext cx="304800" cy="279400"/>
    <xdr:sp macro="" textlink="">
      <xdr:nvSpPr>
        <xdr:cNvPr id="811" name="AutoShape 2518" descr="alert toggle">
          <a:extLst>
            <a:ext uri="{FF2B5EF4-FFF2-40B4-BE49-F238E27FC236}">
              <a16:creationId xmlns:a16="http://schemas.microsoft.com/office/drawing/2014/main" id="{528BE58F-47E5-3146-B457-DED8D5051C3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284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72</xdr:row>
      <xdr:rowOff>0</xdr:rowOff>
    </xdr:from>
    <xdr:ext cx="304800" cy="279400"/>
    <xdr:sp macro="" textlink="">
      <xdr:nvSpPr>
        <xdr:cNvPr id="812" name="AutoShape 2521" descr="note-add">
          <a:extLst>
            <a:ext uri="{FF2B5EF4-FFF2-40B4-BE49-F238E27FC236}">
              <a16:creationId xmlns:a16="http://schemas.microsoft.com/office/drawing/2014/main" id="{FCE929F2-217D-4C4B-ADE5-80ACC68F99C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72</xdr:row>
      <xdr:rowOff>0</xdr:rowOff>
    </xdr:from>
    <xdr:ext cx="304800" cy="279400"/>
    <xdr:sp macro="" textlink="">
      <xdr:nvSpPr>
        <xdr:cNvPr id="813" name="AutoShape 2522" descr="alert toggle">
          <a:extLst>
            <a:ext uri="{FF2B5EF4-FFF2-40B4-BE49-F238E27FC236}">
              <a16:creationId xmlns:a16="http://schemas.microsoft.com/office/drawing/2014/main" id="{7DBF29EB-8281-B146-8C13-F54D762E31A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73</xdr:row>
      <xdr:rowOff>0</xdr:rowOff>
    </xdr:from>
    <xdr:ext cx="304800" cy="279400"/>
    <xdr:sp macro="" textlink="">
      <xdr:nvSpPr>
        <xdr:cNvPr id="814" name="AutoShape 2525" descr="note-add">
          <a:extLst>
            <a:ext uri="{FF2B5EF4-FFF2-40B4-BE49-F238E27FC236}">
              <a16:creationId xmlns:a16="http://schemas.microsoft.com/office/drawing/2014/main" id="{B24BE5FA-01EB-724C-8DCE-868E9CC3CA29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73</xdr:row>
      <xdr:rowOff>0</xdr:rowOff>
    </xdr:from>
    <xdr:ext cx="304800" cy="279400"/>
    <xdr:sp macro="" textlink="">
      <xdr:nvSpPr>
        <xdr:cNvPr id="815" name="AutoShape 2526" descr="alert toggle">
          <a:extLst>
            <a:ext uri="{FF2B5EF4-FFF2-40B4-BE49-F238E27FC236}">
              <a16:creationId xmlns:a16="http://schemas.microsoft.com/office/drawing/2014/main" id="{C345681E-394C-5A4C-9B1A-C7E539DFA9B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74</xdr:row>
      <xdr:rowOff>0</xdr:rowOff>
    </xdr:from>
    <xdr:ext cx="304800" cy="279400"/>
    <xdr:sp macro="" textlink="">
      <xdr:nvSpPr>
        <xdr:cNvPr id="816" name="AutoShape 2529" descr="note-add">
          <a:extLst>
            <a:ext uri="{FF2B5EF4-FFF2-40B4-BE49-F238E27FC236}">
              <a16:creationId xmlns:a16="http://schemas.microsoft.com/office/drawing/2014/main" id="{BB7F54FE-B989-BA4E-8346-53BEEE337C29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74</xdr:row>
      <xdr:rowOff>0</xdr:rowOff>
    </xdr:from>
    <xdr:ext cx="304800" cy="279400"/>
    <xdr:sp macro="" textlink="">
      <xdr:nvSpPr>
        <xdr:cNvPr id="817" name="AutoShape 2530" descr="alert toggle">
          <a:extLst>
            <a:ext uri="{FF2B5EF4-FFF2-40B4-BE49-F238E27FC236}">
              <a16:creationId xmlns:a16="http://schemas.microsoft.com/office/drawing/2014/main" id="{1777985C-4057-A447-B25B-4E7115745F37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75</xdr:row>
      <xdr:rowOff>0</xdr:rowOff>
    </xdr:from>
    <xdr:ext cx="304800" cy="279400"/>
    <xdr:sp macro="" textlink="">
      <xdr:nvSpPr>
        <xdr:cNvPr id="818" name="AutoShape 2533" descr="note-add">
          <a:extLst>
            <a:ext uri="{FF2B5EF4-FFF2-40B4-BE49-F238E27FC236}">
              <a16:creationId xmlns:a16="http://schemas.microsoft.com/office/drawing/2014/main" id="{70EEA24E-157D-0F4E-BC1D-D122C8A706C6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75</xdr:row>
      <xdr:rowOff>0</xdr:rowOff>
    </xdr:from>
    <xdr:ext cx="304800" cy="279400"/>
    <xdr:sp macro="" textlink="">
      <xdr:nvSpPr>
        <xdr:cNvPr id="819" name="AutoShape 2534" descr="alert toggle">
          <a:extLst>
            <a:ext uri="{FF2B5EF4-FFF2-40B4-BE49-F238E27FC236}">
              <a16:creationId xmlns:a16="http://schemas.microsoft.com/office/drawing/2014/main" id="{418DCF2E-4DB7-254F-B42C-D192BFA59AB9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76</xdr:row>
      <xdr:rowOff>0</xdr:rowOff>
    </xdr:from>
    <xdr:ext cx="304800" cy="279400"/>
    <xdr:sp macro="" textlink="">
      <xdr:nvSpPr>
        <xdr:cNvPr id="820" name="AutoShape 2537" descr="note-add">
          <a:extLst>
            <a:ext uri="{FF2B5EF4-FFF2-40B4-BE49-F238E27FC236}">
              <a16:creationId xmlns:a16="http://schemas.microsoft.com/office/drawing/2014/main" id="{5D24F92B-8CFD-B544-9847-048993BA279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76</xdr:row>
      <xdr:rowOff>0</xdr:rowOff>
    </xdr:from>
    <xdr:ext cx="304800" cy="279400"/>
    <xdr:sp macro="" textlink="">
      <xdr:nvSpPr>
        <xdr:cNvPr id="821" name="AutoShape 2538" descr="alert toggle">
          <a:extLst>
            <a:ext uri="{FF2B5EF4-FFF2-40B4-BE49-F238E27FC236}">
              <a16:creationId xmlns:a16="http://schemas.microsoft.com/office/drawing/2014/main" id="{D3932375-D313-4449-B689-88076F43204F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77</xdr:row>
      <xdr:rowOff>0</xdr:rowOff>
    </xdr:from>
    <xdr:ext cx="304800" cy="279400"/>
    <xdr:sp macro="" textlink="">
      <xdr:nvSpPr>
        <xdr:cNvPr id="822" name="AutoShape 2541" descr="note-add">
          <a:extLst>
            <a:ext uri="{FF2B5EF4-FFF2-40B4-BE49-F238E27FC236}">
              <a16:creationId xmlns:a16="http://schemas.microsoft.com/office/drawing/2014/main" id="{3AD7B44C-2466-AF48-88F9-FC3181C4773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77</xdr:row>
      <xdr:rowOff>0</xdr:rowOff>
    </xdr:from>
    <xdr:ext cx="304800" cy="279400"/>
    <xdr:sp macro="" textlink="">
      <xdr:nvSpPr>
        <xdr:cNvPr id="823" name="AutoShape 2542" descr="alert toggle">
          <a:extLst>
            <a:ext uri="{FF2B5EF4-FFF2-40B4-BE49-F238E27FC236}">
              <a16:creationId xmlns:a16="http://schemas.microsoft.com/office/drawing/2014/main" id="{FFF93127-5DB3-2F4C-BFAE-0105B548156F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77</xdr:row>
      <xdr:rowOff>0</xdr:rowOff>
    </xdr:from>
    <xdr:ext cx="304800" cy="279400"/>
    <xdr:sp macro="" textlink="">
      <xdr:nvSpPr>
        <xdr:cNvPr id="824" name="AutoShape 2545" descr="note-add">
          <a:extLst>
            <a:ext uri="{FF2B5EF4-FFF2-40B4-BE49-F238E27FC236}">
              <a16:creationId xmlns:a16="http://schemas.microsoft.com/office/drawing/2014/main" id="{22E199C1-78A8-5249-88AB-BDD1D621AF3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77</xdr:row>
      <xdr:rowOff>0</xdr:rowOff>
    </xdr:from>
    <xdr:ext cx="304800" cy="279400"/>
    <xdr:sp macro="" textlink="">
      <xdr:nvSpPr>
        <xdr:cNvPr id="825" name="AutoShape 2546" descr="alert toggle">
          <a:extLst>
            <a:ext uri="{FF2B5EF4-FFF2-40B4-BE49-F238E27FC236}">
              <a16:creationId xmlns:a16="http://schemas.microsoft.com/office/drawing/2014/main" id="{43D4B500-B5B4-1649-932B-1C3FE3B39533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78</xdr:row>
      <xdr:rowOff>0</xdr:rowOff>
    </xdr:from>
    <xdr:ext cx="304800" cy="279400"/>
    <xdr:sp macro="" textlink="">
      <xdr:nvSpPr>
        <xdr:cNvPr id="826" name="AutoShape 2549" descr="note-add">
          <a:extLst>
            <a:ext uri="{FF2B5EF4-FFF2-40B4-BE49-F238E27FC236}">
              <a16:creationId xmlns:a16="http://schemas.microsoft.com/office/drawing/2014/main" id="{C5AB1314-770B-F24D-999C-6E5D454B50E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78</xdr:row>
      <xdr:rowOff>0</xdr:rowOff>
    </xdr:from>
    <xdr:ext cx="304800" cy="279400"/>
    <xdr:sp macro="" textlink="">
      <xdr:nvSpPr>
        <xdr:cNvPr id="827" name="AutoShape 2550" descr="alert toggle">
          <a:extLst>
            <a:ext uri="{FF2B5EF4-FFF2-40B4-BE49-F238E27FC236}">
              <a16:creationId xmlns:a16="http://schemas.microsoft.com/office/drawing/2014/main" id="{EB7C701C-0317-FF45-A48B-6DD2C3BFAAE4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79</xdr:row>
      <xdr:rowOff>0</xdr:rowOff>
    </xdr:from>
    <xdr:ext cx="304800" cy="279400"/>
    <xdr:sp macro="" textlink="">
      <xdr:nvSpPr>
        <xdr:cNvPr id="828" name="AutoShape 2553" descr="note-add">
          <a:extLst>
            <a:ext uri="{FF2B5EF4-FFF2-40B4-BE49-F238E27FC236}">
              <a16:creationId xmlns:a16="http://schemas.microsoft.com/office/drawing/2014/main" id="{7A123A92-C1F7-124A-8F17-D0D61BCFC58D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79</xdr:row>
      <xdr:rowOff>0</xdr:rowOff>
    </xdr:from>
    <xdr:ext cx="304800" cy="279400"/>
    <xdr:sp macro="" textlink="">
      <xdr:nvSpPr>
        <xdr:cNvPr id="829" name="AutoShape 2554" descr="alert toggle">
          <a:extLst>
            <a:ext uri="{FF2B5EF4-FFF2-40B4-BE49-F238E27FC236}">
              <a16:creationId xmlns:a16="http://schemas.microsoft.com/office/drawing/2014/main" id="{CE7ECFDB-1D84-9F4A-BF82-624F4A1938EF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80</xdr:row>
      <xdr:rowOff>0</xdr:rowOff>
    </xdr:from>
    <xdr:ext cx="304800" cy="279400"/>
    <xdr:sp macro="" textlink="">
      <xdr:nvSpPr>
        <xdr:cNvPr id="830" name="AutoShape 2557" descr="note-add">
          <a:extLst>
            <a:ext uri="{FF2B5EF4-FFF2-40B4-BE49-F238E27FC236}">
              <a16:creationId xmlns:a16="http://schemas.microsoft.com/office/drawing/2014/main" id="{0227E2BA-B84C-9043-83A1-74006A67D530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80</xdr:row>
      <xdr:rowOff>0</xdr:rowOff>
    </xdr:from>
    <xdr:ext cx="304800" cy="279400"/>
    <xdr:sp macro="" textlink="">
      <xdr:nvSpPr>
        <xdr:cNvPr id="831" name="AutoShape 2558" descr="alert toggle">
          <a:extLst>
            <a:ext uri="{FF2B5EF4-FFF2-40B4-BE49-F238E27FC236}">
              <a16:creationId xmlns:a16="http://schemas.microsoft.com/office/drawing/2014/main" id="{41A17A8A-2D53-2F4A-A82D-84054B33BE69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126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72</xdr:row>
      <xdr:rowOff>0</xdr:rowOff>
    </xdr:from>
    <xdr:ext cx="304800" cy="292101"/>
    <xdr:sp macro="" textlink="">
      <xdr:nvSpPr>
        <xdr:cNvPr id="832" name="AutoShape 2561" descr="note-add">
          <a:extLst>
            <a:ext uri="{FF2B5EF4-FFF2-40B4-BE49-F238E27FC236}">
              <a16:creationId xmlns:a16="http://schemas.microsoft.com/office/drawing/2014/main" id="{7E13D988-DDB8-9D40-AF46-7DB22BFDED5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406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72</xdr:row>
      <xdr:rowOff>0</xdr:rowOff>
    </xdr:from>
    <xdr:ext cx="304800" cy="292101"/>
    <xdr:sp macro="" textlink="">
      <xdr:nvSpPr>
        <xdr:cNvPr id="833" name="AutoShape 2562" descr="alert toggle">
          <a:extLst>
            <a:ext uri="{FF2B5EF4-FFF2-40B4-BE49-F238E27FC236}">
              <a16:creationId xmlns:a16="http://schemas.microsoft.com/office/drawing/2014/main" id="{435DEA92-6ADE-4948-B2BA-F95E713DA901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406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73</xdr:row>
      <xdr:rowOff>0</xdr:rowOff>
    </xdr:from>
    <xdr:ext cx="304800" cy="292101"/>
    <xdr:sp macro="" textlink="">
      <xdr:nvSpPr>
        <xdr:cNvPr id="834" name="AutoShape 2565" descr="note-add">
          <a:extLst>
            <a:ext uri="{FF2B5EF4-FFF2-40B4-BE49-F238E27FC236}">
              <a16:creationId xmlns:a16="http://schemas.microsoft.com/office/drawing/2014/main" id="{946709B2-5EE4-4041-AB49-CCADDA0873B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406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73</xdr:row>
      <xdr:rowOff>0</xdr:rowOff>
    </xdr:from>
    <xdr:ext cx="304800" cy="292101"/>
    <xdr:sp macro="" textlink="">
      <xdr:nvSpPr>
        <xdr:cNvPr id="835" name="AutoShape 2566" descr="alert toggle">
          <a:extLst>
            <a:ext uri="{FF2B5EF4-FFF2-40B4-BE49-F238E27FC236}">
              <a16:creationId xmlns:a16="http://schemas.microsoft.com/office/drawing/2014/main" id="{249BE1F1-BEA2-8844-B825-073960FFB60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4061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81</xdr:row>
      <xdr:rowOff>0</xdr:rowOff>
    </xdr:from>
    <xdr:ext cx="304800" cy="279400"/>
    <xdr:sp macro="" textlink="">
      <xdr:nvSpPr>
        <xdr:cNvPr id="836" name="AutoShape 3986" descr="note-add">
          <a:extLst>
            <a:ext uri="{FF2B5EF4-FFF2-40B4-BE49-F238E27FC236}">
              <a16:creationId xmlns:a16="http://schemas.microsoft.com/office/drawing/2014/main" id="{8EE2C8A1-2A19-0C4B-BD2C-E9EE6418B30A}"/>
            </a:ext>
          </a:extLst>
        </xdr:cNvPr>
        <xdr:cNvSpPr>
          <a:spLocks noChangeAspect="1" noChangeArrowheads="1"/>
        </xdr:cNvSpPr>
      </xdr:nvSpPr>
      <xdr:spPr bwMode="auto">
        <a:xfrm>
          <a:off x="26162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317500</xdr:colOff>
      <xdr:row>81</xdr:row>
      <xdr:rowOff>0</xdr:rowOff>
    </xdr:from>
    <xdr:ext cx="304800" cy="279400"/>
    <xdr:sp macro="" textlink="">
      <xdr:nvSpPr>
        <xdr:cNvPr id="837" name="AutoShape 3987" descr="alert toggle">
          <a:extLst>
            <a:ext uri="{FF2B5EF4-FFF2-40B4-BE49-F238E27FC236}">
              <a16:creationId xmlns:a16="http://schemas.microsoft.com/office/drawing/2014/main" id="{8F1C1296-4E47-9549-882E-0ED0D9044EA9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38" name="AutoShape 464" descr="note-add">
          <a:extLst>
            <a:ext uri="{FF2B5EF4-FFF2-40B4-BE49-F238E27FC236}">
              <a16:creationId xmlns:a16="http://schemas.microsoft.com/office/drawing/2014/main" id="{E33724E2-8AC6-224F-9EB0-BDE6123E6F6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39" name="AutoShape 465" descr="alert toggle">
          <a:extLst>
            <a:ext uri="{FF2B5EF4-FFF2-40B4-BE49-F238E27FC236}">
              <a16:creationId xmlns:a16="http://schemas.microsoft.com/office/drawing/2014/main" id="{6AFCB0C5-27EE-A042-8269-B36996ED3564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40" name="AutoShape 466" descr="note-add">
          <a:extLst>
            <a:ext uri="{FF2B5EF4-FFF2-40B4-BE49-F238E27FC236}">
              <a16:creationId xmlns:a16="http://schemas.microsoft.com/office/drawing/2014/main" id="{2666E217-D131-AB4A-B692-9B31FE6A326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41" name="AutoShape 467" descr="alert toggle">
          <a:extLst>
            <a:ext uri="{FF2B5EF4-FFF2-40B4-BE49-F238E27FC236}">
              <a16:creationId xmlns:a16="http://schemas.microsoft.com/office/drawing/2014/main" id="{A0E2F451-BB95-A943-89BE-FCC85DD74B8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42" name="AutoShape 470" descr="note-add">
          <a:extLst>
            <a:ext uri="{FF2B5EF4-FFF2-40B4-BE49-F238E27FC236}">
              <a16:creationId xmlns:a16="http://schemas.microsoft.com/office/drawing/2014/main" id="{232FDB1C-087F-5541-8C09-01D4BC698C0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43" name="AutoShape 471" descr="alert toggle">
          <a:extLst>
            <a:ext uri="{FF2B5EF4-FFF2-40B4-BE49-F238E27FC236}">
              <a16:creationId xmlns:a16="http://schemas.microsoft.com/office/drawing/2014/main" id="{D3C299AB-2BEC-8646-BEFD-C063A1557876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44" name="AutoShape 472" descr="note-add">
          <a:extLst>
            <a:ext uri="{FF2B5EF4-FFF2-40B4-BE49-F238E27FC236}">
              <a16:creationId xmlns:a16="http://schemas.microsoft.com/office/drawing/2014/main" id="{BCDF8F1D-4B1D-BD42-B3A2-3272117501B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45" name="AutoShape 473" descr="alert toggle">
          <a:extLst>
            <a:ext uri="{FF2B5EF4-FFF2-40B4-BE49-F238E27FC236}">
              <a16:creationId xmlns:a16="http://schemas.microsoft.com/office/drawing/2014/main" id="{37D14682-78F4-B849-B2B1-A2412BA32C2A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46" name="AutoShape 474" descr="note-add">
          <a:extLst>
            <a:ext uri="{FF2B5EF4-FFF2-40B4-BE49-F238E27FC236}">
              <a16:creationId xmlns:a16="http://schemas.microsoft.com/office/drawing/2014/main" id="{41F0C8E7-8514-1B46-BD4B-23599748DC5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47" name="AutoShape 475" descr="alert toggle">
          <a:extLst>
            <a:ext uri="{FF2B5EF4-FFF2-40B4-BE49-F238E27FC236}">
              <a16:creationId xmlns:a16="http://schemas.microsoft.com/office/drawing/2014/main" id="{C89F3BEB-F501-CE44-8CBB-AF2D9153721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48" name="AutoShape 476" descr="note-add">
          <a:extLst>
            <a:ext uri="{FF2B5EF4-FFF2-40B4-BE49-F238E27FC236}">
              <a16:creationId xmlns:a16="http://schemas.microsoft.com/office/drawing/2014/main" id="{7B5013A5-7F61-B34D-87DF-4FD372EFDF0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49" name="AutoShape 477" descr="alert toggle">
          <a:extLst>
            <a:ext uri="{FF2B5EF4-FFF2-40B4-BE49-F238E27FC236}">
              <a16:creationId xmlns:a16="http://schemas.microsoft.com/office/drawing/2014/main" id="{0167D986-63D6-4D4C-B9DB-3DAFAF320B5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50" name="AutoShape 478" descr="note-add">
          <a:extLst>
            <a:ext uri="{FF2B5EF4-FFF2-40B4-BE49-F238E27FC236}">
              <a16:creationId xmlns:a16="http://schemas.microsoft.com/office/drawing/2014/main" id="{6F5E45F0-9777-7E47-A51C-06583BDD32C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51" name="AutoShape 480" descr="note-add">
          <a:extLst>
            <a:ext uri="{FF2B5EF4-FFF2-40B4-BE49-F238E27FC236}">
              <a16:creationId xmlns:a16="http://schemas.microsoft.com/office/drawing/2014/main" id="{2CFF982C-0528-AD43-8E21-D8FBFDDCCAB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52" name="AutoShape 481" descr="alert toggle">
          <a:extLst>
            <a:ext uri="{FF2B5EF4-FFF2-40B4-BE49-F238E27FC236}">
              <a16:creationId xmlns:a16="http://schemas.microsoft.com/office/drawing/2014/main" id="{87E3B4A8-26E8-3944-807B-7D70CE5CA829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53" name="AutoShape 482" descr="note-add">
          <a:extLst>
            <a:ext uri="{FF2B5EF4-FFF2-40B4-BE49-F238E27FC236}">
              <a16:creationId xmlns:a16="http://schemas.microsoft.com/office/drawing/2014/main" id="{279EC5AA-A6F8-8545-9B9A-11E93412D3D1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54" name="AutoShape 483" descr="alert toggle">
          <a:extLst>
            <a:ext uri="{FF2B5EF4-FFF2-40B4-BE49-F238E27FC236}">
              <a16:creationId xmlns:a16="http://schemas.microsoft.com/office/drawing/2014/main" id="{5F309D2E-E5F6-7947-91E7-96FA41879B66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55" name="AutoShape 484" descr="note-add">
          <a:extLst>
            <a:ext uri="{FF2B5EF4-FFF2-40B4-BE49-F238E27FC236}">
              <a16:creationId xmlns:a16="http://schemas.microsoft.com/office/drawing/2014/main" id="{2B7A545E-9303-3242-87FF-C8C3D4562F16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56" name="AutoShape 485" descr="alert toggle">
          <a:extLst>
            <a:ext uri="{FF2B5EF4-FFF2-40B4-BE49-F238E27FC236}">
              <a16:creationId xmlns:a16="http://schemas.microsoft.com/office/drawing/2014/main" id="{6838C8DC-3C07-3145-AAA1-7B5950D0E22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57" name="AutoShape 486" descr="note-add">
          <a:extLst>
            <a:ext uri="{FF2B5EF4-FFF2-40B4-BE49-F238E27FC236}">
              <a16:creationId xmlns:a16="http://schemas.microsoft.com/office/drawing/2014/main" id="{79B63BA7-399D-0B47-B22E-3A14388DD210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58" name="AutoShape 487" descr="alert toggle">
          <a:extLst>
            <a:ext uri="{FF2B5EF4-FFF2-40B4-BE49-F238E27FC236}">
              <a16:creationId xmlns:a16="http://schemas.microsoft.com/office/drawing/2014/main" id="{7501BC65-9F82-184D-9685-E09DB4B4E15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59" name="AutoShape 488" descr="note-add">
          <a:extLst>
            <a:ext uri="{FF2B5EF4-FFF2-40B4-BE49-F238E27FC236}">
              <a16:creationId xmlns:a16="http://schemas.microsoft.com/office/drawing/2014/main" id="{FFC61704-BF53-F14D-B7BE-38C13EAD6F99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60" name="AutoShape 489" descr="alert toggle">
          <a:extLst>
            <a:ext uri="{FF2B5EF4-FFF2-40B4-BE49-F238E27FC236}">
              <a16:creationId xmlns:a16="http://schemas.microsoft.com/office/drawing/2014/main" id="{AB68A61A-91BF-C149-91DC-BFAAD30AA3D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61" name="AutoShape 490" descr="note-add">
          <a:extLst>
            <a:ext uri="{FF2B5EF4-FFF2-40B4-BE49-F238E27FC236}">
              <a16:creationId xmlns:a16="http://schemas.microsoft.com/office/drawing/2014/main" id="{B077C871-B3C5-8A48-AD53-232FD26895C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62" name="AutoShape 491" descr="alert toggle">
          <a:extLst>
            <a:ext uri="{FF2B5EF4-FFF2-40B4-BE49-F238E27FC236}">
              <a16:creationId xmlns:a16="http://schemas.microsoft.com/office/drawing/2014/main" id="{BFB7170A-D072-F14D-A822-492BAB16897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63" name="AutoShape 492" descr="note-add">
          <a:extLst>
            <a:ext uri="{FF2B5EF4-FFF2-40B4-BE49-F238E27FC236}">
              <a16:creationId xmlns:a16="http://schemas.microsoft.com/office/drawing/2014/main" id="{92D17065-1D3D-3044-9EC0-E1732C51C360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64" name="AutoShape 493" descr="alert toggle">
          <a:extLst>
            <a:ext uri="{FF2B5EF4-FFF2-40B4-BE49-F238E27FC236}">
              <a16:creationId xmlns:a16="http://schemas.microsoft.com/office/drawing/2014/main" id="{6BF607B8-16CC-B649-B00A-5E95BA47BA91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65" name="AutoShape 494" descr="note-add">
          <a:extLst>
            <a:ext uri="{FF2B5EF4-FFF2-40B4-BE49-F238E27FC236}">
              <a16:creationId xmlns:a16="http://schemas.microsoft.com/office/drawing/2014/main" id="{179C130A-FF8B-4F4E-964A-972A32897CC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66" name="AutoShape 495" descr="alert toggle">
          <a:extLst>
            <a:ext uri="{FF2B5EF4-FFF2-40B4-BE49-F238E27FC236}">
              <a16:creationId xmlns:a16="http://schemas.microsoft.com/office/drawing/2014/main" id="{1CA5B106-82C4-0344-A96D-CEE8CE98A2F4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17500" cy="279400"/>
    <xdr:sp macro="" textlink="">
      <xdr:nvSpPr>
        <xdr:cNvPr id="867" name="AutoShape 496" descr="note-add">
          <a:extLst>
            <a:ext uri="{FF2B5EF4-FFF2-40B4-BE49-F238E27FC236}">
              <a16:creationId xmlns:a16="http://schemas.microsoft.com/office/drawing/2014/main" id="{CDE3488B-02A1-6340-95FE-C98DC5CBA19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68" name="AutoShape 497" descr="alert toggle">
          <a:extLst>
            <a:ext uri="{FF2B5EF4-FFF2-40B4-BE49-F238E27FC236}">
              <a16:creationId xmlns:a16="http://schemas.microsoft.com/office/drawing/2014/main" id="{AD412EE6-AD73-EF48-A895-312A53D9ECA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0</xdr:row>
      <xdr:rowOff>0</xdr:rowOff>
    </xdr:from>
    <xdr:ext cx="317500" cy="279400"/>
    <xdr:sp macro="" textlink="">
      <xdr:nvSpPr>
        <xdr:cNvPr id="869" name="AutoShape 500" descr="note-add">
          <a:extLst>
            <a:ext uri="{FF2B5EF4-FFF2-40B4-BE49-F238E27FC236}">
              <a16:creationId xmlns:a16="http://schemas.microsoft.com/office/drawing/2014/main" id="{01D5DA86-DF2F-CF41-B269-EA38CD369C6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0</xdr:row>
      <xdr:rowOff>0</xdr:rowOff>
    </xdr:from>
    <xdr:ext cx="317500" cy="279400"/>
    <xdr:sp macro="" textlink="">
      <xdr:nvSpPr>
        <xdr:cNvPr id="870" name="AutoShape 502" descr="note-add">
          <a:extLst>
            <a:ext uri="{FF2B5EF4-FFF2-40B4-BE49-F238E27FC236}">
              <a16:creationId xmlns:a16="http://schemas.microsoft.com/office/drawing/2014/main" id="{005B990A-9F74-CD4C-85CD-32793AA9B103}"/>
            </a:ext>
          </a:extLst>
        </xdr:cNvPr>
        <xdr:cNvSpPr>
          <a:spLocks noChangeAspect="1" noChangeArrowheads="1"/>
        </xdr:cNvSpPr>
      </xdr:nvSpPr>
      <xdr:spPr bwMode="auto">
        <a:xfrm>
          <a:off x="233172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0</xdr:row>
      <xdr:rowOff>0</xdr:rowOff>
    </xdr:from>
    <xdr:ext cx="317500" cy="279400"/>
    <xdr:sp macro="" textlink="">
      <xdr:nvSpPr>
        <xdr:cNvPr id="871" name="AutoShape 506" descr="note-add">
          <a:extLst>
            <a:ext uri="{FF2B5EF4-FFF2-40B4-BE49-F238E27FC236}">
              <a16:creationId xmlns:a16="http://schemas.microsoft.com/office/drawing/2014/main" id="{0783A972-C2CA-8F44-99C4-602F8DDFC03D}"/>
            </a:ext>
          </a:extLst>
        </xdr:cNvPr>
        <xdr:cNvSpPr>
          <a:spLocks noChangeAspect="1" noChangeArrowheads="1"/>
        </xdr:cNvSpPr>
      </xdr:nvSpPr>
      <xdr:spPr bwMode="auto">
        <a:xfrm>
          <a:off x="156845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317500</xdr:colOff>
      <xdr:row>0</xdr:row>
      <xdr:rowOff>0</xdr:rowOff>
    </xdr:from>
    <xdr:ext cx="292100" cy="279400"/>
    <xdr:sp macro="" textlink="">
      <xdr:nvSpPr>
        <xdr:cNvPr id="872" name="AutoShape 507" descr="alert toggle">
          <a:extLst>
            <a:ext uri="{FF2B5EF4-FFF2-40B4-BE49-F238E27FC236}">
              <a16:creationId xmlns:a16="http://schemas.microsoft.com/office/drawing/2014/main" id="{4E6207C0-E1D0-9F45-905C-BD81EC8F3642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495300"/>
          <a:ext cx="2921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0</xdr:row>
      <xdr:rowOff>0</xdr:rowOff>
    </xdr:from>
    <xdr:ext cx="317500" cy="279400"/>
    <xdr:sp macro="" textlink="">
      <xdr:nvSpPr>
        <xdr:cNvPr id="873" name="AutoShape 508" descr="note-add">
          <a:extLst>
            <a:ext uri="{FF2B5EF4-FFF2-40B4-BE49-F238E27FC236}">
              <a16:creationId xmlns:a16="http://schemas.microsoft.com/office/drawing/2014/main" id="{1012D31C-0CBF-8243-9007-574BC1EFCB36}"/>
            </a:ext>
          </a:extLst>
        </xdr:cNvPr>
        <xdr:cNvSpPr>
          <a:spLocks noChangeAspect="1" noChangeArrowheads="1"/>
        </xdr:cNvSpPr>
      </xdr:nvSpPr>
      <xdr:spPr bwMode="auto">
        <a:xfrm>
          <a:off x="261620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317500</xdr:colOff>
      <xdr:row>0</xdr:row>
      <xdr:rowOff>0</xdr:rowOff>
    </xdr:from>
    <xdr:ext cx="304800" cy="279400"/>
    <xdr:sp macro="" textlink="">
      <xdr:nvSpPr>
        <xdr:cNvPr id="874" name="AutoShape 509" descr="alert toggle">
          <a:extLst>
            <a:ext uri="{FF2B5EF4-FFF2-40B4-BE49-F238E27FC236}">
              <a16:creationId xmlns:a16="http://schemas.microsoft.com/office/drawing/2014/main" id="{40469BBD-78E0-364F-AE50-9AA0E156F628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495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0</xdr:row>
      <xdr:rowOff>0</xdr:rowOff>
    </xdr:from>
    <xdr:ext cx="317500" cy="279400"/>
    <xdr:sp macro="" textlink="">
      <xdr:nvSpPr>
        <xdr:cNvPr id="875" name="AutoShape 510" descr="note-add">
          <a:extLst>
            <a:ext uri="{FF2B5EF4-FFF2-40B4-BE49-F238E27FC236}">
              <a16:creationId xmlns:a16="http://schemas.microsoft.com/office/drawing/2014/main" id="{EFF259A3-D055-9B43-B347-7A6DEC40D477}"/>
            </a:ext>
          </a:extLst>
        </xdr:cNvPr>
        <xdr:cNvSpPr>
          <a:spLocks noChangeAspect="1" noChangeArrowheads="1"/>
        </xdr:cNvSpPr>
      </xdr:nvSpPr>
      <xdr:spPr bwMode="auto">
        <a:xfrm>
          <a:off x="27228800" y="495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</xdr:row>
      <xdr:rowOff>0</xdr:rowOff>
    </xdr:from>
    <xdr:ext cx="304800" cy="279400"/>
    <xdr:sp macro="" textlink="">
      <xdr:nvSpPr>
        <xdr:cNvPr id="876" name="AutoShape 2167" descr="note-add">
          <a:extLst>
            <a:ext uri="{FF2B5EF4-FFF2-40B4-BE49-F238E27FC236}">
              <a16:creationId xmlns:a16="http://schemas.microsoft.com/office/drawing/2014/main" id="{A6310B55-F16E-8446-A1CA-3B9B1C76C691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1</xdr:row>
      <xdr:rowOff>0</xdr:rowOff>
    </xdr:from>
    <xdr:ext cx="304800" cy="279400"/>
    <xdr:sp macro="" textlink="">
      <xdr:nvSpPr>
        <xdr:cNvPr id="877" name="AutoShape 2168" descr="alert toggle">
          <a:extLst>
            <a:ext uri="{FF2B5EF4-FFF2-40B4-BE49-F238E27FC236}">
              <a16:creationId xmlns:a16="http://schemas.microsoft.com/office/drawing/2014/main" id="{C37185A3-5EB0-D241-8D6C-BA184942C30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878" name="AutoShape 2171" descr="note-add">
          <a:extLst>
            <a:ext uri="{FF2B5EF4-FFF2-40B4-BE49-F238E27FC236}">
              <a16:creationId xmlns:a16="http://schemas.microsoft.com/office/drawing/2014/main" id="{0DE2E51D-4E3E-E940-9806-14673F06752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879" name="AutoShape 2172" descr="alert toggle">
          <a:extLst>
            <a:ext uri="{FF2B5EF4-FFF2-40B4-BE49-F238E27FC236}">
              <a16:creationId xmlns:a16="http://schemas.microsoft.com/office/drawing/2014/main" id="{04E63A7D-44DA-CB4C-909E-F42A423FF6C4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</xdr:row>
      <xdr:rowOff>0</xdr:rowOff>
    </xdr:from>
    <xdr:ext cx="304800" cy="279400"/>
    <xdr:sp macro="" textlink="">
      <xdr:nvSpPr>
        <xdr:cNvPr id="880" name="AutoShape 3852" descr="note-add">
          <a:extLst>
            <a:ext uri="{FF2B5EF4-FFF2-40B4-BE49-F238E27FC236}">
              <a16:creationId xmlns:a16="http://schemas.microsoft.com/office/drawing/2014/main" id="{E9477F30-DECF-574F-894E-3D28F48FD9D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1</xdr:row>
      <xdr:rowOff>0</xdr:rowOff>
    </xdr:from>
    <xdr:ext cx="304800" cy="279400"/>
    <xdr:sp macro="" textlink="">
      <xdr:nvSpPr>
        <xdr:cNvPr id="881" name="AutoShape 3853" descr="alert toggle">
          <a:extLst>
            <a:ext uri="{FF2B5EF4-FFF2-40B4-BE49-F238E27FC236}">
              <a16:creationId xmlns:a16="http://schemas.microsoft.com/office/drawing/2014/main" id="{9597BD70-C4D8-144B-8417-45F1BEE69BF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882" name="AutoShape 3856" descr="note-add">
          <a:extLst>
            <a:ext uri="{FF2B5EF4-FFF2-40B4-BE49-F238E27FC236}">
              <a16:creationId xmlns:a16="http://schemas.microsoft.com/office/drawing/2014/main" id="{C5BB4976-E446-B64E-9229-4B0327DA6B75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883" name="AutoShape 3857" descr="alert toggle">
          <a:extLst>
            <a:ext uri="{FF2B5EF4-FFF2-40B4-BE49-F238E27FC236}">
              <a16:creationId xmlns:a16="http://schemas.microsoft.com/office/drawing/2014/main" id="{43612B62-DBC4-BD46-BD7E-3CCD2C9D3AA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2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884" name="AutoShape 2175" descr="note-add">
          <a:extLst>
            <a:ext uri="{FF2B5EF4-FFF2-40B4-BE49-F238E27FC236}">
              <a16:creationId xmlns:a16="http://schemas.microsoft.com/office/drawing/2014/main" id="{9D38FD5A-E8E4-394F-AF3D-2E4F4099C71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85" name="AutoShape 2176" descr="alert toggle">
          <a:extLst>
            <a:ext uri="{FF2B5EF4-FFF2-40B4-BE49-F238E27FC236}">
              <a16:creationId xmlns:a16="http://schemas.microsoft.com/office/drawing/2014/main" id="{D038227C-FD8D-E048-B952-623A4C418F2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886" name="AutoShape 2179" descr="note-add">
          <a:extLst>
            <a:ext uri="{FF2B5EF4-FFF2-40B4-BE49-F238E27FC236}">
              <a16:creationId xmlns:a16="http://schemas.microsoft.com/office/drawing/2014/main" id="{1A61DC89-0F8D-ED43-A759-92020BC6CC5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87" name="AutoShape 2180" descr="alert toggle">
          <a:extLst>
            <a:ext uri="{FF2B5EF4-FFF2-40B4-BE49-F238E27FC236}">
              <a16:creationId xmlns:a16="http://schemas.microsoft.com/office/drawing/2014/main" id="{3EB05958-5949-5747-8824-3D9BF142036E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888" name="AutoShape 2183" descr="note-add">
          <a:extLst>
            <a:ext uri="{FF2B5EF4-FFF2-40B4-BE49-F238E27FC236}">
              <a16:creationId xmlns:a16="http://schemas.microsoft.com/office/drawing/2014/main" id="{BAC5253B-9953-B648-8D52-84613CAA6EC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89" name="AutoShape 2184" descr="alert toggle">
          <a:extLst>
            <a:ext uri="{FF2B5EF4-FFF2-40B4-BE49-F238E27FC236}">
              <a16:creationId xmlns:a16="http://schemas.microsoft.com/office/drawing/2014/main" id="{EC87CB11-22BB-CD48-A4E8-FEA5CFBD89D9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890" name="AutoShape 2187" descr="note-add">
          <a:extLst>
            <a:ext uri="{FF2B5EF4-FFF2-40B4-BE49-F238E27FC236}">
              <a16:creationId xmlns:a16="http://schemas.microsoft.com/office/drawing/2014/main" id="{847C5BFB-B8EC-0748-9975-8924368B5E5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91" name="AutoShape 2188" descr="alert toggle">
          <a:extLst>
            <a:ext uri="{FF2B5EF4-FFF2-40B4-BE49-F238E27FC236}">
              <a16:creationId xmlns:a16="http://schemas.microsoft.com/office/drawing/2014/main" id="{F73D19B8-E218-D44A-9FBB-5CD815B8FEC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892" name="AutoShape 2191" descr="note-add">
          <a:extLst>
            <a:ext uri="{FF2B5EF4-FFF2-40B4-BE49-F238E27FC236}">
              <a16:creationId xmlns:a16="http://schemas.microsoft.com/office/drawing/2014/main" id="{4E16A06B-F7EA-AA42-9022-430F835D37B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93" name="AutoShape 2192" descr="alert toggle">
          <a:extLst>
            <a:ext uri="{FF2B5EF4-FFF2-40B4-BE49-F238E27FC236}">
              <a16:creationId xmlns:a16="http://schemas.microsoft.com/office/drawing/2014/main" id="{C2302BCE-E8CB-0445-8AC0-D0E27C748CD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304800" cy="279400"/>
    <xdr:sp macro="" textlink="">
      <xdr:nvSpPr>
        <xdr:cNvPr id="894" name="AutoShape 2195" descr="note-add">
          <a:extLst>
            <a:ext uri="{FF2B5EF4-FFF2-40B4-BE49-F238E27FC236}">
              <a16:creationId xmlns:a16="http://schemas.microsoft.com/office/drawing/2014/main" id="{76DB5D6D-BB75-E745-B812-5D010BBC3641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3</xdr:row>
      <xdr:rowOff>0</xdr:rowOff>
    </xdr:from>
    <xdr:ext cx="304800" cy="279400"/>
    <xdr:sp macro="" textlink="">
      <xdr:nvSpPr>
        <xdr:cNvPr id="895" name="AutoShape 2196" descr="alert toggle">
          <a:extLst>
            <a:ext uri="{FF2B5EF4-FFF2-40B4-BE49-F238E27FC236}">
              <a16:creationId xmlns:a16="http://schemas.microsoft.com/office/drawing/2014/main" id="{EB808DB3-A1A5-834F-867A-2CB954BB6B6E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896" name="AutoShape 2199" descr="note-add">
          <a:extLst>
            <a:ext uri="{FF2B5EF4-FFF2-40B4-BE49-F238E27FC236}">
              <a16:creationId xmlns:a16="http://schemas.microsoft.com/office/drawing/2014/main" id="{A507E4F5-F973-4A44-8E22-EA1FB777F717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</xdr:row>
      <xdr:rowOff>0</xdr:rowOff>
    </xdr:from>
    <xdr:ext cx="304800" cy="279400"/>
    <xdr:sp macro="" textlink="">
      <xdr:nvSpPr>
        <xdr:cNvPr id="897" name="AutoShape 2200" descr="alert toggle">
          <a:extLst>
            <a:ext uri="{FF2B5EF4-FFF2-40B4-BE49-F238E27FC236}">
              <a16:creationId xmlns:a16="http://schemas.microsoft.com/office/drawing/2014/main" id="{B792D490-9340-3748-8C8F-BA307883749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898" name="AutoShape 2203" descr="note-add">
          <a:extLst>
            <a:ext uri="{FF2B5EF4-FFF2-40B4-BE49-F238E27FC236}">
              <a16:creationId xmlns:a16="http://schemas.microsoft.com/office/drawing/2014/main" id="{327007AC-4333-564C-A4A5-A2CB0679907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899" name="AutoShape 2204" descr="alert toggle">
          <a:extLst>
            <a:ext uri="{FF2B5EF4-FFF2-40B4-BE49-F238E27FC236}">
              <a16:creationId xmlns:a16="http://schemas.microsoft.com/office/drawing/2014/main" id="{45C7FCC5-2DA1-8B48-858B-28561C3354CE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00" name="AutoShape 2207" descr="note-add">
          <a:extLst>
            <a:ext uri="{FF2B5EF4-FFF2-40B4-BE49-F238E27FC236}">
              <a16:creationId xmlns:a16="http://schemas.microsoft.com/office/drawing/2014/main" id="{168CB10D-F063-6B4F-BB2D-55226A570F7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01" name="AutoShape 2208" descr="alert toggle">
          <a:extLst>
            <a:ext uri="{FF2B5EF4-FFF2-40B4-BE49-F238E27FC236}">
              <a16:creationId xmlns:a16="http://schemas.microsoft.com/office/drawing/2014/main" id="{880AF86B-93CD-E543-A56F-EB05D45714E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902" name="AutoShape 2211" descr="note-add">
          <a:extLst>
            <a:ext uri="{FF2B5EF4-FFF2-40B4-BE49-F238E27FC236}">
              <a16:creationId xmlns:a16="http://schemas.microsoft.com/office/drawing/2014/main" id="{9E684D9A-D4A1-E64C-B7BB-9DA2794079D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</xdr:row>
      <xdr:rowOff>0</xdr:rowOff>
    </xdr:from>
    <xdr:ext cx="304800" cy="279400"/>
    <xdr:sp macro="" textlink="">
      <xdr:nvSpPr>
        <xdr:cNvPr id="903" name="AutoShape 2212" descr="alert toggle">
          <a:extLst>
            <a:ext uri="{FF2B5EF4-FFF2-40B4-BE49-F238E27FC236}">
              <a16:creationId xmlns:a16="http://schemas.microsoft.com/office/drawing/2014/main" id="{ABDEB6AD-0282-814F-A4DB-2C1B2CE52F6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04" name="AutoShape 3860" descr="note-add">
          <a:extLst>
            <a:ext uri="{FF2B5EF4-FFF2-40B4-BE49-F238E27FC236}">
              <a16:creationId xmlns:a16="http://schemas.microsoft.com/office/drawing/2014/main" id="{AC8AAAB3-7952-FD4B-B436-1FE92CE8169A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05" name="AutoShape 3861" descr="alert toggle">
          <a:extLst>
            <a:ext uri="{FF2B5EF4-FFF2-40B4-BE49-F238E27FC236}">
              <a16:creationId xmlns:a16="http://schemas.microsoft.com/office/drawing/2014/main" id="{BF08BEB4-6213-6849-B593-46A7D7736009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06" name="AutoShape 3864" descr="note-add">
          <a:extLst>
            <a:ext uri="{FF2B5EF4-FFF2-40B4-BE49-F238E27FC236}">
              <a16:creationId xmlns:a16="http://schemas.microsoft.com/office/drawing/2014/main" id="{5BF796F4-97CC-2744-AA82-96A723C9DFE1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07" name="AutoShape 3865" descr="alert toggle">
          <a:extLst>
            <a:ext uri="{FF2B5EF4-FFF2-40B4-BE49-F238E27FC236}">
              <a16:creationId xmlns:a16="http://schemas.microsoft.com/office/drawing/2014/main" id="{EA114253-0567-114F-B663-E5B34DC4AEBB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08" name="AutoShape 3868" descr="note-add">
          <a:extLst>
            <a:ext uri="{FF2B5EF4-FFF2-40B4-BE49-F238E27FC236}">
              <a16:creationId xmlns:a16="http://schemas.microsoft.com/office/drawing/2014/main" id="{83EE389B-2CB3-9B4D-A010-349B31E4747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09" name="AutoShape 3869" descr="alert toggle">
          <a:extLst>
            <a:ext uri="{FF2B5EF4-FFF2-40B4-BE49-F238E27FC236}">
              <a16:creationId xmlns:a16="http://schemas.microsoft.com/office/drawing/2014/main" id="{505F08B6-2D5C-124F-B399-EBE374F861A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10" name="AutoShape 3872" descr="note-add">
          <a:extLst>
            <a:ext uri="{FF2B5EF4-FFF2-40B4-BE49-F238E27FC236}">
              <a16:creationId xmlns:a16="http://schemas.microsoft.com/office/drawing/2014/main" id="{CC1C0590-CDC0-F44E-AA52-C2C5BB6CCC1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11" name="AutoShape 3873" descr="alert toggle">
          <a:extLst>
            <a:ext uri="{FF2B5EF4-FFF2-40B4-BE49-F238E27FC236}">
              <a16:creationId xmlns:a16="http://schemas.microsoft.com/office/drawing/2014/main" id="{7A329ED9-B56A-DF4D-B021-B9820672E5C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12" name="AutoShape 3876" descr="note-add">
          <a:extLst>
            <a:ext uri="{FF2B5EF4-FFF2-40B4-BE49-F238E27FC236}">
              <a16:creationId xmlns:a16="http://schemas.microsoft.com/office/drawing/2014/main" id="{638BCE39-AB64-F642-8E19-F46CBDDF6041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13" name="AutoShape 3877" descr="alert toggle">
          <a:extLst>
            <a:ext uri="{FF2B5EF4-FFF2-40B4-BE49-F238E27FC236}">
              <a16:creationId xmlns:a16="http://schemas.microsoft.com/office/drawing/2014/main" id="{24C89FDF-ADCA-5440-AB79-1FE8D1552D3B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14" name="AutoShape 3880" descr="note-add">
          <a:extLst>
            <a:ext uri="{FF2B5EF4-FFF2-40B4-BE49-F238E27FC236}">
              <a16:creationId xmlns:a16="http://schemas.microsoft.com/office/drawing/2014/main" id="{B38A150B-4A3D-6245-8A80-5B87D015A8F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15" name="AutoShape 3881" descr="alert toggle">
          <a:extLst>
            <a:ext uri="{FF2B5EF4-FFF2-40B4-BE49-F238E27FC236}">
              <a16:creationId xmlns:a16="http://schemas.microsoft.com/office/drawing/2014/main" id="{79A66D98-EF1D-1545-B1F5-B09BE63E6A8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16" name="AutoShape 3884" descr="note-add">
          <a:extLst>
            <a:ext uri="{FF2B5EF4-FFF2-40B4-BE49-F238E27FC236}">
              <a16:creationId xmlns:a16="http://schemas.microsoft.com/office/drawing/2014/main" id="{44AD069B-1255-3447-9288-E6DCD7259A7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17" name="AutoShape 3885" descr="alert toggle">
          <a:extLst>
            <a:ext uri="{FF2B5EF4-FFF2-40B4-BE49-F238E27FC236}">
              <a16:creationId xmlns:a16="http://schemas.microsoft.com/office/drawing/2014/main" id="{88625C3A-C8D2-B644-8155-366E5CEF7B7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18" name="AutoShape 3888" descr="note-add">
          <a:extLst>
            <a:ext uri="{FF2B5EF4-FFF2-40B4-BE49-F238E27FC236}">
              <a16:creationId xmlns:a16="http://schemas.microsoft.com/office/drawing/2014/main" id="{56B5808B-CA1E-C643-B81C-5DBC5BD0228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19" name="AutoShape 3889" descr="alert toggle">
          <a:extLst>
            <a:ext uri="{FF2B5EF4-FFF2-40B4-BE49-F238E27FC236}">
              <a16:creationId xmlns:a16="http://schemas.microsoft.com/office/drawing/2014/main" id="{F1E426E9-C35B-4E45-9DB4-3CF34863E02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20" name="AutoShape 3892" descr="note-add">
          <a:extLst>
            <a:ext uri="{FF2B5EF4-FFF2-40B4-BE49-F238E27FC236}">
              <a16:creationId xmlns:a16="http://schemas.microsoft.com/office/drawing/2014/main" id="{09EB4368-0B59-2D4C-A2B3-0F491651378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21" name="AutoShape 3893" descr="alert toggle">
          <a:extLst>
            <a:ext uri="{FF2B5EF4-FFF2-40B4-BE49-F238E27FC236}">
              <a16:creationId xmlns:a16="http://schemas.microsoft.com/office/drawing/2014/main" id="{304A3A1C-9BD9-D640-B4B6-300652E28E1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922" name="AutoShape 3896" descr="note-add">
          <a:extLst>
            <a:ext uri="{FF2B5EF4-FFF2-40B4-BE49-F238E27FC236}">
              <a16:creationId xmlns:a16="http://schemas.microsoft.com/office/drawing/2014/main" id="{EF9759DD-BA39-174F-8930-B4C888C9BED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923" name="AutoShape 3897" descr="alert toggle">
          <a:extLst>
            <a:ext uri="{FF2B5EF4-FFF2-40B4-BE49-F238E27FC236}">
              <a16:creationId xmlns:a16="http://schemas.microsoft.com/office/drawing/2014/main" id="{92A21392-33B9-CF4F-88B3-3F051FA0BA25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304800" cy="279400"/>
    <xdr:sp macro="" textlink="">
      <xdr:nvSpPr>
        <xdr:cNvPr id="924" name="AutoShape 3900" descr="note-add">
          <a:extLst>
            <a:ext uri="{FF2B5EF4-FFF2-40B4-BE49-F238E27FC236}">
              <a16:creationId xmlns:a16="http://schemas.microsoft.com/office/drawing/2014/main" id="{F70A8EBD-8EFA-AC46-8CE3-5559D42C836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925" name="AutoShape 3904" descr="note-add">
          <a:extLst>
            <a:ext uri="{FF2B5EF4-FFF2-40B4-BE49-F238E27FC236}">
              <a16:creationId xmlns:a16="http://schemas.microsoft.com/office/drawing/2014/main" id="{60D1D848-C147-9F4D-A4FB-2CCE1BDEAD2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8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</xdr:row>
      <xdr:rowOff>0</xdr:rowOff>
    </xdr:from>
    <xdr:ext cx="304800" cy="279400"/>
    <xdr:sp macro="" textlink="">
      <xdr:nvSpPr>
        <xdr:cNvPr id="926" name="AutoShape 3906" descr="note-add">
          <a:extLst>
            <a:ext uri="{FF2B5EF4-FFF2-40B4-BE49-F238E27FC236}">
              <a16:creationId xmlns:a16="http://schemas.microsoft.com/office/drawing/2014/main" id="{239AEE92-00BD-4B4E-A7E2-5F1E5552585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</xdr:row>
      <xdr:rowOff>0</xdr:rowOff>
    </xdr:from>
    <xdr:ext cx="304800" cy="279400"/>
    <xdr:sp macro="" textlink="">
      <xdr:nvSpPr>
        <xdr:cNvPr id="927" name="AutoShape 3907" descr="alert toggle">
          <a:extLst>
            <a:ext uri="{FF2B5EF4-FFF2-40B4-BE49-F238E27FC236}">
              <a16:creationId xmlns:a16="http://schemas.microsoft.com/office/drawing/2014/main" id="{0ED12E3A-61CE-884D-98E0-AF7744DA8A4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</xdr:row>
      <xdr:rowOff>0</xdr:rowOff>
    </xdr:from>
    <xdr:ext cx="304800" cy="279400"/>
    <xdr:sp macro="" textlink="">
      <xdr:nvSpPr>
        <xdr:cNvPr id="928" name="AutoShape 3910" descr="note-add">
          <a:extLst>
            <a:ext uri="{FF2B5EF4-FFF2-40B4-BE49-F238E27FC236}">
              <a16:creationId xmlns:a16="http://schemas.microsoft.com/office/drawing/2014/main" id="{6796FD76-EA24-DE44-BB56-3BFC7501C3E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</xdr:row>
      <xdr:rowOff>0</xdr:rowOff>
    </xdr:from>
    <xdr:ext cx="304800" cy="279400"/>
    <xdr:sp macro="" textlink="">
      <xdr:nvSpPr>
        <xdr:cNvPr id="929" name="AutoShape 3911" descr="alert toggle">
          <a:extLst>
            <a:ext uri="{FF2B5EF4-FFF2-40B4-BE49-F238E27FC236}">
              <a16:creationId xmlns:a16="http://schemas.microsoft.com/office/drawing/2014/main" id="{F6193D7E-34E2-6F4C-9E8C-C751E2EDE4C1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2</xdr:row>
      <xdr:rowOff>0</xdr:rowOff>
    </xdr:from>
    <xdr:ext cx="304800" cy="279400"/>
    <xdr:sp macro="" textlink="">
      <xdr:nvSpPr>
        <xdr:cNvPr id="930" name="AutoShape 3914" descr="note-add">
          <a:extLst>
            <a:ext uri="{FF2B5EF4-FFF2-40B4-BE49-F238E27FC236}">
              <a16:creationId xmlns:a16="http://schemas.microsoft.com/office/drawing/2014/main" id="{DE9FABB5-5D22-F849-AFFA-C09134DB3DB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2</xdr:row>
      <xdr:rowOff>0</xdr:rowOff>
    </xdr:from>
    <xdr:ext cx="304800" cy="279400"/>
    <xdr:sp macro="" textlink="">
      <xdr:nvSpPr>
        <xdr:cNvPr id="931" name="AutoShape 3915" descr="alert toggle">
          <a:extLst>
            <a:ext uri="{FF2B5EF4-FFF2-40B4-BE49-F238E27FC236}">
              <a16:creationId xmlns:a16="http://schemas.microsoft.com/office/drawing/2014/main" id="{B77F82BD-460B-B04C-AD99-63CF2402F1D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171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304800" cy="279400"/>
    <xdr:sp macro="" textlink="">
      <xdr:nvSpPr>
        <xdr:cNvPr id="932" name="AutoShape 3918" descr="note-add">
          <a:extLst>
            <a:ext uri="{FF2B5EF4-FFF2-40B4-BE49-F238E27FC236}">
              <a16:creationId xmlns:a16="http://schemas.microsoft.com/office/drawing/2014/main" id="{54432C9E-8242-D446-B4A5-00B794E09F49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28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9</xdr:row>
      <xdr:rowOff>0</xdr:rowOff>
    </xdr:from>
    <xdr:ext cx="304800" cy="279400"/>
    <xdr:sp macro="" textlink="">
      <xdr:nvSpPr>
        <xdr:cNvPr id="933" name="AutoShape 3919" descr="alert toggle">
          <a:extLst>
            <a:ext uri="{FF2B5EF4-FFF2-40B4-BE49-F238E27FC236}">
              <a16:creationId xmlns:a16="http://schemas.microsoft.com/office/drawing/2014/main" id="{09A23837-E16B-3948-9466-4953F662B4C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289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34" name="AutoShape 4181" descr="note-add">
          <a:extLst>
            <a:ext uri="{FF2B5EF4-FFF2-40B4-BE49-F238E27FC236}">
              <a16:creationId xmlns:a16="http://schemas.microsoft.com/office/drawing/2014/main" id="{FFF96732-AAE4-374C-94CC-CF10EA10209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35" name="AutoShape 4182" descr="alert toggle">
          <a:extLst>
            <a:ext uri="{FF2B5EF4-FFF2-40B4-BE49-F238E27FC236}">
              <a16:creationId xmlns:a16="http://schemas.microsoft.com/office/drawing/2014/main" id="{9E4B1A03-E002-8A43-A5C1-960BD3292D3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36" name="AutoShape 4185" descr="note-add">
          <a:extLst>
            <a:ext uri="{FF2B5EF4-FFF2-40B4-BE49-F238E27FC236}">
              <a16:creationId xmlns:a16="http://schemas.microsoft.com/office/drawing/2014/main" id="{467789C1-A228-1446-B1E6-4004E85EACF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37" name="AutoShape 4186" descr="alert toggle">
          <a:extLst>
            <a:ext uri="{FF2B5EF4-FFF2-40B4-BE49-F238E27FC236}">
              <a16:creationId xmlns:a16="http://schemas.microsoft.com/office/drawing/2014/main" id="{D2DF5B21-EABF-DE4B-9FF3-1478DBFF3B1A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38" name="AutoShape 4189" descr="note-add">
          <a:extLst>
            <a:ext uri="{FF2B5EF4-FFF2-40B4-BE49-F238E27FC236}">
              <a16:creationId xmlns:a16="http://schemas.microsoft.com/office/drawing/2014/main" id="{2669F771-C505-E44B-AD73-FE122D6E9049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39" name="AutoShape 4190" descr="alert toggle">
          <a:extLst>
            <a:ext uri="{FF2B5EF4-FFF2-40B4-BE49-F238E27FC236}">
              <a16:creationId xmlns:a16="http://schemas.microsoft.com/office/drawing/2014/main" id="{D565432F-B3F6-5442-886C-21A66C2FFE3B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40" name="AutoShape 4193" descr="note-add">
          <a:extLst>
            <a:ext uri="{FF2B5EF4-FFF2-40B4-BE49-F238E27FC236}">
              <a16:creationId xmlns:a16="http://schemas.microsoft.com/office/drawing/2014/main" id="{81076505-0E04-F14B-B74D-4FAA09FD2CB7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41" name="AutoShape 4194" descr="alert toggle">
          <a:extLst>
            <a:ext uri="{FF2B5EF4-FFF2-40B4-BE49-F238E27FC236}">
              <a16:creationId xmlns:a16="http://schemas.microsoft.com/office/drawing/2014/main" id="{7B328E59-A950-F24A-8347-055602A1601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42" name="AutoShape 4197" descr="note-add">
          <a:extLst>
            <a:ext uri="{FF2B5EF4-FFF2-40B4-BE49-F238E27FC236}">
              <a16:creationId xmlns:a16="http://schemas.microsoft.com/office/drawing/2014/main" id="{38AE2931-42E1-7344-9BAB-B3A8BBAECD3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43" name="AutoShape 4198" descr="alert toggle">
          <a:extLst>
            <a:ext uri="{FF2B5EF4-FFF2-40B4-BE49-F238E27FC236}">
              <a16:creationId xmlns:a16="http://schemas.microsoft.com/office/drawing/2014/main" id="{4DADAA32-48B5-6E4F-A836-8F0FD58B2BBB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0</xdr:row>
      <xdr:rowOff>0</xdr:rowOff>
    </xdr:from>
    <xdr:ext cx="304800" cy="279400"/>
    <xdr:sp macro="" textlink="">
      <xdr:nvSpPr>
        <xdr:cNvPr id="944" name="AutoShape 4201" descr="note-add">
          <a:extLst>
            <a:ext uri="{FF2B5EF4-FFF2-40B4-BE49-F238E27FC236}">
              <a16:creationId xmlns:a16="http://schemas.microsoft.com/office/drawing/2014/main" id="{40885099-65D3-6048-ADA2-7EB4CC547DF4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0</xdr:row>
      <xdr:rowOff>0</xdr:rowOff>
    </xdr:from>
    <xdr:ext cx="304800" cy="279400"/>
    <xdr:sp macro="" textlink="">
      <xdr:nvSpPr>
        <xdr:cNvPr id="945" name="AutoShape 4202" descr="alert toggle">
          <a:extLst>
            <a:ext uri="{FF2B5EF4-FFF2-40B4-BE49-F238E27FC236}">
              <a16:creationId xmlns:a16="http://schemas.microsoft.com/office/drawing/2014/main" id="{B0435513-616C-984A-960E-6D86DFF195A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356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15</xdr:row>
      <xdr:rowOff>0</xdr:rowOff>
    </xdr:from>
    <xdr:ext cx="304800" cy="279400"/>
    <xdr:sp macro="" textlink="">
      <xdr:nvSpPr>
        <xdr:cNvPr id="946" name="AutoShape 4371" descr="note-add">
          <a:extLst>
            <a:ext uri="{FF2B5EF4-FFF2-40B4-BE49-F238E27FC236}">
              <a16:creationId xmlns:a16="http://schemas.microsoft.com/office/drawing/2014/main" id="{D7BC798E-E6CF-AE47-B284-657ED8A15825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524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15</xdr:row>
      <xdr:rowOff>0</xdr:rowOff>
    </xdr:from>
    <xdr:ext cx="304800" cy="279400"/>
    <xdr:sp macro="" textlink="">
      <xdr:nvSpPr>
        <xdr:cNvPr id="947" name="AutoShape 4372" descr="alert toggle">
          <a:extLst>
            <a:ext uri="{FF2B5EF4-FFF2-40B4-BE49-F238E27FC236}">
              <a16:creationId xmlns:a16="http://schemas.microsoft.com/office/drawing/2014/main" id="{E4B7E0C0-A4BA-2249-9F9E-2F7E3A755C45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524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25</xdr:row>
      <xdr:rowOff>0</xdr:rowOff>
    </xdr:from>
    <xdr:ext cx="304800" cy="279400"/>
    <xdr:sp macro="" textlink="">
      <xdr:nvSpPr>
        <xdr:cNvPr id="948" name="AutoShape 3946" descr="note-add">
          <a:extLst>
            <a:ext uri="{FF2B5EF4-FFF2-40B4-BE49-F238E27FC236}">
              <a16:creationId xmlns:a16="http://schemas.microsoft.com/office/drawing/2014/main" id="{BB1AC11E-4030-E74C-AB49-9A002787EC56}"/>
            </a:ext>
          </a:extLst>
        </xdr:cNvPr>
        <xdr:cNvSpPr>
          <a:spLocks noChangeAspect="1" noChangeArrowheads="1"/>
        </xdr:cNvSpPr>
      </xdr:nvSpPr>
      <xdr:spPr bwMode="auto">
        <a:xfrm>
          <a:off x="29210000" y="7480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317500</xdr:colOff>
      <xdr:row>25</xdr:row>
      <xdr:rowOff>0</xdr:rowOff>
    </xdr:from>
    <xdr:ext cx="304800" cy="279400"/>
    <xdr:sp macro="" textlink="">
      <xdr:nvSpPr>
        <xdr:cNvPr id="949" name="AutoShape 3947" descr="alert toggle">
          <a:extLst>
            <a:ext uri="{FF2B5EF4-FFF2-40B4-BE49-F238E27FC236}">
              <a16:creationId xmlns:a16="http://schemas.microsoft.com/office/drawing/2014/main" id="{D35968A8-DE0B-834B-8E61-5AC8F8862292}"/>
            </a:ext>
          </a:extLst>
        </xdr:cNvPr>
        <xdr:cNvSpPr>
          <a:spLocks noChangeAspect="1" noChangeArrowheads="1"/>
        </xdr:cNvSpPr>
      </xdr:nvSpPr>
      <xdr:spPr bwMode="auto">
        <a:xfrm>
          <a:off x="29527500" y="7480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40</xdr:row>
      <xdr:rowOff>0</xdr:rowOff>
    </xdr:from>
    <xdr:ext cx="304800" cy="279400"/>
    <xdr:sp macro="" textlink="">
      <xdr:nvSpPr>
        <xdr:cNvPr id="950" name="AutoShape 3962" descr="note-add">
          <a:extLst>
            <a:ext uri="{FF2B5EF4-FFF2-40B4-BE49-F238E27FC236}">
              <a16:creationId xmlns:a16="http://schemas.microsoft.com/office/drawing/2014/main" id="{9FABC933-11DD-4745-9312-C7FE3576BFF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195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40</xdr:row>
      <xdr:rowOff>0</xdr:rowOff>
    </xdr:from>
    <xdr:ext cx="304800" cy="279400"/>
    <xdr:sp macro="" textlink="">
      <xdr:nvSpPr>
        <xdr:cNvPr id="951" name="AutoShape 3963" descr="alert toggle">
          <a:extLst>
            <a:ext uri="{FF2B5EF4-FFF2-40B4-BE49-F238E27FC236}">
              <a16:creationId xmlns:a16="http://schemas.microsoft.com/office/drawing/2014/main" id="{673312B8-BF37-0244-BC1F-5EC78FF350D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195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48</xdr:row>
      <xdr:rowOff>0</xdr:rowOff>
    </xdr:from>
    <xdr:ext cx="304800" cy="279400"/>
    <xdr:sp macro="" textlink="">
      <xdr:nvSpPr>
        <xdr:cNvPr id="952" name="AutoShape 3966" descr="note-add">
          <a:extLst>
            <a:ext uri="{FF2B5EF4-FFF2-40B4-BE49-F238E27FC236}">
              <a16:creationId xmlns:a16="http://schemas.microsoft.com/office/drawing/2014/main" id="{176A5F27-3171-DF41-A2F3-6E3CCAE751F5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390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48</xdr:row>
      <xdr:rowOff>0</xdr:rowOff>
    </xdr:from>
    <xdr:ext cx="304800" cy="279400"/>
    <xdr:sp macro="" textlink="">
      <xdr:nvSpPr>
        <xdr:cNvPr id="953" name="AutoShape 3967" descr="alert toggle">
          <a:extLst>
            <a:ext uri="{FF2B5EF4-FFF2-40B4-BE49-F238E27FC236}">
              <a16:creationId xmlns:a16="http://schemas.microsoft.com/office/drawing/2014/main" id="{F62F42F2-7C50-7D49-AEA6-8B706BF07452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390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48</xdr:row>
      <xdr:rowOff>0</xdr:rowOff>
    </xdr:from>
    <xdr:ext cx="304800" cy="279400"/>
    <xdr:sp macro="" textlink="">
      <xdr:nvSpPr>
        <xdr:cNvPr id="954" name="AutoShape 3970" descr="note-add">
          <a:extLst>
            <a:ext uri="{FF2B5EF4-FFF2-40B4-BE49-F238E27FC236}">
              <a16:creationId xmlns:a16="http://schemas.microsoft.com/office/drawing/2014/main" id="{AE3A0DE7-9A58-7543-8B5E-E48A8957B11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4185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48</xdr:row>
      <xdr:rowOff>0</xdr:rowOff>
    </xdr:from>
    <xdr:ext cx="304800" cy="279400"/>
    <xdr:sp macro="" textlink="">
      <xdr:nvSpPr>
        <xdr:cNvPr id="955" name="AutoShape 3971" descr="alert toggle">
          <a:extLst>
            <a:ext uri="{FF2B5EF4-FFF2-40B4-BE49-F238E27FC236}">
              <a16:creationId xmlns:a16="http://schemas.microsoft.com/office/drawing/2014/main" id="{13FE637A-B97C-3246-8865-C0DC7CBA50CA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4185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39</xdr:row>
      <xdr:rowOff>0</xdr:rowOff>
    </xdr:from>
    <xdr:ext cx="304800" cy="304799"/>
    <xdr:sp macro="" textlink="">
      <xdr:nvSpPr>
        <xdr:cNvPr id="956" name="AutoShape 678" descr="note-add">
          <a:extLst>
            <a:ext uri="{FF2B5EF4-FFF2-40B4-BE49-F238E27FC236}">
              <a16:creationId xmlns:a16="http://schemas.microsoft.com/office/drawing/2014/main" id="{122E5AE9-016F-E644-A358-B1B61D1D8E44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40</xdr:row>
      <xdr:rowOff>0</xdr:rowOff>
    </xdr:from>
    <xdr:ext cx="304800" cy="304800"/>
    <xdr:sp macro="" textlink="">
      <xdr:nvSpPr>
        <xdr:cNvPr id="957" name="AutoShape 682" descr="note-add">
          <a:extLst>
            <a:ext uri="{FF2B5EF4-FFF2-40B4-BE49-F238E27FC236}">
              <a16:creationId xmlns:a16="http://schemas.microsoft.com/office/drawing/2014/main" id="{409E762A-471C-E94D-944E-902708EB5181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40</xdr:row>
      <xdr:rowOff>0</xdr:rowOff>
    </xdr:from>
    <xdr:ext cx="304800" cy="304800"/>
    <xdr:sp macro="" textlink="">
      <xdr:nvSpPr>
        <xdr:cNvPr id="958" name="AutoShape 683" descr="alert toggle">
          <a:extLst>
            <a:ext uri="{FF2B5EF4-FFF2-40B4-BE49-F238E27FC236}">
              <a16:creationId xmlns:a16="http://schemas.microsoft.com/office/drawing/2014/main" id="{3621CA02-8A7C-C049-ACA9-E3EA6E3356EA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41</xdr:row>
      <xdr:rowOff>0</xdr:rowOff>
    </xdr:from>
    <xdr:ext cx="304800" cy="304799"/>
    <xdr:sp macro="" textlink="">
      <xdr:nvSpPr>
        <xdr:cNvPr id="959" name="AutoShape 686" descr="note-add">
          <a:extLst>
            <a:ext uri="{FF2B5EF4-FFF2-40B4-BE49-F238E27FC236}">
              <a16:creationId xmlns:a16="http://schemas.microsoft.com/office/drawing/2014/main" id="{6F047E14-6B6D-1344-9B86-032CC1CF759B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41</xdr:row>
      <xdr:rowOff>0</xdr:rowOff>
    </xdr:from>
    <xdr:ext cx="304800" cy="304799"/>
    <xdr:sp macro="" textlink="">
      <xdr:nvSpPr>
        <xdr:cNvPr id="960" name="AutoShape 687" descr="alert toggle">
          <a:extLst>
            <a:ext uri="{FF2B5EF4-FFF2-40B4-BE49-F238E27FC236}">
              <a16:creationId xmlns:a16="http://schemas.microsoft.com/office/drawing/2014/main" id="{E8B41CA0-7B57-A541-AB24-F95A2E444ED8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42</xdr:row>
      <xdr:rowOff>0</xdr:rowOff>
    </xdr:from>
    <xdr:ext cx="304800" cy="304800"/>
    <xdr:sp macro="" textlink="">
      <xdr:nvSpPr>
        <xdr:cNvPr id="961" name="AutoShape 691" descr="alert toggle">
          <a:extLst>
            <a:ext uri="{FF2B5EF4-FFF2-40B4-BE49-F238E27FC236}">
              <a16:creationId xmlns:a16="http://schemas.microsoft.com/office/drawing/2014/main" id="{98045DE8-C8FD-A04B-A8BC-9AB59DCC9281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43</xdr:row>
      <xdr:rowOff>0</xdr:rowOff>
    </xdr:from>
    <xdr:ext cx="304800" cy="304799"/>
    <xdr:sp macro="" textlink="">
      <xdr:nvSpPr>
        <xdr:cNvPr id="962" name="AutoShape 694" descr="note-add">
          <a:extLst>
            <a:ext uri="{FF2B5EF4-FFF2-40B4-BE49-F238E27FC236}">
              <a16:creationId xmlns:a16="http://schemas.microsoft.com/office/drawing/2014/main" id="{A80164FE-8B09-B640-B0CF-EF5D48794092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43</xdr:row>
      <xdr:rowOff>0</xdr:rowOff>
    </xdr:from>
    <xdr:ext cx="304800" cy="304799"/>
    <xdr:sp macro="" textlink="">
      <xdr:nvSpPr>
        <xdr:cNvPr id="963" name="AutoShape 695" descr="alert toggle">
          <a:extLst>
            <a:ext uri="{FF2B5EF4-FFF2-40B4-BE49-F238E27FC236}">
              <a16:creationId xmlns:a16="http://schemas.microsoft.com/office/drawing/2014/main" id="{F44F5A15-0A23-EE4F-9851-FC33C057F7C9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43</xdr:row>
      <xdr:rowOff>0</xdr:rowOff>
    </xdr:from>
    <xdr:ext cx="304800" cy="304799"/>
    <xdr:sp macro="" textlink="">
      <xdr:nvSpPr>
        <xdr:cNvPr id="964" name="AutoShape 698" descr="note-add">
          <a:extLst>
            <a:ext uri="{FF2B5EF4-FFF2-40B4-BE49-F238E27FC236}">
              <a16:creationId xmlns:a16="http://schemas.microsoft.com/office/drawing/2014/main" id="{C99CFC5A-3858-5E4A-8009-3A5222AE9079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43</xdr:row>
      <xdr:rowOff>0</xdr:rowOff>
    </xdr:from>
    <xdr:ext cx="304800" cy="304799"/>
    <xdr:sp macro="" textlink="">
      <xdr:nvSpPr>
        <xdr:cNvPr id="965" name="AutoShape 699" descr="alert toggle">
          <a:extLst>
            <a:ext uri="{FF2B5EF4-FFF2-40B4-BE49-F238E27FC236}">
              <a16:creationId xmlns:a16="http://schemas.microsoft.com/office/drawing/2014/main" id="{806BC087-160B-C14E-9DBC-407CEFDF548F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44</xdr:row>
      <xdr:rowOff>0</xdr:rowOff>
    </xdr:from>
    <xdr:ext cx="304800" cy="304799"/>
    <xdr:sp macro="" textlink="">
      <xdr:nvSpPr>
        <xdr:cNvPr id="966" name="AutoShape 702" descr="note-add">
          <a:extLst>
            <a:ext uri="{FF2B5EF4-FFF2-40B4-BE49-F238E27FC236}">
              <a16:creationId xmlns:a16="http://schemas.microsoft.com/office/drawing/2014/main" id="{3CA6C8A3-A725-964D-825B-57410EE38AF9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44</xdr:row>
      <xdr:rowOff>0</xdr:rowOff>
    </xdr:from>
    <xdr:ext cx="304800" cy="304799"/>
    <xdr:sp macro="" textlink="">
      <xdr:nvSpPr>
        <xdr:cNvPr id="967" name="AutoShape 703" descr="alert toggle">
          <a:extLst>
            <a:ext uri="{FF2B5EF4-FFF2-40B4-BE49-F238E27FC236}">
              <a16:creationId xmlns:a16="http://schemas.microsoft.com/office/drawing/2014/main" id="{E130D48C-E048-074A-A4F6-EA9BC7BD38F5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45</xdr:row>
      <xdr:rowOff>0</xdr:rowOff>
    </xdr:from>
    <xdr:ext cx="304800" cy="304799"/>
    <xdr:sp macro="" textlink="">
      <xdr:nvSpPr>
        <xdr:cNvPr id="968" name="AutoShape 706" descr="note-add">
          <a:extLst>
            <a:ext uri="{FF2B5EF4-FFF2-40B4-BE49-F238E27FC236}">
              <a16:creationId xmlns:a16="http://schemas.microsoft.com/office/drawing/2014/main" id="{4103D419-4E65-7742-8C67-2B5345A0EDE1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45</xdr:row>
      <xdr:rowOff>0</xdr:rowOff>
    </xdr:from>
    <xdr:ext cx="304800" cy="304799"/>
    <xdr:sp macro="" textlink="">
      <xdr:nvSpPr>
        <xdr:cNvPr id="969" name="AutoShape 707" descr="alert toggle">
          <a:extLst>
            <a:ext uri="{FF2B5EF4-FFF2-40B4-BE49-F238E27FC236}">
              <a16:creationId xmlns:a16="http://schemas.microsoft.com/office/drawing/2014/main" id="{62B60E1F-98F3-6D42-8CB8-158A3AAB0B22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46</xdr:row>
      <xdr:rowOff>0</xdr:rowOff>
    </xdr:from>
    <xdr:ext cx="304800" cy="304800"/>
    <xdr:sp macro="" textlink="">
      <xdr:nvSpPr>
        <xdr:cNvPr id="970" name="AutoShape 710" descr="note-add">
          <a:extLst>
            <a:ext uri="{FF2B5EF4-FFF2-40B4-BE49-F238E27FC236}">
              <a16:creationId xmlns:a16="http://schemas.microsoft.com/office/drawing/2014/main" id="{E30639D4-302F-494C-BF9D-B5069EE9E261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46</xdr:row>
      <xdr:rowOff>0</xdr:rowOff>
    </xdr:from>
    <xdr:ext cx="304800" cy="304800"/>
    <xdr:sp macro="" textlink="">
      <xdr:nvSpPr>
        <xdr:cNvPr id="971" name="AutoShape 711" descr="alert toggle">
          <a:extLst>
            <a:ext uri="{FF2B5EF4-FFF2-40B4-BE49-F238E27FC236}">
              <a16:creationId xmlns:a16="http://schemas.microsoft.com/office/drawing/2014/main" id="{91F28B05-8F86-B54F-BD1A-74F346E3B46D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39</xdr:row>
      <xdr:rowOff>0</xdr:rowOff>
    </xdr:from>
    <xdr:ext cx="304800" cy="304799"/>
    <xdr:sp macro="" textlink="">
      <xdr:nvSpPr>
        <xdr:cNvPr id="972" name="AutoShape 1011" descr="note-add">
          <a:extLst>
            <a:ext uri="{FF2B5EF4-FFF2-40B4-BE49-F238E27FC236}">
              <a16:creationId xmlns:a16="http://schemas.microsoft.com/office/drawing/2014/main" id="{77DA94DD-FEE9-B846-825F-E56EEF061F6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39</xdr:row>
      <xdr:rowOff>0</xdr:rowOff>
    </xdr:from>
    <xdr:ext cx="304800" cy="304799"/>
    <xdr:sp macro="" textlink="">
      <xdr:nvSpPr>
        <xdr:cNvPr id="973" name="AutoShape 1012" descr="alert toggle">
          <a:extLst>
            <a:ext uri="{FF2B5EF4-FFF2-40B4-BE49-F238E27FC236}">
              <a16:creationId xmlns:a16="http://schemas.microsoft.com/office/drawing/2014/main" id="{A97FAC1F-92AB-6141-9C19-63646E68ED18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40</xdr:row>
      <xdr:rowOff>0</xdr:rowOff>
    </xdr:from>
    <xdr:ext cx="304800" cy="304800"/>
    <xdr:sp macro="" textlink="">
      <xdr:nvSpPr>
        <xdr:cNvPr id="974" name="AutoShape 1015" descr="note-add">
          <a:extLst>
            <a:ext uri="{FF2B5EF4-FFF2-40B4-BE49-F238E27FC236}">
              <a16:creationId xmlns:a16="http://schemas.microsoft.com/office/drawing/2014/main" id="{EFD363C1-BA2E-9440-9586-63A242080970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40</xdr:row>
      <xdr:rowOff>0</xdr:rowOff>
    </xdr:from>
    <xdr:ext cx="304800" cy="304800"/>
    <xdr:sp macro="" textlink="">
      <xdr:nvSpPr>
        <xdr:cNvPr id="975" name="AutoShape 1016" descr="alert toggle">
          <a:extLst>
            <a:ext uri="{FF2B5EF4-FFF2-40B4-BE49-F238E27FC236}">
              <a16:creationId xmlns:a16="http://schemas.microsoft.com/office/drawing/2014/main" id="{4B1278A5-A0E7-A049-B27B-CC6F5DD64D7A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41</xdr:row>
      <xdr:rowOff>0</xdr:rowOff>
    </xdr:from>
    <xdr:ext cx="304800" cy="304799"/>
    <xdr:sp macro="" textlink="">
      <xdr:nvSpPr>
        <xdr:cNvPr id="976" name="AutoShape 1019" descr="note-add">
          <a:extLst>
            <a:ext uri="{FF2B5EF4-FFF2-40B4-BE49-F238E27FC236}">
              <a16:creationId xmlns:a16="http://schemas.microsoft.com/office/drawing/2014/main" id="{BDF6BDFD-BD2E-D94B-960C-B56506951B2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41</xdr:row>
      <xdr:rowOff>0</xdr:rowOff>
    </xdr:from>
    <xdr:ext cx="304800" cy="304799"/>
    <xdr:sp macro="" textlink="">
      <xdr:nvSpPr>
        <xdr:cNvPr id="977" name="AutoShape 1020" descr="alert toggle">
          <a:extLst>
            <a:ext uri="{FF2B5EF4-FFF2-40B4-BE49-F238E27FC236}">
              <a16:creationId xmlns:a16="http://schemas.microsoft.com/office/drawing/2014/main" id="{42F5AC52-FEAB-D54A-947B-3A539C0509EA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42</xdr:row>
      <xdr:rowOff>0</xdr:rowOff>
    </xdr:from>
    <xdr:ext cx="304800" cy="304800"/>
    <xdr:sp macro="" textlink="">
      <xdr:nvSpPr>
        <xdr:cNvPr id="978" name="AutoShape 1023" descr="note-add">
          <a:extLst>
            <a:ext uri="{FF2B5EF4-FFF2-40B4-BE49-F238E27FC236}">
              <a16:creationId xmlns:a16="http://schemas.microsoft.com/office/drawing/2014/main" id="{67B05AC9-DDA6-2047-8BF5-11E97498CC0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42</xdr:row>
      <xdr:rowOff>0</xdr:rowOff>
    </xdr:from>
    <xdr:ext cx="304800" cy="304800"/>
    <xdr:sp macro="" textlink="">
      <xdr:nvSpPr>
        <xdr:cNvPr id="979" name="AutoShape 1024" descr="alert toggle">
          <a:extLst>
            <a:ext uri="{FF2B5EF4-FFF2-40B4-BE49-F238E27FC236}">
              <a16:creationId xmlns:a16="http://schemas.microsoft.com/office/drawing/2014/main" id="{50408510-84D0-174D-AFB8-F02EB2FDB7EC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43</xdr:row>
      <xdr:rowOff>0</xdr:rowOff>
    </xdr:from>
    <xdr:ext cx="304800" cy="304799"/>
    <xdr:sp macro="" textlink="">
      <xdr:nvSpPr>
        <xdr:cNvPr id="980" name="AutoShape 1027" descr="note-add">
          <a:extLst>
            <a:ext uri="{FF2B5EF4-FFF2-40B4-BE49-F238E27FC236}">
              <a16:creationId xmlns:a16="http://schemas.microsoft.com/office/drawing/2014/main" id="{11C81E0F-2501-944E-977C-5F01FFF92D50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43</xdr:row>
      <xdr:rowOff>0</xdr:rowOff>
    </xdr:from>
    <xdr:ext cx="304800" cy="304799"/>
    <xdr:sp macro="" textlink="">
      <xdr:nvSpPr>
        <xdr:cNvPr id="981" name="AutoShape 1028" descr="alert toggle">
          <a:extLst>
            <a:ext uri="{FF2B5EF4-FFF2-40B4-BE49-F238E27FC236}">
              <a16:creationId xmlns:a16="http://schemas.microsoft.com/office/drawing/2014/main" id="{3689E236-1A08-4C45-98B1-452A0565F6C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43</xdr:row>
      <xdr:rowOff>0</xdr:rowOff>
    </xdr:from>
    <xdr:ext cx="304800" cy="304799"/>
    <xdr:sp macro="" textlink="">
      <xdr:nvSpPr>
        <xdr:cNvPr id="982" name="AutoShape 1031" descr="note-add">
          <a:extLst>
            <a:ext uri="{FF2B5EF4-FFF2-40B4-BE49-F238E27FC236}">
              <a16:creationId xmlns:a16="http://schemas.microsoft.com/office/drawing/2014/main" id="{C6058C6F-C594-ED47-BEF5-2EC4E2A4DAA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43</xdr:row>
      <xdr:rowOff>0</xdr:rowOff>
    </xdr:from>
    <xdr:ext cx="304800" cy="304799"/>
    <xdr:sp macro="" textlink="">
      <xdr:nvSpPr>
        <xdr:cNvPr id="983" name="AutoShape 1032" descr="alert toggle">
          <a:extLst>
            <a:ext uri="{FF2B5EF4-FFF2-40B4-BE49-F238E27FC236}">
              <a16:creationId xmlns:a16="http://schemas.microsoft.com/office/drawing/2014/main" id="{F7D51B42-D50C-B34B-A883-28BBB75B9E5C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44</xdr:row>
      <xdr:rowOff>0</xdr:rowOff>
    </xdr:from>
    <xdr:ext cx="304800" cy="304799"/>
    <xdr:sp macro="" textlink="">
      <xdr:nvSpPr>
        <xdr:cNvPr id="984" name="AutoShape 1036" descr="alert toggle">
          <a:extLst>
            <a:ext uri="{FF2B5EF4-FFF2-40B4-BE49-F238E27FC236}">
              <a16:creationId xmlns:a16="http://schemas.microsoft.com/office/drawing/2014/main" id="{D6C9A8B0-673C-DD40-8A33-78197605851E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45</xdr:row>
      <xdr:rowOff>0</xdr:rowOff>
    </xdr:from>
    <xdr:ext cx="304800" cy="304799"/>
    <xdr:sp macro="" textlink="">
      <xdr:nvSpPr>
        <xdr:cNvPr id="985" name="AutoShape 1039" descr="note-add">
          <a:extLst>
            <a:ext uri="{FF2B5EF4-FFF2-40B4-BE49-F238E27FC236}">
              <a16:creationId xmlns:a16="http://schemas.microsoft.com/office/drawing/2014/main" id="{BDCD6E96-4349-6D40-81C7-C2B75E10F334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45</xdr:row>
      <xdr:rowOff>0</xdr:rowOff>
    </xdr:from>
    <xdr:ext cx="304800" cy="304799"/>
    <xdr:sp macro="" textlink="">
      <xdr:nvSpPr>
        <xdr:cNvPr id="986" name="AutoShape 1040" descr="alert toggle">
          <a:extLst>
            <a:ext uri="{FF2B5EF4-FFF2-40B4-BE49-F238E27FC236}">
              <a16:creationId xmlns:a16="http://schemas.microsoft.com/office/drawing/2014/main" id="{6A14ACB9-ABF3-5C41-BD72-B05B577524D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46</xdr:row>
      <xdr:rowOff>0</xdr:rowOff>
    </xdr:from>
    <xdr:ext cx="304800" cy="304800"/>
    <xdr:sp macro="" textlink="">
      <xdr:nvSpPr>
        <xdr:cNvPr id="987" name="AutoShape 1043" descr="note-add">
          <a:extLst>
            <a:ext uri="{FF2B5EF4-FFF2-40B4-BE49-F238E27FC236}">
              <a16:creationId xmlns:a16="http://schemas.microsoft.com/office/drawing/2014/main" id="{E334F0D3-43BF-AE4F-A8B6-5AACA075975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46</xdr:row>
      <xdr:rowOff>0</xdr:rowOff>
    </xdr:from>
    <xdr:ext cx="304800" cy="304800"/>
    <xdr:sp macro="" textlink="">
      <xdr:nvSpPr>
        <xdr:cNvPr id="988" name="AutoShape 1044" descr="alert toggle">
          <a:extLst>
            <a:ext uri="{FF2B5EF4-FFF2-40B4-BE49-F238E27FC236}">
              <a16:creationId xmlns:a16="http://schemas.microsoft.com/office/drawing/2014/main" id="{FDEE48FB-DFE7-474D-95BE-9B402F3CA5E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47</xdr:row>
      <xdr:rowOff>0</xdr:rowOff>
    </xdr:from>
    <xdr:ext cx="304800" cy="304799"/>
    <xdr:sp macro="" textlink="">
      <xdr:nvSpPr>
        <xdr:cNvPr id="989" name="AutoShape 1047" descr="note-add">
          <a:extLst>
            <a:ext uri="{FF2B5EF4-FFF2-40B4-BE49-F238E27FC236}">
              <a16:creationId xmlns:a16="http://schemas.microsoft.com/office/drawing/2014/main" id="{A94EAB8D-84FB-3D48-827F-414C31554A7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47</xdr:row>
      <xdr:rowOff>0</xdr:rowOff>
    </xdr:from>
    <xdr:ext cx="304800" cy="304799"/>
    <xdr:sp macro="" textlink="">
      <xdr:nvSpPr>
        <xdr:cNvPr id="990" name="AutoShape 1048" descr="alert toggle">
          <a:extLst>
            <a:ext uri="{FF2B5EF4-FFF2-40B4-BE49-F238E27FC236}">
              <a16:creationId xmlns:a16="http://schemas.microsoft.com/office/drawing/2014/main" id="{2AAC9F81-FF5B-7F44-8EBD-5A1A72350EBE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50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48</xdr:row>
      <xdr:rowOff>0</xdr:rowOff>
    </xdr:from>
    <xdr:ext cx="304800" cy="304800"/>
    <xdr:sp macro="" textlink="">
      <xdr:nvSpPr>
        <xdr:cNvPr id="991" name="AutoShape 1051" descr="note-add">
          <a:extLst>
            <a:ext uri="{FF2B5EF4-FFF2-40B4-BE49-F238E27FC236}">
              <a16:creationId xmlns:a16="http://schemas.microsoft.com/office/drawing/2014/main" id="{2ACC1E31-A7E9-C447-9E10-6D641904C27E}"/>
            </a:ext>
          </a:extLst>
        </xdr:cNvPr>
        <xdr:cNvSpPr>
          <a:spLocks noChangeAspect="1" noChangeArrowheads="1"/>
        </xdr:cNvSpPr>
      </xdr:nvSpPr>
      <xdr:spPr bwMode="auto">
        <a:xfrm>
          <a:off x="156845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317500</xdr:colOff>
      <xdr:row>48</xdr:row>
      <xdr:rowOff>0</xdr:rowOff>
    </xdr:from>
    <xdr:ext cx="304800" cy="304800"/>
    <xdr:sp macro="" textlink="">
      <xdr:nvSpPr>
        <xdr:cNvPr id="992" name="AutoShape 1052" descr="alert toggle">
          <a:extLst>
            <a:ext uri="{FF2B5EF4-FFF2-40B4-BE49-F238E27FC236}">
              <a16:creationId xmlns:a16="http://schemas.microsoft.com/office/drawing/2014/main" id="{A53677DE-A4E2-1346-8B33-0F77A6E74F18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49</xdr:row>
      <xdr:rowOff>0</xdr:rowOff>
    </xdr:from>
    <xdr:ext cx="304800" cy="304800"/>
    <xdr:sp macro="" textlink="">
      <xdr:nvSpPr>
        <xdr:cNvPr id="993" name="AutoShape 4405" descr="note-add">
          <a:extLst>
            <a:ext uri="{FF2B5EF4-FFF2-40B4-BE49-F238E27FC236}">
              <a16:creationId xmlns:a16="http://schemas.microsoft.com/office/drawing/2014/main" id="{857020AF-8842-E543-8792-0A3C229D19E7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49</xdr:row>
      <xdr:rowOff>0</xdr:rowOff>
    </xdr:from>
    <xdr:ext cx="304800" cy="304800"/>
    <xdr:sp macro="" textlink="">
      <xdr:nvSpPr>
        <xdr:cNvPr id="994" name="AutoShape 4406" descr="alert toggle">
          <a:extLst>
            <a:ext uri="{FF2B5EF4-FFF2-40B4-BE49-F238E27FC236}">
              <a16:creationId xmlns:a16="http://schemas.microsoft.com/office/drawing/2014/main" id="{C1730113-D25E-504E-958C-DE798E8E749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50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53</xdr:row>
      <xdr:rowOff>0</xdr:rowOff>
    </xdr:from>
    <xdr:ext cx="304800" cy="279399"/>
    <xdr:sp macro="" textlink="">
      <xdr:nvSpPr>
        <xdr:cNvPr id="995" name="AutoShape 4413" descr="note-add">
          <a:extLst>
            <a:ext uri="{FF2B5EF4-FFF2-40B4-BE49-F238E27FC236}">
              <a16:creationId xmlns:a16="http://schemas.microsoft.com/office/drawing/2014/main" id="{8436D4EF-98BC-5946-BFA8-0E399E26E44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41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53</xdr:row>
      <xdr:rowOff>0</xdr:rowOff>
    </xdr:from>
    <xdr:ext cx="304800" cy="279399"/>
    <xdr:sp macro="" textlink="">
      <xdr:nvSpPr>
        <xdr:cNvPr id="996" name="AutoShape 4414" descr="alert toggle">
          <a:extLst>
            <a:ext uri="{FF2B5EF4-FFF2-40B4-BE49-F238E27FC236}">
              <a16:creationId xmlns:a16="http://schemas.microsoft.com/office/drawing/2014/main" id="{88797156-4EA2-0343-94F4-E0A508254266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41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54</xdr:row>
      <xdr:rowOff>0</xdr:rowOff>
    </xdr:from>
    <xdr:ext cx="304800" cy="279399"/>
    <xdr:sp macro="" textlink="">
      <xdr:nvSpPr>
        <xdr:cNvPr id="997" name="AutoShape 4417" descr="note-add">
          <a:extLst>
            <a:ext uri="{FF2B5EF4-FFF2-40B4-BE49-F238E27FC236}">
              <a16:creationId xmlns:a16="http://schemas.microsoft.com/office/drawing/2014/main" id="{E5DF760D-7C2B-1540-9B55-6DC52D402B7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41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54</xdr:row>
      <xdr:rowOff>0</xdr:rowOff>
    </xdr:from>
    <xdr:ext cx="304800" cy="279399"/>
    <xdr:sp macro="" textlink="">
      <xdr:nvSpPr>
        <xdr:cNvPr id="998" name="AutoShape 4418" descr="alert toggle">
          <a:extLst>
            <a:ext uri="{FF2B5EF4-FFF2-40B4-BE49-F238E27FC236}">
              <a16:creationId xmlns:a16="http://schemas.microsoft.com/office/drawing/2014/main" id="{7299521E-A0FA-3845-92ED-14DF6087AD39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41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55</xdr:row>
      <xdr:rowOff>0</xdr:rowOff>
    </xdr:from>
    <xdr:ext cx="304800" cy="279399"/>
    <xdr:sp macro="" textlink="">
      <xdr:nvSpPr>
        <xdr:cNvPr id="999" name="AutoShape 4421" descr="note-add">
          <a:extLst>
            <a:ext uri="{FF2B5EF4-FFF2-40B4-BE49-F238E27FC236}">
              <a16:creationId xmlns:a16="http://schemas.microsoft.com/office/drawing/2014/main" id="{71672134-00EF-0C49-A871-D6ED113BC98C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141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55</xdr:row>
      <xdr:rowOff>0</xdr:rowOff>
    </xdr:from>
    <xdr:ext cx="304800" cy="279399"/>
    <xdr:sp macro="" textlink="">
      <xdr:nvSpPr>
        <xdr:cNvPr id="1000" name="AutoShape 4422" descr="alert toggle">
          <a:extLst>
            <a:ext uri="{FF2B5EF4-FFF2-40B4-BE49-F238E27FC236}">
              <a16:creationId xmlns:a16="http://schemas.microsoft.com/office/drawing/2014/main" id="{883FC01E-30D5-C541-9888-68A26FEFCB2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141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57</xdr:row>
      <xdr:rowOff>0</xdr:rowOff>
    </xdr:from>
    <xdr:ext cx="304800" cy="279400"/>
    <xdr:sp macro="" textlink="">
      <xdr:nvSpPr>
        <xdr:cNvPr id="1001" name="AutoShape 4425" descr="note-add">
          <a:extLst>
            <a:ext uri="{FF2B5EF4-FFF2-40B4-BE49-F238E27FC236}">
              <a16:creationId xmlns:a16="http://schemas.microsoft.com/office/drawing/2014/main" id="{8F0C55C5-7871-B948-84D3-2B36A9C6565F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57</xdr:row>
      <xdr:rowOff>0</xdr:rowOff>
    </xdr:from>
    <xdr:ext cx="304800" cy="279400"/>
    <xdr:sp macro="" textlink="">
      <xdr:nvSpPr>
        <xdr:cNvPr id="1002" name="AutoShape 4426" descr="alert toggle">
          <a:extLst>
            <a:ext uri="{FF2B5EF4-FFF2-40B4-BE49-F238E27FC236}">
              <a16:creationId xmlns:a16="http://schemas.microsoft.com/office/drawing/2014/main" id="{051DDFF3-1354-7B4D-9D54-49758AB28D39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42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56</xdr:row>
      <xdr:rowOff>0</xdr:rowOff>
    </xdr:from>
    <xdr:ext cx="304800" cy="279400"/>
    <xdr:sp macro="" textlink="">
      <xdr:nvSpPr>
        <xdr:cNvPr id="1003" name="AutoShape 4409" descr="note-add">
          <a:extLst>
            <a:ext uri="{FF2B5EF4-FFF2-40B4-BE49-F238E27FC236}">
              <a16:creationId xmlns:a16="http://schemas.microsoft.com/office/drawing/2014/main" id="{314AD72C-A413-E146-895E-EC84111CC2C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56</xdr:row>
      <xdr:rowOff>0</xdr:rowOff>
    </xdr:from>
    <xdr:ext cx="304800" cy="279400"/>
    <xdr:sp macro="" textlink="">
      <xdr:nvSpPr>
        <xdr:cNvPr id="1004" name="AutoShape 4410" descr="alert toggle">
          <a:extLst>
            <a:ext uri="{FF2B5EF4-FFF2-40B4-BE49-F238E27FC236}">
              <a16:creationId xmlns:a16="http://schemas.microsoft.com/office/drawing/2014/main" id="{1309372F-984B-F342-BF90-F649F2CDF7CF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56</xdr:row>
      <xdr:rowOff>0</xdr:rowOff>
    </xdr:from>
    <xdr:ext cx="304800" cy="279400"/>
    <xdr:sp macro="" textlink="">
      <xdr:nvSpPr>
        <xdr:cNvPr id="1005" name="AutoShape 4429" descr="note-add">
          <a:extLst>
            <a:ext uri="{FF2B5EF4-FFF2-40B4-BE49-F238E27FC236}">
              <a16:creationId xmlns:a16="http://schemas.microsoft.com/office/drawing/2014/main" id="{38ADEC85-8AB9-B94E-A7A8-B20564114CA8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56</xdr:row>
      <xdr:rowOff>0</xdr:rowOff>
    </xdr:from>
    <xdr:ext cx="304800" cy="279400"/>
    <xdr:sp macro="" textlink="">
      <xdr:nvSpPr>
        <xdr:cNvPr id="1006" name="AutoShape 4430" descr="alert toggle">
          <a:extLst>
            <a:ext uri="{FF2B5EF4-FFF2-40B4-BE49-F238E27FC236}">
              <a16:creationId xmlns:a16="http://schemas.microsoft.com/office/drawing/2014/main" id="{4DC0EA16-C56F-A94B-BC7E-F653067CD40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58</xdr:row>
      <xdr:rowOff>0</xdr:rowOff>
    </xdr:from>
    <xdr:ext cx="304800" cy="279400"/>
    <xdr:sp macro="" textlink="">
      <xdr:nvSpPr>
        <xdr:cNvPr id="1007" name="AutoShape 4433" descr="note-add">
          <a:extLst>
            <a:ext uri="{FF2B5EF4-FFF2-40B4-BE49-F238E27FC236}">
              <a16:creationId xmlns:a16="http://schemas.microsoft.com/office/drawing/2014/main" id="{E8DF257F-FE88-B944-969D-5DEACD481BF2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58</xdr:row>
      <xdr:rowOff>0</xdr:rowOff>
    </xdr:from>
    <xdr:ext cx="304800" cy="279400"/>
    <xdr:sp macro="" textlink="">
      <xdr:nvSpPr>
        <xdr:cNvPr id="1008" name="AutoShape 4434" descr="alert toggle">
          <a:extLst>
            <a:ext uri="{FF2B5EF4-FFF2-40B4-BE49-F238E27FC236}">
              <a16:creationId xmlns:a16="http://schemas.microsoft.com/office/drawing/2014/main" id="{B09120AC-30C0-FC43-B238-8CC6A4005CB8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70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56</xdr:row>
      <xdr:rowOff>0</xdr:rowOff>
    </xdr:from>
    <xdr:ext cx="304800" cy="279400"/>
    <xdr:sp macro="" textlink="">
      <xdr:nvSpPr>
        <xdr:cNvPr id="1009" name="AutoShape 3101" descr="note-add">
          <a:extLst>
            <a:ext uri="{FF2B5EF4-FFF2-40B4-BE49-F238E27FC236}">
              <a16:creationId xmlns:a16="http://schemas.microsoft.com/office/drawing/2014/main" id="{1D030B79-4BF4-2647-9601-2B0FE7F6690D}"/>
            </a:ext>
          </a:extLst>
        </xdr:cNvPr>
        <xdr:cNvSpPr>
          <a:spLocks noChangeAspect="1" noChangeArrowheads="1"/>
        </xdr:cNvSpPr>
      </xdr:nvSpPr>
      <xdr:spPr bwMode="auto">
        <a:xfrm>
          <a:off x="27228800" y="16979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317500</xdr:colOff>
      <xdr:row>56</xdr:row>
      <xdr:rowOff>0</xdr:rowOff>
    </xdr:from>
    <xdr:ext cx="304800" cy="279400"/>
    <xdr:sp macro="" textlink="">
      <xdr:nvSpPr>
        <xdr:cNvPr id="1010" name="AutoShape 3102" descr="alert toggle">
          <a:extLst>
            <a:ext uri="{FF2B5EF4-FFF2-40B4-BE49-F238E27FC236}">
              <a16:creationId xmlns:a16="http://schemas.microsoft.com/office/drawing/2014/main" id="{91E08BFF-B6AB-D94B-8A54-463F9FBBFC21}"/>
            </a:ext>
          </a:extLst>
        </xdr:cNvPr>
        <xdr:cNvSpPr>
          <a:spLocks noChangeAspect="1" noChangeArrowheads="1"/>
        </xdr:cNvSpPr>
      </xdr:nvSpPr>
      <xdr:spPr bwMode="auto">
        <a:xfrm>
          <a:off x="27546300" y="16979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55</xdr:row>
      <xdr:rowOff>0</xdr:rowOff>
    </xdr:from>
    <xdr:ext cx="304800" cy="279400"/>
    <xdr:sp macro="" textlink="">
      <xdr:nvSpPr>
        <xdr:cNvPr id="1011" name="AutoShape 4437" descr="note-add">
          <a:extLst>
            <a:ext uri="{FF2B5EF4-FFF2-40B4-BE49-F238E27FC236}">
              <a16:creationId xmlns:a16="http://schemas.microsoft.com/office/drawing/2014/main" id="{F98C000A-1AAF-0A46-9B8D-F7618023E08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16979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55</xdr:row>
      <xdr:rowOff>0</xdr:rowOff>
    </xdr:from>
    <xdr:ext cx="304800" cy="279400"/>
    <xdr:sp macro="" textlink="">
      <xdr:nvSpPr>
        <xdr:cNvPr id="1012" name="AutoShape 4438" descr="alert toggle">
          <a:extLst>
            <a:ext uri="{FF2B5EF4-FFF2-40B4-BE49-F238E27FC236}">
              <a16:creationId xmlns:a16="http://schemas.microsoft.com/office/drawing/2014/main" id="{B283037B-C6A7-FB47-BB70-B9EE104DE6A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6979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59</xdr:row>
      <xdr:rowOff>0</xdr:rowOff>
    </xdr:from>
    <xdr:ext cx="304800" cy="279400"/>
    <xdr:sp macro="" textlink="">
      <xdr:nvSpPr>
        <xdr:cNvPr id="1013" name="AutoShape 3278" descr="note-add">
          <a:extLst>
            <a:ext uri="{FF2B5EF4-FFF2-40B4-BE49-F238E27FC236}">
              <a16:creationId xmlns:a16="http://schemas.microsoft.com/office/drawing/2014/main" id="{4AB95B5F-B8D4-5F41-893F-4A2728CC23C8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59</xdr:row>
      <xdr:rowOff>0</xdr:rowOff>
    </xdr:from>
    <xdr:ext cx="304800" cy="279400"/>
    <xdr:sp macro="" textlink="">
      <xdr:nvSpPr>
        <xdr:cNvPr id="1014" name="AutoShape 3279" descr="alert toggle">
          <a:extLst>
            <a:ext uri="{FF2B5EF4-FFF2-40B4-BE49-F238E27FC236}">
              <a16:creationId xmlns:a16="http://schemas.microsoft.com/office/drawing/2014/main" id="{BFE879A4-5C9F-BC45-8654-B48723046F3C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61</xdr:row>
      <xdr:rowOff>0</xdr:rowOff>
    </xdr:from>
    <xdr:ext cx="304800" cy="279400"/>
    <xdr:sp macro="" textlink="">
      <xdr:nvSpPr>
        <xdr:cNvPr id="1015" name="AutoShape 3282" descr="note-add">
          <a:extLst>
            <a:ext uri="{FF2B5EF4-FFF2-40B4-BE49-F238E27FC236}">
              <a16:creationId xmlns:a16="http://schemas.microsoft.com/office/drawing/2014/main" id="{301BA2EF-8B0A-A84E-9F18-82B1429B2252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53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57</xdr:row>
      <xdr:rowOff>0</xdr:rowOff>
    </xdr:from>
    <xdr:ext cx="304800" cy="279400"/>
    <xdr:sp macro="" textlink="">
      <xdr:nvSpPr>
        <xdr:cNvPr id="1016" name="AutoShape 3286" descr="note-add">
          <a:extLst>
            <a:ext uri="{FF2B5EF4-FFF2-40B4-BE49-F238E27FC236}">
              <a16:creationId xmlns:a16="http://schemas.microsoft.com/office/drawing/2014/main" id="{A584DB41-B6BB-AC4D-BF47-914149CFFA6C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57</xdr:row>
      <xdr:rowOff>0</xdr:rowOff>
    </xdr:from>
    <xdr:ext cx="304800" cy="279400"/>
    <xdr:sp macro="" textlink="">
      <xdr:nvSpPr>
        <xdr:cNvPr id="1017" name="AutoShape 3287" descr="alert toggle">
          <a:extLst>
            <a:ext uri="{FF2B5EF4-FFF2-40B4-BE49-F238E27FC236}">
              <a16:creationId xmlns:a16="http://schemas.microsoft.com/office/drawing/2014/main" id="{4925FD27-4391-1047-A837-25FC4C3509EC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58</xdr:row>
      <xdr:rowOff>0</xdr:rowOff>
    </xdr:from>
    <xdr:ext cx="304800" cy="279400"/>
    <xdr:sp macro="" textlink="">
      <xdr:nvSpPr>
        <xdr:cNvPr id="1018" name="AutoShape 3290" descr="note-add">
          <a:extLst>
            <a:ext uri="{FF2B5EF4-FFF2-40B4-BE49-F238E27FC236}">
              <a16:creationId xmlns:a16="http://schemas.microsoft.com/office/drawing/2014/main" id="{0B23439C-962F-1C4E-AA2D-1575D2F1B067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58</xdr:row>
      <xdr:rowOff>0</xdr:rowOff>
    </xdr:from>
    <xdr:ext cx="304800" cy="279400"/>
    <xdr:sp macro="" textlink="">
      <xdr:nvSpPr>
        <xdr:cNvPr id="1019" name="AutoShape 3291" descr="alert toggle">
          <a:extLst>
            <a:ext uri="{FF2B5EF4-FFF2-40B4-BE49-F238E27FC236}">
              <a16:creationId xmlns:a16="http://schemas.microsoft.com/office/drawing/2014/main" id="{D8C1ADA4-44EA-7341-82A6-F3EE626A8E19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59</xdr:row>
      <xdr:rowOff>0</xdr:rowOff>
    </xdr:from>
    <xdr:ext cx="304800" cy="279400"/>
    <xdr:sp macro="" textlink="">
      <xdr:nvSpPr>
        <xdr:cNvPr id="1020" name="AutoShape 3294" descr="note-add">
          <a:extLst>
            <a:ext uri="{FF2B5EF4-FFF2-40B4-BE49-F238E27FC236}">
              <a16:creationId xmlns:a16="http://schemas.microsoft.com/office/drawing/2014/main" id="{AD1B7914-E58C-9C4E-92BA-4A3AC9D53ED7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59</xdr:row>
      <xdr:rowOff>0</xdr:rowOff>
    </xdr:from>
    <xdr:ext cx="304800" cy="279400"/>
    <xdr:sp macro="" textlink="">
      <xdr:nvSpPr>
        <xdr:cNvPr id="1021" name="AutoShape 3295" descr="alert toggle">
          <a:extLst>
            <a:ext uri="{FF2B5EF4-FFF2-40B4-BE49-F238E27FC236}">
              <a16:creationId xmlns:a16="http://schemas.microsoft.com/office/drawing/2014/main" id="{6DBFCF7C-B4CD-1D42-954C-03650DF22563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60</xdr:row>
      <xdr:rowOff>0</xdr:rowOff>
    </xdr:from>
    <xdr:ext cx="304800" cy="279400"/>
    <xdr:sp macro="" textlink="">
      <xdr:nvSpPr>
        <xdr:cNvPr id="1022" name="AutoShape 3298" descr="note-add">
          <a:extLst>
            <a:ext uri="{FF2B5EF4-FFF2-40B4-BE49-F238E27FC236}">
              <a16:creationId xmlns:a16="http://schemas.microsoft.com/office/drawing/2014/main" id="{29D5E0D2-0DDC-2049-BB41-F364871F8795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60</xdr:row>
      <xdr:rowOff>0</xdr:rowOff>
    </xdr:from>
    <xdr:ext cx="304800" cy="279400"/>
    <xdr:sp macro="" textlink="">
      <xdr:nvSpPr>
        <xdr:cNvPr id="1023" name="AutoShape 3299" descr="alert toggle">
          <a:extLst>
            <a:ext uri="{FF2B5EF4-FFF2-40B4-BE49-F238E27FC236}">
              <a16:creationId xmlns:a16="http://schemas.microsoft.com/office/drawing/2014/main" id="{E6BC2A25-E729-334D-895A-E5EA603E7967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61</xdr:row>
      <xdr:rowOff>0</xdr:rowOff>
    </xdr:from>
    <xdr:ext cx="304800" cy="279400"/>
    <xdr:sp macro="" textlink="">
      <xdr:nvSpPr>
        <xdr:cNvPr id="1024" name="AutoShape 3302" descr="note-add">
          <a:extLst>
            <a:ext uri="{FF2B5EF4-FFF2-40B4-BE49-F238E27FC236}">
              <a16:creationId xmlns:a16="http://schemas.microsoft.com/office/drawing/2014/main" id="{EE52C77C-D25B-C849-BE22-66435B7B17F9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61</xdr:row>
      <xdr:rowOff>0</xdr:rowOff>
    </xdr:from>
    <xdr:ext cx="304800" cy="279400"/>
    <xdr:sp macro="" textlink="">
      <xdr:nvSpPr>
        <xdr:cNvPr id="1025" name="AutoShape 3303" descr="alert toggle">
          <a:extLst>
            <a:ext uri="{FF2B5EF4-FFF2-40B4-BE49-F238E27FC236}">
              <a16:creationId xmlns:a16="http://schemas.microsoft.com/office/drawing/2014/main" id="{4669F38A-EF60-1347-B61D-E7740CBE89DF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62</xdr:row>
      <xdr:rowOff>0</xdr:rowOff>
    </xdr:from>
    <xdr:ext cx="304800" cy="279400"/>
    <xdr:sp macro="" textlink="">
      <xdr:nvSpPr>
        <xdr:cNvPr id="1026" name="AutoShape 3306" descr="note-add">
          <a:extLst>
            <a:ext uri="{FF2B5EF4-FFF2-40B4-BE49-F238E27FC236}">
              <a16:creationId xmlns:a16="http://schemas.microsoft.com/office/drawing/2014/main" id="{06956865-FDE3-3843-AF0A-F56FA05353D0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62</xdr:row>
      <xdr:rowOff>0</xdr:rowOff>
    </xdr:from>
    <xdr:ext cx="304800" cy="279400"/>
    <xdr:sp macro="" textlink="">
      <xdr:nvSpPr>
        <xdr:cNvPr id="1027" name="AutoShape 3307" descr="alert toggle">
          <a:extLst>
            <a:ext uri="{FF2B5EF4-FFF2-40B4-BE49-F238E27FC236}">
              <a16:creationId xmlns:a16="http://schemas.microsoft.com/office/drawing/2014/main" id="{0D4A8A3B-6942-6C4D-83ED-0E65E5123F84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781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60</xdr:row>
      <xdr:rowOff>0</xdr:rowOff>
    </xdr:from>
    <xdr:ext cx="304800" cy="279400"/>
    <xdr:sp macro="" textlink="">
      <xdr:nvSpPr>
        <xdr:cNvPr id="1028" name="AutoShape 3310" descr="note-add">
          <a:extLst>
            <a:ext uri="{FF2B5EF4-FFF2-40B4-BE49-F238E27FC236}">
              <a16:creationId xmlns:a16="http://schemas.microsoft.com/office/drawing/2014/main" id="{DA1ED257-D75D-0D4E-AFCE-F8CC6BE83533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60</xdr:row>
      <xdr:rowOff>0</xdr:rowOff>
    </xdr:from>
    <xdr:ext cx="304800" cy="279400"/>
    <xdr:sp macro="" textlink="">
      <xdr:nvSpPr>
        <xdr:cNvPr id="1029" name="AutoShape 3311" descr="alert toggle">
          <a:extLst>
            <a:ext uri="{FF2B5EF4-FFF2-40B4-BE49-F238E27FC236}">
              <a16:creationId xmlns:a16="http://schemas.microsoft.com/office/drawing/2014/main" id="{9CB42209-3FD9-A64B-BBA9-782647412CB4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61</xdr:row>
      <xdr:rowOff>0</xdr:rowOff>
    </xdr:from>
    <xdr:ext cx="304800" cy="279400"/>
    <xdr:sp macro="" textlink="">
      <xdr:nvSpPr>
        <xdr:cNvPr id="1030" name="AutoShape 3314" descr="note-add">
          <a:extLst>
            <a:ext uri="{FF2B5EF4-FFF2-40B4-BE49-F238E27FC236}">
              <a16:creationId xmlns:a16="http://schemas.microsoft.com/office/drawing/2014/main" id="{9B733884-3E5B-8446-BEF5-F3390B402C16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61</xdr:row>
      <xdr:rowOff>0</xdr:rowOff>
    </xdr:from>
    <xdr:ext cx="304800" cy="279400"/>
    <xdr:sp macro="" textlink="">
      <xdr:nvSpPr>
        <xdr:cNvPr id="1031" name="AutoShape 3315" descr="alert toggle">
          <a:extLst>
            <a:ext uri="{FF2B5EF4-FFF2-40B4-BE49-F238E27FC236}">
              <a16:creationId xmlns:a16="http://schemas.microsoft.com/office/drawing/2014/main" id="{5AB19DAD-997D-7840-94C7-B6758BA6DD0A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63</xdr:row>
      <xdr:rowOff>0</xdr:rowOff>
    </xdr:from>
    <xdr:ext cx="304800" cy="279400"/>
    <xdr:sp macro="" textlink="">
      <xdr:nvSpPr>
        <xdr:cNvPr id="1032" name="AutoShape 3318" descr="note-add">
          <a:extLst>
            <a:ext uri="{FF2B5EF4-FFF2-40B4-BE49-F238E27FC236}">
              <a16:creationId xmlns:a16="http://schemas.microsoft.com/office/drawing/2014/main" id="{7FFDCF8A-3D69-DE45-A827-8E3ED6E41E18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63</xdr:row>
      <xdr:rowOff>0</xdr:rowOff>
    </xdr:from>
    <xdr:ext cx="304800" cy="279400"/>
    <xdr:sp macro="" textlink="">
      <xdr:nvSpPr>
        <xdr:cNvPr id="1033" name="AutoShape 3319" descr="alert toggle">
          <a:extLst>
            <a:ext uri="{FF2B5EF4-FFF2-40B4-BE49-F238E27FC236}">
              <a16:creationId xmlns:a16="http://schemas.microsoft.com/office/drawing/2014/main" id="{B92B6211-876A-D340-AD44-727CB83641C1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63</xdr:row>
      <xdr:rowOff>0</xdr:rowOff>
    </xdr:from>
    <xdr:ext cx="304800" cy="279400"/>
    <xdr:sp macro="" textlink="">
      <xdr:nvSpPr>
        <xdr:cNvPr id="1034" name="AutoShape 3330" descr="note-add">
          <a:extLst>
            <a:ext uri="{FF2B5EF4-FFF2-40B4-BE49-F238E27FC236}">
              <a16:creationId xmlns:a16="http://schemas.microsoft.com/office/drawing/2014/main" id="{E0A3056E-F188-734B-8902-7D4884D9BB1E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63</xdr:row>
      <xdr:rowOff>0</xdr:rowOff>
    </xdr:from>
    <xdr:ext cx="304800" cy="279400"/>
    <xdr:sp macro="" textlink="">
      <xdr:nvSpPr>
        <xdr:cNvPr id="1035" name="AutoShape 3331" descr="alert toggle">
          <a:extLst>
            <a:ext uri="{FF2B5EF4-FFF2-40B4-BE49-F238E27FC236}">
              <a16:creationId xmlns:a16="http://schemas.microsoft.com/office/drawing/2014/main" id="{9CB7E03D-905A-9244-B070-99AAB220F4FE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809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53</xdr:row>
      <xdr:rowOff>0</xdr:rowOff>
    </xdr:from>
    <xdr:ext cx="304800" cy="279400"/>
    <xdr:sp macro="" textlink="">
      <xdr:nvSpPr>
        <xdr:cNvPr id="1036" name="AutoShape 3322" descr="note-add">
          <a:extLst>
            <a:ext uri="{FF2B5EF4-FFF2-40B4-BE49-F238E27FC236}">
              <a16:creationId xmlns:a16="http://schemas.microsoft.com/office/drawing/2014/main" id="{29676100-2F62-5646-B4AD-0D96345B92D6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837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53</xdr:row>
      <xdr:rowOff>0</xdr:rowOff>
    </xdr:from>
    <xdr:ext cx="304800" cy="279400"/>
    <xdr:sp macro="" textlink="">
      <xdr:nvSpPr>
        <xdr:cNvPr id="1037" name="AutoShape 3323" descr="alert toggle">
          <a:extLst>
            <a:ext uri="{FF2B5EF4-FFF2-40B4-BE49-F238E27FC236}">
              <a16:creationId xmlns:a16="http://schemas.microsoft.com/office/drawing/2014/main" id="{0EA3131D-0408-AD48-8D09-CFA02FE16FA1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837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28</xdr:col>
      <xdr:colOff>0</xdr:colOff>
      <xdr:row>61</xdr:row>
      <xdr:rowOff>0</xdr:rowOff>
    </xdr:from>
    <xdr:ext cx="304800" cy="279400"/>
    <xdr:sp macro="" textlink="">
      <xdr:nvSpPr>
        <xdr:cNvPr id="1038" name="AutoShape 3326" descr="note-add">
          <a:extLst>
            <a:ext uri="{FF2B5EF4-FFF2-40B4-BE49-F238E27FC236}">
              <a16:creationId xmlns:a16="http://schemas.microsoft.com/office/drawing/2014/main" id="{ED89F836-667A-9A44-86F4-13E7F2A7E847}"/>
            </a:ext>
          </a:extLst>
        </xdr:cNvPr>
        <xdr:cNvSpPr>
          <a:spLocks noChangeAspect="1" noChangeArrowheads="1"/>
        </xdr:cNvSpPr>
      </xdr:nvSpPr>
      <xdr:spPr bwMode="auto">
        <a:xfrm>
          <a:off x="23317200" y="1837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0</xdr:colOff>
      <xdr:row>53</xdr:row>
      <xdr:rowOff>0</xdr:rowOff>
    </xdr:from>
    <xdr:ext cx="304800" cy="279400"/>
    <xdr:sp macro="" textlink="">
      <xdr:nvSpPr>
        <xdr:cNvPr id="1039" name="AutoShape 3334" descr="note-add">
          <a:extLst>
            <a:ext uri="{FF2B5EF4-FFF2-40B4-BE49-F238E27FC236}">
              <a16:creationId xmlns:a16="http://schemas.microsoft.com/office/drawing/2014/main" id="{609E236A-BAF6-E84B-AD97-CB7B1ADBD171}"/>
            </a:ext>
          </a:extLst>
        </xdr:cNvPr>
        <xdr:cNvSpPr>
          <a:spLocks noChangeAspect="1" noChangeArrowheads="1"/>
        </xdr:cNvSpPr>
      </xdr:nvSpPr>
      <xdr:spPr bwMode="auto">
        <a:xfrm>
          <a:off x="24447500" y="1837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29</xdr:col>
      <xdr:colOff>317500</xdr:colOff>
      <xdr:row>53</xdr:row>
      <xdr:rowOff>0</xdr:rowOff>
    </xdr:from>
    <xdr:ext cx="304800" cy="279400"/>
    <xdr:sp macro="" textlink="">
      <xdr:nvSpPr>
        <xdr:cNvPr id="1040" name="AutoShape 3335" descr="alert toggle">
          <a:extLst>
            <a:ext uri="{FF2B5EF4-FFF2-40B4-BE49-F238E27FC236}">
              <a16:creationId xmlns:a16="http://schemas.microsoft.com/office/drawing/2014/main" id="{F647A6E8-C920-1A4B-9493-279CD84B9D93}"/>
            </a:ext>
          </a:extLst>
        </xdr:cNvPr>
        <xdr:cNvSpPr>
          <a:spLocks noChangeAspect="1" noChangeArrowheads="1"/>
        </xdr:cNvSpPr>
      </xdr:nvSpPr>
      <xdr:spPr bwMode="auto">
        <a:xfrm>
          <a:off x="24765000" y="1837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1041" name="AutoShape 1237" descr="note-add">
          <a:extLst>
            <a:ext uri="{FF2B5EF4-FFF2-40B4-BE49-F238E27FC236}">
              <a16:creationId xmlns:a16="http://schemas.microsoft.com/office/drawing/2014/main" id="{4DDFE7D3-28F8-B34C-9E49-69337E3A5B5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63</xdr:row>
      <xdr:rowOff>0</xdr:rowOff>
    </xdr:from>
    <xdr:ext cx="304800" cy="304800"/>
    <xdr:sp macro="" textlink="">
      <xdr:nvSpPr>
        <xdr:cNvPr id="1042" name="AutoShape 1238" descr="alert toggle">
          <a:extLst>
            <a:ext uri="{FF2B5EF4-FFF2-40B4-BE49-F238E27FC236}">
              <a16:creationId xmlns:a16="http://schemas.microsoft.com/office/drawing/2014/main" id="{03FFD99F-89E6-0749-90E2-60028EB02A6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1043" name="AutoShape 1241" descr="note-add">
          <a:extLst>
            <a:ext uri="{FF2B5EF4-FFF2-40B4-BE49-F238E27FC236}">
              <a16:creationId xmlns:a16="http://schemas.microsoft.com/office/drawing/2014/main" id="{5A41FA93-824E-AE4F-8923-B8AF24BAFD9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64</xdr:row>
      <xdr:rowOff>0</xdr:rowOff>
    </xdr:from>
    <xdr:ext cx="304800" cy="304801"/>
    <xdr:sp macro="" textlink="">
      <xdr:nvSpPr>
        <xdr:cNvPr id="1044" name="AutoShape 1242" descr="alert toggle">
          <a:extLst>
            <a:ext uri="{FF2B5EF4-FFF2-40B4-BE49-F238E27FC236}">
              <a16:creationId xmlns:a16="http://schemas.microsoft.com/office/drawing/2014/main" id="{8E2EAF2D-F7D9-EE47-87F8-9AE5E58E382F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1045" name="AutoShape 1245" descr="note-add">
          <a:extLst>
            <a:ext uri="{FF2B5EF4-FFF2-40B4-BE49-F238E27FC236}">
              <a16:creationId xmlns:a16="http://schemas.microsoft.com/office/drawing/2014/main" id="{FBE96DAF-F0A7-3A4C-B8F8-886A8464A13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1046" name="AutoShape 1246" descr="alert toggle">
          <a:extLst>
            <a:ext uri="{FF2B5EF4-FFF2-40B4-BE49-F238E27FC236}">
              <a16:creationId xmlns:a16="http://schemas.microsoft.com/office/drawing/2014/main" id="{9FB07614-F47F-424D-996F-07DCEE1D131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66</xdr:row>
      <xdr:rowOff>0</xdr:rowOff>
    </xdr:from>
    <xdr:ext cx="304800" cy="304801"/>
    <xdr:sp macro="" textlink="">
      <xdr:nvSpPr>
        <xdr:cNvPr id="1047" name="AutoShape 1249" descr="note-add">
          <a:extLst>
            <a:ext uri="{FF2B5EF4-FFF2-40B4-BE49-F238E27FC236}">
              <a16:creationId xmlns:a16="http://schemas.microsoft.com/office/drawing/2014/main" id="{A8F93AB9-42AC-9E4D-933E-371CF2FE98D0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66</xdr:row>
      <xdr:rowOff>0</xdr:rowOff>
    </xdr:from>
    <xdr:ext cx="304800" cy="304801"/>
    <xdr:sp macro="" textlink="">
      <xdr:nvSpPr>
        <xdr:cNvPr id="1048" name="AutoShape 1250" descr="alert toggle">
          <a:extLst>
            <a:ext uri="{FF2B5EF4-FFF2-40B4-BE49-F238E27FC236}">
              <a16:creationId xmlns:a16="http://schemas.microsoft.com/office/drawing/2014/main" id="{B5437440-6DD2-DE43-A700-C090971CA8C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49" name="AutoShape 1253" descr="note-add">
          <a:extLst>
            <a:ext uri="{FF2B5EF4-FFF2-40B4-BE49-F238E27FC236}">
              <a16:creationId xmlns:a16="http://schemas.microsoft.com/office/drawing/2014/main" id="{7DD95AF6-62C8-7046-8AD2-28526A7E582F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50" name="AutoShape 1254" descr="alert toggle">
          <a:extLst>
            <a:ext uri="{FF2B5EF4-FFF2-40B4-BE49-F238E27FC236}">
              <a16:creationId xmlns:a16="http://schemas.microsoft.com/office/drawing/2014/main" id="{7D09FD27-ADCC-DE44-985F-FEEEABA9E834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51" name="AutoShape 1257" descr="note-add">
          <a:extLst>
            <a:ext uri="{FF2B5EF4-FFF2-40B4-BE49-F238E27FC236}">
              <a16:creationId xmlns:a16="http://schemas.microsoft.com/office/drawing/2014/main" id="{5F465709-E6AC-644A-A871-9D902641753F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52" name="AutoShape 1258" descr="alert toggle">
          <a:extLst>
            <a:ext uri="{FF2B5EF4-FFF2-40B4-BE49-F238E27FC236}">
              <a16:creationId xmlns:a16="http://schemas.microsoft.com/office/drawing/2014/main" id="{232E7B9F-83B4-434C-BB04-757EC512F6F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1053" name="AutoShape 1311" descr="note-add">
          <a:extLst>
            <a:ext uri="{FF2B5EF4-FFF2-40B4-BE49-F238E27FC236}">
              <a16:creationId xmlns:a16="http://schemas.microsoft.com/office/drawing/2014/main" id="{1B8966E2-3E03-5846-ACAC-1A946F677FF6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63</xdr:row>
      <xdr:rowOff>0</xdr:rowOff>
    </xdr:from>
    <xdr:ext cx="304800" cy="304800"/>
    <xdr:sp macro="" textlink="">
      <xdr:nvSpPr>
        <xdr:cNvPr id="1054" name="AutoShape 1312" descr="alert toggle">
          <a:extLst>
            <a:ext uri="{FF2B5EF4-FFF2-40B4-BE49-F238E27FC236}">
              <a16:creationId xmlns:a16="http://schemas.microsoft.com/office/drawing/2014/main" id="{2D098D4F-F8C8-5646-BF70-0F4782B2F521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1055" name="AutoShape 1315" descr="note-add">
          <a:extLst>
            <a:ext uri="{FF2B5EF4-FFF2-40B4-BE49-F238E27FC236}">
              <a16:creationId xmlns:a16="http://schemas.microsoft.com/office/drawing/2014/main" id="{30B1CE02-9D4B-B847-AF9F-73C179C2AF2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64</xdr:row>
      <xdr:rowOff>0</xdr:rowOff>
    </xdr:from>
    <xdr:ext cx="304800" cy="304801"/>
    <xdr:sp macro="" textlink="">
      <xdr:nvSpPr>
        <xdr:cNvPr id="1056" name="AutoShape 1316" descr="alert toggle">
          <a:extLst>
            <a:ext uri="{FF2B5EF4-FFF2-40B4-BE49-F238E27FC236}">
              <a16:creationId xmlns:a16="http://schemas.microsoft.com/office/drawing/2014/main" id="{093CF368-D69A-BB49-ACD6-1ED33BFC1F05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1057" name="AutoShape 1319" descr="note-add">
          <a:extLst>
            <a:ext uri="{FF2B5EF4-FFF2-40B4-BE49-F238E27FC236}">
              <a16:creationId xmlns:a16="http://schemas.microsoft.com/office/drawing/2014/main" id="{CD1C2C69-9FB5-9444-BC63-78871E83370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1058" name="AutoShape 1320" descr="alert toggle">
          <a:extLst>
            <a:ext uri="{FF2B5EF4-FFF2-40B4-BE49-F238E27FC236}">
              <a16:creationId xmlns:a16="http://schemas.microsoft.com/office/drawing/2014/main" id="{E5F0F282-C326-8244-ACE4-ED4B3D39316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66</xdr:row>
      <xdr:rowOff>0</xdr:rowOff>
    </xdr:from>
    <xdr:ext cx="304800" cy="304801"/>
    <xdr:sp macro="" textlink="">
      <xdr:nvSpPr>
        <xdr:cNvPr id="1059" name="AutoShape 1323" descr="note-add">
          <a:extLst>
            <a:ext uri="{FF2B5EF4-FFF2-40B4-BE49-F238E27FC236}">
              <a16:creationId xmlns:a16="http://schemas.microsoft.com/office/drawing/2014/main" id="{9CA6E29F-3C45-C342-A754-374283EED8E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66</xdr:row>
      <xdr:rowOff>0</xdr:rowOff>
    </xdr:from>
    <xdr:ext cx="304800" cy="304801"/>
    <xdr:sp macro="" textlink="">
      <xdr:nvSpPr>
        <xdr:cNvPr id="1060" name="AutoShape 1324" descr="alert toggle">
          <a:extLst>
            <a:ext uri="{FF2B5EF4-FFF2-40B4-BE49-F238E27FC236}">
              <a16:creationId xmlns:a16="http://schemas.microsoft.com/office/drawing/2014/main" id="{53AE78E3-350C-A548-81E6-8E230FAA66A1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61" name="AutoShape 1327" descr="note-add">
          <a:extLst>
            <a:ext uri="{FF2B5EF4-FFF2-40B4-BE49-F238E27FC236}">
              <a16:creationId xmlns:a16="http://schemas.microsoft.com/office/drawing/2014/main" id="{697B5915-D044-3F43-8FBC-31672F7E902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62" name="AutoShape 1328" descr="alert toggle">
          <a:extLst>
            <a:ext uri="{FF2B5EF4-FFF2-40B4-BE49-F238E27FC236}">
              <a16:creationId xmlns:a16="http://schemas.microsoft.com/office/drawing/2014/main" id="{06F97656-DC87-2549-BB3B-BE2045712042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63" name="AutoShape 1331" descr="note-add">
          <a:extLst>
            <a:ext uri="{FF2B5EF4-FFF2-40B4-BE49-F238E27FC236}">
              <a16:creationId xmlns:a16="http://schemas.microsoft.com/office/drawing/2014/main" id="{E739C366-89FA-F94F-B6A3-A9CB586D9F16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64" name="AutoShape 1332" descr="alert toggle">
          <a:extLst>
            <a:ext uri="{FF2B5EF4-FFF2-40B4-BE49-F238E27FC236}">
              <a16:creationId xmlns:a16="http://schemas.microsoft.com/office/drawing/2014/main" id="{BAAB88E6-B4A5-664D-9065-2140B2C93BC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1065" name="AutoShape 1757" descr="note-add">
          <a:extLst>
            <a:ext uri="{FF2B5EF4-FFF2-40B4-BE49-F238E27FC236}">
              <a16:creationId xmlns:a16="http://schemas.microsoft.com/office/drawing/2014/main" id="{CA1DB969-D6B0-234F-BF61-7EFA5B265C5F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63</xdr:row>
      <xdr:rowOff>0</xdr:rowOff>
    </xdr:from>
    <xdr:ext cx="304800" cy="304800"/>
    <xdr:sp macro="" textlink="">
      <xdr:nvSpPr>
        <xdr:cNvPr id="1066" name="AutoShape 1758" descr="alert toggle">
          <a:extLst>
            <a:ext uri="{FF2B5EF4-FFF2-40B4-BE49-F238E27FC236}">
              <a16:creationId xmlns:a16="http://schemas.microsoft.com/office/drawing/2014/main" id="{D3608739-4463-DE44-B30D-BF1E05855CAD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1067" name="AutoShape 1761" descr="note-add">
          <a:extLst>
            <a:ext uri="{FF2B5EF4-FFF2-40B4-BE49-F238E27FC236}">
              <a16:creationId xmlns:a16="http://schemas.microsoft.com/office/drawing/2014/main" id="{5200C1B8-70A8-DD47-8A05-5F5862AA90CB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64</xdr:row>
      <xdr:rowOff>0</xdr:rowOff>
    </xdr:from>
    <xdr:ext cx="304800" cy="304801"/>
    <xdr:sp macro="" textlink="">
      <xdr:nvSpPr>
        <xdr:cNvPr id="1068" name="AutoShape 1762" descr="alert toggle">
          <a:extLst>
            <a:ext uri="{FF2B5EF4-FFF2-40B4-BE49-F238E27FC236}">
              <a16:creationId xmlns:a16="http://schemas.microsoft.com/office/drawing/2014/main" id="{A96B5B3F-5722-3047-8A53-A4D562E7AEB9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1069" name="AutoShape 1765" descr="note-add">
          <a:extLst>
            <a:ext uri="{FF2B5EF4-FFF2-40B4-BE49-F238E27FC236}">
              <a16:creationId xmlns:a16="http://schemas.microsoft.com/office/drawing/2014/main" id="{636ADB78-7B06-E248-8E2F-2E61E74226D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1070" name="AutoShape 1766" descr="alert toggle">
          <a:extLst>
            <a:ext uri="{FF2B5EF4-FFF2-40B4-BE49-F238E27FC236}">
              <a16:creationId xmlns:a16="http://schemas.microsoft.com/office/drawing/2014/main" id="{5D4EFC3C-2662-6E48-9A3E-6BD60ED3535E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66</xdr:row>
      <xdr:rowOff>0</xdr:rowOff>
    </xdr:from>
    <xdr:ext cx="304800" cy="304801"/>
    <xdr:sp macro="" textlink="">
      <xdr:nvSpPr>
        <xdr:cNvPr id="1071" name="AutoShape 1769" descr="note-add">
          <a:extLst>
            <a:ext uri="{FF2B5EF4-FFF2-40B4-BE49-F238E27FC236}">
              <a16:creationId xmlns:a16="http://schemas.microsoft.com/office/drawing/2014/main" id="{9CBCC769-CE7E-E94B-B6B1-F763F54338D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66</xdr:row>
      <xdr:rowOff>0</xdr:rowOff>
    </xdr:from>
    <xdr:ext cx="304800" cy="304801"/>
    <xdr:sp macro="" textlink="">
      <xdr:nvSpPr>
        <xdr:cNvPr id="1072" name="AutoShape 1770" descr="alert toggle">
          <a:extLst>
            <a:ext uri="{FF2B5EF4-FFF2-40B4-BE49-F238E27FC236}">
              <a16:creationId xmlns:a16="http://schemas.microsoft.com/office/drawing/2014/main" id="{95890872-7BB8-634C-8823-4345E18299B3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73" name="AutoShape 1773" descr="note-add">
          <a:extLst>
            <a:ext uri="{FF2B5EF4-FFF2-40B4-BE49-F238E27FC236}">
              <a16:creationId xmlns:a16="http://schemas.microsoft.com/office/drawing/2014/main" id="{86D2DFEE-27DD-4B42-B4E6-6B79884638F6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74" name="AutoShape 1774" descr="alert toggle">
          <a:extLst>
            <a:ext uri="{FF2B5EF4-FFF2-40B4-BE49-F238E27FC236}">
              <a16:creationId xmlns:a16="http://schemas.microsoft.com/office/drawing/2014/main" id="{DB01881B-753A-1F41-87D9-55BFFB1E68F1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75" name="AutoShape 1777" descr="note-add">
          <a:extLst>
            <a:ext uri="{FF2B5EF4-FFF2-40B4-BE49-F238E27FC236}">
              <a16:creationId xmlns:a16="http://schemas.microsoft.com/office/drawing/2014/main" id="{A5D9555C-D1B7-BE42-B30F-B53A04B3E2CD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76" name="AutoShape 1778" descr="alert toggle">
          <a:extLst>
            <a:ext uri="{FF2B5EF4-FFF2-40B4-BE49-F238E27FC236}">
              <a16:creationId xmlns:a16="http://schemas.microsoft.com/office/drawing/2014/main" id="{64B5F35E-C659-314F-B6C1-475484AFF9BE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63</xdr:row>
      <xdr:rowOff>0</xdr:rowOff>
    </xdr:from>
    <xdr:ext cx="304800" cy="304800"/>
    <xdr:sp macro="" textlink="">
      <xdr:nvSpPr>
        <xdr:cNvPr id="1077" name="AutoShape 1829" descr="note-add">
          <a:extLst>
            <a:ext uri="{FF2B5EF4-FFF2-40B4-BE49-F238E27FC236}">
              <a16:creationId xmlns:a16="http://schemas.microsoft.com/office/drawing/2014/main" id="{101A2600-6999-0C47-B296-92DB6B81969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64</xdr:row>
      <xdr:rowOff>0</xdr:rowOff>
    </xdr:from>
    <xdr:ext cx="304800" cy="304801"/>
    <xdr:sp macro="" textlink="">
      <xdr:nvSpPr>
        <xdr:cNvPr id="1078" name="AutoShape 1833" descr="note-add">
          <a:extLst>
            <a:ext uri="{FF2B5EF4-FFF2-40B4-BE49-F238E27FC236}">
              <a16:creationId xmlns:a16="http://schemas.microsoft.com/office/drawing/2014/main" id="{90DED442-D58C-A34F-98F9-D3EE972E588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65</xdr:row>
      <xdr:rowOff>0</xdr:rowOff>
    </xdr:from>
    <xdr:ext cx="304800" cy="304800"/>
    <xdr:sp macro="" textlink="">
      <xdr:nvSpPr>
        <xdr:cNvPr id="1079" name="AutoShape 1837" descr="note-add">
          <a:extLst>
            <a:ext uri="{FF2B5EF4-FFF2-40B4-BE49-F238E27FC236}">
              <a16:creationId xmlns:a16="http://schemas.microsoft.com/office/drawing/2014/main" id="{B6B05309-5D89-A248-8B8F-7D9D17A67C70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65</xdr:row>
      <xdr:rowOff>0</xdr:rowOff>
    </xdr:from>
    <xdr:ext cx="304800" cy="304800"/>
    <xdr:sp macro="" textlink="">
      <xdr:nvSpPr>
        <xdr:cNvPr id="1080" name="AutoShape 1838" descr="alert toggle">
          <a:extLst>
            <a:ext uri="{FF2B5EF4-FFF2-40B4-BE49-F238E27FC236}">
              <a16:creationId xmlns:a16="http://schemas.microsoft.com/office/drawing/2014/main" id="{5F035624-AAC4-9340-A0C3-BD6B8F8CBA85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66</xdr:row>
      <xdr:rowOff>0</xdr:rowOff>
    </xdr:from>
    <xdr:ext cx="304800" cy="304801"/>
    <xdr:sp macro="" textlink="">
      <xdr:nvSpPr>
        <xdr:cNvPr id="1081" name="AutoShape 1841" descr="note-add">
          <a:extLst>
            <a:ext uri="{FF2B5EF4-FFF2-40B4-BE49-F238E27FC236}">
              <a16:creationId xmlns:a16="http://schemas.microsoft.com/office/drawing/2014/main" id="{69BE4B7C-E8CE-8440-8320-5156D1E7570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66</xdr:row>
      <xdr:rowOff>0</xdr:rowOff>
    </xdr:from>
    <xdr:ext cx="304800" cy="304801"/>
    <xdr:sp macro="" textlink="">
      <xdr:nvSpPr>
        <xdr:cNvPr id="1082" name="AutoShape 1842" descr="alert toggle">
          <a:extLst>
            <a:ext uri="{FF2B5EF4-FFF2-40B4-BE49-F238E27FC236}">
              <a16:creationId xmlns:a16="http://schemas.microsoft.com/office/drawing/2014/main" id="{57EFB07C-1F1E-7E4A-AC81-0F5AF64494C3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83" name="AutoShape 1845" descr="note-add">
          <a:extLst>
            <a:ext uri="{FF2B5EF4-FFF2-40B4-BE49-F238E27FC236}">
              <a16:creationId xmlns:a16="http://schemas.microsoft.com/office/drawing/2014/main" id="{5F792A30-D94C-3E46-B379-07308665C174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84" name="AutoShape 1846" descr="alert toggle">
          <a:extLst>
            <a:ext uri="{FF2B5EF4-FFF2-40B4-BE49-F238E27FC236}">
              <a16:creationId xmlns:a16="http://schemas.microsoft.com/office/drawing/2014/main" id="{0D955916-EE7C-FF49-BAEF-2BDDFFC600A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67</xdr:row>
      <xdr:rowOff>0</xdr:rowOff>
    </xdr:from>
    <xdr:ext cx="304800" cy="304800"/>
    <xdr:sp macro="" textlink="">
      <xdr:nvSpPr>
        <xdr:cNvPr id="1085" name="AutoShape 1849" descr="note-add">
          <a:extLst>
            <a:ext uri="{FF2B5EF4-FFF2-40B4-BE49-F238E27FC236}">
              <a16:creationId xmlns:a16="http://schemas.microsoft.com/office/drawing/2014/main" id="{34472347-0A7A-7347-9647-30609ECEE1C0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67</xdr:row>
      <xdr:rowOff>0</xdr:rowOff>
    </xdr:from>
    <xdr:ext cx="304800" cy="304800"/>
    <xdr:sp macro="" textlink="">
      <xdr:nvSpPr>
        <xdr:cNvPr id="1086" name="AutoShape 1850" descr="alert toggle">
          <a:extLst>
            <a:ext uri="{FF2B5EF4-FFF2-40B4-BE49-F238E27FC236}">
              <a16:creationId xmlns:a16="http://schemas.microsoft.com/office/drawing/2014/main" id="{7C75D898-3F15-1A46-B3F0-5D7335A26D90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197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72</xdr:row>
      <xdr:rowOff>0</xdr:rowOff>
    </xdr:from>
    <xdr:ext cx="304800" cy="277532"/>
    <xdr:sp macro="" textlink="">
      <xdr:nvSpPr>
        <xdr:cNvPr id="1087" name="AutoShape 1051" descr="note-add">
          <a:extLst>
            <a:ext uri="{FF2B5EF4-FFF2-40B4-BE49-F238E27FC236}">
              <a16:creationId xmlns:a16="http://schemas.microsoft.com/office/drawing/2014/main" id="{80BB9267-951B-4F4A-8B78-D1C45AA4E297}"/>
            </a:ext>
          </a:extLst>
        </xdr:cNvPr>
        <xdr:cNvSpPr>
          <a:spLocks noChangeAspect="1" noChangeArrowheads="1"/>
        </xdr:cNvSpPr>
      </xdr:nvSpPr>
      <xdr:spPr bwMode="auto">
        <a:xfrm>
          <a:off x="15684500" y="206121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317500</xdr:colOff>
      <xdr:row>72</xdr:row>
      <xdr:rowOff>0</xdr:rowOff>
    </xdr:from>
    <xdr:ext cx="304800" cy="277532"/>
    <xdr:sp macro="" textlink="">
      <xdr:nvSpPr>
        <xdr:cNvPr id="1088" name="AutoShape 1052" descr="alert toggle">
          <a:extLst>
            <a:ext uri="{FF2B5EF4-FFF2-40B4-BE49-F238E27FC236}">
              <a16:creationId xmlns:a16="http://schemas.microsoft.com/office/drawing/2014/main" id="{8E9B92FA-0F6B-3A42-992F-0739BFD50CC3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206121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70</xdr:row>
      <xdr:rowOff>0</xdr:rowOff>
    </xdr:from>
    <xdr:ext cx="304800" cy="304800"/>
    <xdr:sp macro="" textlink="">
      <xdr:nvSpPr>
        <xdr:cNvPr id="1089" name="AutoShape 1273" descr="note-add">
          <a:extLst>
            <a:ext uri="{FF2B5EF4-FFF2-40B4-BE49-F238E27FC236}">
              <a16:creationId xmlns:a16="http://schemas.microsoft.com/office/drawing/2014/main" id="{DF10ED54-B7D9-3249-A206-ABDEA479C73B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70</xdr:row>
      <xdr:rowOff>0</xdr:rowOff>
    </xdr:from>
    <xdr:ext cx="304800" cy="304800"/>
    <xdr:sp macro="" textlink="">
      <xdr:nvSpPr>
        <xdr:cNvPr id="1090" name="AutoShape 1274" descr="alert toggle">
          <a:extLst>
            <a:ext uri="{FF2B5EF4-FFF2-40B4-BE49-F238E27FC236}">
              <a16:creationId xmlns:a16="http://schemas.microsoft.com/office/drawing/2014/main" id="{C2EE6DDD-CB49-5247-B763-A7A927877C70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70</xdr:row>
      <xdr:rowOff>0</xdr:rowOff>
    </xdr:from>
    <xdr:ext cx="304800" cy="304800"/>
    <xdr:sp macro="" textlink="">
      <xdr:nvSpPr>
        <xdr:cNvPr id="1091" name="AutoShape 1347" descr="note-add">
          <a:extLst>
            <a:ext uri="{FF2B5EF4-FFF2-40B4-BE49-F238E27FC236}">
              <a16:creationId xmlns:a16="http://schemas.microsoft.com/office/drawing/2014/main" id="{FC003950-7D18-8C4C-A1B6-BF254EDFA815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70</xdr:row>
      <xdr:rowOff>0</xdr:rowOff>
    </xdr:from>
    <xdr:ext cx="304800" cy="304800"/>
    <xdr:sp macro="" textlink="">
      <xdr:nvSpPr>
        <xdr:cNvPr id="1092" name="AutoShape 1348" descr="alert toggle">
          <a:extLst>
            <a:ext uri="{FF2B5EF4-FFF2-40B4-BE49-F238E27FC236}">
              <a16:creationId xmlns:a16="http://schemas.microsoft.com/office/drawing/2014/main" id="{9742772C-7FE7-2941-AF84-6F19BE2C4FEC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70</xdr:row>
      <xdr:rowOff>0</xdr:rowOff>
    </xdr:from>
    <xdr:ext cx="304800" cy="304800"/>
    <xdr:sp macro="" textlink="">
      <xdr:nvSpPr>
        <xdr:cNvPr id="1093" name="AutoShape 1793" descr="note-add">
          <a:extLst>
            <a:ext uri="{FF2B5EF4-FFF2-40B4-BE49-F238E27FC236}">
              <a16:creationId xmlns:a16="http://schemas.microsoft.com/office/drawing/2014/main" id="{497A41B8-C316-B841-A46D-3FFFDC071BBD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70</xdr:row>
      <xdr:rowOff>0</xdr:rowOff>
    </xdr:from>
    <xdr:ext cx="304800" cy="304800"/>
    <xdr:sp macro="" textlink="">
      <xdr:nvSpPr>
        <xdr:cNvPr id="1094" name="AutoShape 1794" descr="alert toggle">
          <a:extLst>
            <a:ext uri="{FF2B5EF4-FFF2-40B4-BE49-F238E27FC236}">
              <a16:creationId xmlns:a16="http://schemas.microsoft.com/office/drawing/2014/main" id="{06BF3734-AE59-9A47-BE0A-A3D9AB910F4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70</xdr:row>
      <xdr:rowOff>0</xdr:rowOff>
    </xdr:from>
    <xdr:ext cx="304800" cy="304800"/>
    <xdr:sp macro="" textlink="">
      <xdr:nvSpPr>
        <xdr:cNvPr id="1095" name="AutoShape 1865" descr="note-add">
          <a:extLst>
            <a:ext uri="{FF2B5EF4-FFF2-40B4-BE49-F238E27FC236}">
              <a16:creationId xmlns:a16="http://schemas.microsoft.com/office/drawing/2014/main" id="{D79DDE7C-2A56-CB43-9908-52BCB2B9F4B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70</xdr:row>
      <xdr:rowOff>0</xdr:rowOff>
    </xdr:from>
    <xdr:ext cx="304800" cy="304800"/>
    <xdr:sp macro="" textlink="">
      <xdr:nvSpPr>
        <xdr:cNvPr id="1096" name="AutoShape 1866" descr="alert toggle">
          <a:extLst>
            <a:ext uri="{FF2B5EF4-FFF2-40B4-BE49-F238E27FC236}">
              <a16:creationId xmlns:a16="http://schemas.microsoft.com/office/drawing/2014/main" id="{DA69DE3B-1439-8A44-A9D2-7470E24B2B67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70</xdr:row>
      <xdr:rowOff>0</xdr:rowOff>
    </xdr:from>
    <xdr:ext cx="304800" cy="304800"/>
    <xdr:sp macro="" textlink="">
      <xdr:nvSpPr>
        <xdr:cNvPr id="1097" name="AutoShape 1869" descr="note-add">
          <a:extLst>
            <a:ext uri="{FF2B5EF4-FFF2-40B4-BE49-F238E27FC236}">
              <a16:creationId xmlns:a16="http://schemas.microsoft.com/office/drawing/2014/main" id="{D5D9A349-A6CC-0B4D-82D5-D23AA1DE5CAE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8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69</xdr:row>
      <xdr:rowOff>0</xdr:rowOff>
    </xdr:from>
    <xdr:ext cx="304800" cy="304801"/>
    <xdr:sp macro="" textlink="">
      <xdr:nvSpPr>
        <xdr:cNvPr id="1098" name="AutoShape 4473" descr="note-add">
          <a:extLst>
            <a:ext uri="{FF2B5EF4-FFF2-40B4-BE49-F238E27FC236}">
              <a16:creationId xmlns:a16="http://schemas.microsoft.com/office/drawing/2014/main" id="{CFDF48AC-8F75-B046-A3A7-5DF3A56C4363}"/>
            </a:ext>
          </a:extLst>
        </xdr:cNvPr>
        <xdr:cNvSpPr>
          <a:spLocks noChangeAspect="1" noChangeArrowheads="1"/>
        </xdr:cNvSpPr>
      </xdr:nvSpPr>
      <xdr:spPr bwMode="auto">
        <a:xfrm>
          <a:off x="15684500" y="20891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317500</xdr:colOff>
      <xdr:row>69</xdr:row>
      <xdr:rowOff>0</xdr:rowOff>
    </xdr:from>
    <xdr:ext cx="304800" cy="304801"/>
    <xdr:sp macro="" textlink="">
      <xdr:nvSpPr>
        <xdr:cNvPr id="1099" name="AutoShape 4474" descr="alert toggle">
          <a:extLst>
            <a:ext uri="{FF2B5EF4-FFF2-40B4-BE49-F238E27FC236}">
              <a16:creationId xmlns:a16="http://schemas.microsoft.com/office/drawing/2014/main" id="{72073DE6-0C67-2040-AC3E-7BC5F21A11DD}"/>
            </a:ext>
          </a:extLst>
        </xdr:cNvPr>
        <xdr:cNvSpPr>
          <a:spLocks noChangeAspect="1" noChangeArrowheads="1"/>
        </xdr:cNvSpPr>
      </xdr:nvSpPr>
      <xdr:spPr bwMode="auto">
        <a:xfrm>
          <a:off x="16002000" y="20891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69</xdr:row>
      <xdr:rowOff>0</xdr:rowOff>
    </xdr:from>
    <xdr:ext cx="304800" cy="277534"/>
    <xdr:sp macro="" textlink="">
      <xdr:nvSpPr>
        <xdr:cNvPr id="1100" name="AutoShape 4405" descr="note-add">
          <a:extLst>
            <a:ext uri="{FF2B5EF4-FFF2-40B4-BE49-F238E27FC236}">
              <a16:creationId xmlns:a16="http://schemas.microsoft.com/office/drawing/2014/main" id="{31738109-2A90-CC46-8B94-AC1D830C78DA}"/>
            </a:ext>
          </a:extLst>
        </xdr:cNvPr>
        <xdr:cNvSpPr>
          <a:spLocks noChangeAspect="1" noChangeArrowheads="1"/>
        </xdr:cNvSpPr>
      </xdr:nvSpPr>
      <xdr:spPr bwMode="auto">
        <a:xfrm>
          <a:off x="26162000" y="208915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317500</xdr:colOff>
      <xdr:row>69</xdr:row>
      <xdr:rowOff>0</xdr:rowOff>
    </xdr:from>
    <xdr:ext cx="304800" cy="277534"/>
    <xdr:sp macro="" textlink="">
      <xdr:nvSpPr>
        <xdr:cNvPr id="1101" name="AutoShape 4406" descr="alert toggle">
          <a:extLst>
            <a:ext uri="{FF2B5EF4-FFF2-40B4-BE49-F238E27FC236}">
              <a16:creationId xmlns:a16="http://schemas.microsoft.com/office/drawing/2014/main" id="{9F34BB6A-2F5B-534E-A5C0-CF63D1B958E2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08915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69</xdr:row>
      <xdr:rowOff>0</xdr:rowOff>
    </xdr:from>
    <xdr:ext cx="304800" cy="277534"/>
    <xdr:sp macro="" textlink="">
      <xdr:nvSpPr>
        <xdr:cNvPr id="1102" name="AutoShape 4405" descr="note-add">
          <a:extLst>
            <a:ext uri="{FF2B5EF4-FFF2-40B4-BE49-F238E27FC236}">
              <a16:creationId xmlns:a16="http://schemas.microsoft.com/office/drawing/2014/main" id="{9772AFEA-8DA7-2C46-A4BB-332F48876D53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8915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69</xdr:row>
      <xdr:rowOff>0</xdr:rowOff>
    </xdr:from>
    <xdr:ext cx="304800" cy="277534"/>
    <xdr:sp macro="" textlink="">
      <xdr:nvSpPr>
        <xdr:cNvPr id="1103" name="AutoShape 4406" descr="alert toggle">
          <a:extLst>
            <a:ext uri="{FF2B5EF4-FFF2-40B4-BE49-F238E27FC236}">
              <a16:creationId xmlns:a16="http://schemas.microsoft.com/office/drawing/2014/main" id="{D1C10DEE-234B-1844-B2CD-4308E832ECDD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8915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69</xdr:row>
      <xdr:rowOff>0</xdr:rowOff>
    </xdr:from>
    <xdr:ext cx="304800" cy="277534"/>
    <xdr:sp macro="" textlink="">
      <xdr:nvSpPr>
        <xdr:cNvPr id="1104" name="AutoShape 4405" descr="note-add">
          <a:extLst>
            <a:ext uri="{FF2B5EF4-FFF2-40B4-BE49-F238E27FC236}">
              <a16:creationId xmlns:a16="http://schemas.microsoft.com/office/drawing/2014/main" id="{C254518A-EFD1-0244-A1A0-009D72BB5F05}"/>
            </a:ext>
          </a:extLst>
        </xdr:cNvPr>
        <xdr:cNvSpPr>
          <a:spLocks noChangeAspect="1" noChangeArrowheads="1"/>
        </xdr:cNvSpPr>
      </xdr:nvSpPr>
      <xdr:spPr bwMode="auto">
        <a:xfrm>
          <a:off x="18237200" y="208915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317500</xdr:colOff>
      <xdr:row>69</xdr:row>
      <xdr:rowOff>0</xdr:rowOff>
    </xdr:from>
    <xdr:ext cx="304800" cy="277534"/>
    <xdr:sp macro="" textlink="">
      <xdr:nvSpPr>
        <xdr:cNvPr id="1105" name="AutoShape 4406" descr="alert toggle">
          <a:extLst>
            <a:ext uri="{FF2B5EF4-FFF2-40B4-BE49-F238E27FC236}">
              <a16:creationId xmlns:a16="http://schemas.microsoft.com/office/drawing/2014/main" id="{519EB6F3-0684-1D44-AABC-9070F6BF1DB1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208915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78</xdr:row>
      <xdr:rowOff>0</xdr:rowOff>
    </xdr:from>
    <xdr:ext cx="304800" cy="279400"/>
    <xdr:sp macro="" textlink="">
      <xdr:nvSpPr>
        <xdr:cNvPr id="1106" name="AutoShape 2509" descr="note-add">
          <a:extLst>
            <a:ext uri="{FF2B5EF4-FFF2-40B4-BE49-F238E27FC236}">
              <a16:creationId xmlns:a16="http://schemas.microsoft.com/office/drawing/2014/main" id="{08603414-8385-B54F-828A-EAB6A9FA19B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284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78</xdr:row>
      <xdr:rowOff>0</xdr:rowOff>
    </xdr:from>
    <xdr:ext cx="304800" cy="279400"/>
    <xdr:sp macro="" textlink="">
      <xdr:nvSpPr>
        <xdr:cNvPr id="1107" name="AutoShape 2510" descr="alert toggle">
          <a:extLst>
            <a:ext uri="{FF2B5EF4-FFF2-40B4-BE49-F238E27FC236}">
              <a16:creationId xmlns:a16="http://schemas.microsoft.com/office/drawing/2014/main" id="{12303F12-F143-FF4F-94B7-FEB85ACBF524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284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80</xdr:row>
      <xdr:rowOff>0</xdr:rowOff>
    </xdr:from>
    <xdr:ext cx="304800" cy="279400"/>
    <xdr:sp macro="" textlink="">
      <xdr:nvSpPr>
        <xdr:cNvPr id="1108" name="AutoShape 2513" descr="note-add">
          <a:extLst>
            <a:ext uri="{FF2B5EF4-FFF2-40B4-BE49-F238E27FC236}">
              <a16:creationId xmlns:a16="http://schemas.microsoft.com/office/drawing/2014/main" id="{3C3ABB73-E467-7646-ACBC-10DB7952775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284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80</xdr:row>
      <xdr:rowOff>0</xdr:rowOff>
    </xdr:from>
    <xdr:ext cx="304800" cy="279400"/>
    <xdr:sp macro="" textlink="">
      <xdr:nvSpPr>
        <xdr:cNvPr id="1109" name="AutoShape 2514" descr="alert toggle">
          <a:extLst>
            <a:ext uri="{FF2B5EF4-FFF2-40B4-BE49-F238E27FC236}">
              <a16:creationId xmlns:a16="http://schemas.microsoft.com/office/drawing/2014/main" id="{95DAC545-EAB0-AD4D-8AF4-7381D81170F8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284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83</xdr:row>
      <xdr:rowOff>0</xdr:rowOff>
    </xdr:from>
    <xdr:ext cx="304800" cy="279400"/>
    <xdr:sp macro="" textlink="">
      <xdr:nvSpPr>
        <xdr:cNvPr id="1110" name="AutoShape 2517" descr="note-add">
          <a:extLst>
            <a:ext uri="{FF2B5EF4-FFF2-40B4-BE49-F238E27FC236}">
              <a16:creationId xmlns:a16="http://schemas.microsoft.com/office/drawing/2014/main" id="{25EAF4F4-0443-0444-95E7-B0F676883A82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685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83</xdr:row>
      <xdr:rowOff>0</xdr:rowOff>
    </xdr:from>
    <xdr:ext cx="304800" cy="279400"/>
    <xdr:sp macro="" textlink="">
      <xdr:nvSpPr>
        <xdr:cNvPr id="1111" name="AutoShape 2518" descr="alert toggle">
          <a:extLst>
            <a:ext uri="{FF2B5EF4-FFF2-40B4-BE49-F238E27FC236}">
              <a16:creationId xmlns:a16="http://schemas.microsoft.com/office/drawing/2014/main" id="{84B9642C-056D-2F4B-BFF3-80AE1D95F4A0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685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75</xdr:row>
      <xdr:rowOff>0</xdr:rowOff>
    </xdr:from>
    <xdr:ext cx="304800" cy="279400"/>
    <xdr:sp macro="" textlink="">
      <xdr:nvSpPr>
        <xdr:cNvPr id="1112" name="AutoShape 2521" descr="note-add">
          <a:extLst>
            <a:ext uri="{FF2B5EF4-FFF2-40B4-BE49-F238E27FC236}">
              <a16:creationId xmlns:a16="http://schemas.microsoft.com/office/drawing/2014/main" id="{339CC6C9-D030-8A4A-9031-5C945EE5059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75</xdr:row>
      <xdr:rowOff>0</xdr:rowOff>
    </xdr:from>
    <xdr:ext cx="304800" cy="279400"/>
    <xdr:sp macro="" textlink="">
      <xdr:nvSpPr>
        <xdr:cNvPr id="1113" name="AutoShape 2522" descr="alert toggle">
          <a:extLst>
            <a:ext uri="{FF2B5EF4-FFF2-40B4-BE49-F238E27FC236}">
              <a16:creationId xmlns:a16="http://schemas.microsoft.com/office/drawing/2014/main" id="{B3144063-F445-E840-9263-F4E648F122B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76</xdr:row>
      <xdr:rowOff>0</xdr:rowOff>
    </xdr:from>
    <xdr:ext cx="304800" cy="279400"/>
    <xdr:sp macro="" textlink="">
      <xdr:nvSpPr>
        <xdr:cNvPr id="1114" name="AutoShape 2525" descr="note-add">
          <a:extLst>
            <a:ext uri="{FF2B5EF4-FFF2-40B4-BE49-F238E27FC236}">
              <a16:creationId xmlns:a16="http://schemas.microsoft.com/office/drawing/2014/main" id="{41B57CCC-EB71-E54A-AD51-C4293FC666F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76</xdr:row>
      <xdr:rowOff>0</xdr:rowOff>
    </xdr:from>
    <xdr:ext cx="304800" cy="279400"/>
    <xdr:sp macro="" textlink="">
      <xdr:nvSpPr>
        <xdr:cNvPr id="1115" name="AutoShape 2526" descr="alert toggle">
          <a:extLst>
            <a:ext uri="{FF2B5EF4-FFF2-40B4-BE49-F238E27FC236}">
              <a16:creationId xmlns:a16="http://schemas.microsoft.com/office/drawing/2014/main" id="{83B973B6-7CAF-7241-854F-D3ECED65ADEC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77</xdr:row>
      <xdr:rowOff>0</xdr:rowOff>
    </xdr:from>
    <xdr:ext cx="304800" cy="279400"/>
    <xdr:sp macro="" textlink="">
      <xdr:nvSpPr>
        <xdr:cNvPr id="1116" name="AutoShape 2529" descr="note-add">
          <a:extLst>
            <a:ext uri="{FF2B5EF4-FFF2-40B4-BE49-F238E27FC236}">
              <a16:creationId xmlns:a16="http://schemas.microsoft.com/office/drawing/2014/main" id="{CF09EA6D-A474-C64D-8042-AC97737CB096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77</xdr:row>
      <xdr:rowOff>0</xdr:rowOff>
    </xdr:from>
    <xdr:ext cx="304800" cy="279400"/>
    <xdr:sp macro="" textlink="">
      <xdr:nvSpPr>
        <xdr:cNvPr id="1117" name="AutoShape 2530" descr="alert toggle">
          <a:extLst>
            <a:ext uri="{FF2B5EF4-FFF2-40B4-BE49-F238E27FC236}">
              <a16:creationId xmlns:a16="http://schemas.microsoft.com/office/drawing/2014/main" id="{D72DD125-1BD0-F340-920E-FDEB0D45E5B7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78</xdr:row>
      <xdr:rowOff>0</xdr:rowOff>
    </xdr:from>
    <xdr:ext cx="304800" cy="279400"/>
    <xdr:sp macro="" textlink="">
      <xdr:nvSpPr>
        <xdr:cNvPr id="1118" name="AutoShape 2533" descr="note-add">
          <a:extLst>
            <a:ext uri="{FF2B5EF4-FFF2-40B4-BE49-F238E27FC236}">
              <a16:creationId xmlns:a16="http://schemas.microsoft.com/office/drawing/2014/main" id="{4D246738-DF3A-3941-A1DA-A1EE3B97D2C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78</xdr:row>
      <xdr:rowOff>0</xdr:rowOff>
    </xdr:from>
    <xdr:ext cx="304800" cy="279400"/>
    <xdr:sp macro="" textlink="">
      <xdr:nvSpPr>
        <xdr:cNvPr id="1119" name="AutoShape 2534" descr="alert toggle">
          <a:extLst>
            <a:ext uri="{FF2B5EF4-FFF2-40B4-BE49-F238E27FC236}">
              <a16:creationId xmlns:a16="http://schemas.microsoft.com/office/drawing/2014/main" id="{7468014C-F6F7-8348-A2DF-D42DFA5BFD58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79</xdr:row>
      <xdr:rowOff>0</xdr:rowOff>
    </xdr:from>
    <xdr:ext cx="304800" cy="279400"/>
    <xdr:sp macro="" textlink="">
      <xdr:nvSpPr>
        <xdr:cNvPr id="1120" name="AutoShape 2537" descr="note-add">
          <a:extLst>
            <a:ext uri="{FF2B5EF4-FFF2-40B4-BE49-F238E27FC236}">
              <a16:creationId xmlns:a16="http://schemas.microsoft.com/office/drawing/2014/main" id="{1A6D4DC0-A6D4-0D42-A20D-5DEA2C40BB5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79</xdr:row>
      <xdr:rowOff>0</xdr:rowOff>
    </xdr:from>
    <xdr:ext cx="304800" cy="279400"/>
    <xdr:sp macro="" textlink="">
      <xdr:nvSpPr>
        <xdr:cNvPr id="1121" name="AutoShape 2538" descr="alert toggle">
          <a:extLst>
            <a:ext uri="{FF2B5EF4-FFF2-40B4-BE49-F238E27FC236}">
              <a16:creationId xmlns:a16="http://schemas.microsoft.com/office/drawing/2014/main" id="{6AEA9F30-B893-BB47-800E-ED8A8CC7B0E1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80</xdr:row>
      <xdr:rowOff>0</xdr:rowOff>
    </xdr:from>
    <xdr:ext cx="304800" cy="279400"/>
    <xdr:sp macro="" textlink="">
      <xdr:nvSpPr>
        <xdr:cNvPr id="1122" name="AutoShape 2541" descr="note-add">
          <a:extLst>
            <a:ext uri="{FF2B5EF4-FFF2-40B4-BE49-F238E27FC236}">
              <a16:creationId xmlns:a16="http://schemas.microsoft.com/office/drawing/2014/main" id="{A7523291-11BD-9D4D-9F51-2FA23BF63D5D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80</xdr:row>
      <xdr:rowOff>0</xdr:rowOff>
    </xdr:from>
    <xdr:ext cx="304800" cy="279400"/>
    <xdr:sp macro="" textlink="">
      <xdr:nvSpPr>
        <xdr:cNvPr id="1123" name="AutoShape 2542" descr="alert toggle">
          <a:extLst>
            <a:ext uri="{FF2B5EF4-FFF2-40B4-BE49-F238E27FC236}">
              <a16:creationId xmlns:a16="http://schemas.microsoft.com/office/drawing/2014/main" id="{9C2AAF70-955D-DF41-B671-B14DC02D621F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80</xdr:row>
      <xdr:rowOff>0</xdr:rowOff>
    </xdr:from>
    <xdr:ext cx="304800" cy="279400"/>
    <xdr:sp macro="" textlink="">
      <xdr:nvSpPr>
        <xdr:cNvPr id="1124" name="AutoShape 2545" descr="note-add">
          <a:extLst>
            <a:ext uri="{FF2B5EF4-FFF2-40B4-BE49-F238E27FC236}">
              <a16:creationId xmlns:a16="http://schemas.microsoft.com/office/drawing/2014/main" id="{93219C65-7732-FE48-B8FB-C9B44996280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80</xdr:row>
      <xdr:rowOff>0</xdr:rowOff>
    </xdr:from>
    <xdr:ext cx="304800" cy="279400"/>
    <xdr:sp macro="" textlink="">
      <xdr:nvSpPr>
        <xdr:cNvPr id="1125" name="AutoShape 2546" descr="alert toggle">
          <a:extLst>
            <a:ext uri="{FF2B5EF4-FFF2-40B4-BE49-F238E27FC236}">
              <a16:creationId xmlns:a16="http://schemas.microsoft.com/office/drawing/2014/main" id="{E8384571-57C0-F348-B245-D7A12F387399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81</xdr:row>
      <xdr:rowOff>0</xdr:rowOff>
    </xdr:from>
    <xdr:ext cx="304800" cy="279400"/>
    <xdr:sp macro="" textlink="">
      <xdr:nvSpPr>
        <xdr:cNvPr id="1126" name="AutoShape 2549" descr="note-add">
          <a:extLst>
            <a:ext uri="{FF2B5EF4-FFF2-40B4-BE49-F238E27FC236}">
              <a16:creationId xmlns:a16="http://schemas.microsoft.com/office/drawing/2014/main" id="{90FB24B8-41E1-884D-B992-C73FAC24C413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81</xdr:row>
      <xdr:rowOff>0</xdr:rowOff>
    </xdr:from>
    <xdr:ext cx="304800" cy="279400"/>
    <xdr:sp macro="" textlink="">
      <xdr:nvSpPr>
        <xdr:cNvPr id="1127" name="AutoShape 2550" descr="alert toggle">
          <a:extLst>
            <a:ext uri="{FF2B5EF4-FFF2-40B4-BE49-F238E27FC236}">
              <a16:creationId xmlns:a16="http://schemas.microsoft.com/office/drawing/2014/main" id="{143C5418-97B9-B840-B735-D6F24BD8209A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82</xdr:row>
      <xdr:rowOff>0</xdr:rowOff>
    </xdr:from>
    <xdr:ext cx="304800" cy="279400"/>
    <xdr:sp macro="" textlink="">
      <xdr:nvSpPr>
        <xdr:cNvPr id="1128" name="AutoShape 2553" descr="note-add">
          <a:extLst>
            <a:ext uri="{FF2B5EF4-FFF2-40B4-BE49-F238E27FC236}">
              <a16:creationId xmlns:a16="http://schemas.microsoft.com/office/drawing/2014/main" id="{D77D9829-1310-A449-9894-74D88FCC4BF8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82</xdr:row>
      <xdr:rowOff>0</xdr:rowOff>
    </xdr:from>
    <xdr:ext cx="304800" cy="279400"/>
    <xdr:sp macro="" textlink="">
      <xdr:nvSpPr>
        <xdr:cNvPr id="1129" name="AutoShape 2554" descr="alert toggle">
          <a:extLst>
            <a:ext uri="{FF2B5EF4-FFF2-40B4-BE49-F238E27FC236}">
              <a16:creationId xmlns:a16="http://schemas.microsoft.com/office/drawing/2014/main" id="{60A10096-A3F4-C44C-BA3D-9186A4357555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83</xdr:row>
      <xdr:rowOff>0</xdr:rowOff>
    </xdr:from>
    <xdr:ext cx="304800" cy="279400"/>
    <xdr:sp macro="" textlink="">
      <xdr:nvSpPr>
        <xdr:cNvPr id="1130" name="AutoShape 2557" descr="note-add">
          <a:extLst>
            <a:ext uri="{FF2B5EF4-FFF2-40B4-BE49-F238E27FC236}">
              <a16:creationId xmlns:a16="http://schemas.microsoft.com/office/drawing/2014/main" id="{69E5E1FA-1C00-A643-B954-30913DB10027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83</xdr:row>
      <xdr:rowOff>0</xdr:rowOff>
    </xdr:from>
    <xdr:ext cx="304800" cy="279400"/>
    <xdr:sp macro="" textlink="">
      <xdr:nvSpPr>
        <xdr:cNvPr id="1131" name="AutoShape 2558" descr="alert toggle">
          <a:extLst>
            <a:ext uri="{FF2B5EF4-FFF2-40B4-BE49-F238E27FC236}">
              <a16:creationId xmlns:a16="http://schemas.microsoft.com/office/drawing/2014/main" id="{3C28F87C-119C-6244-A7A7-07509ADC5F6B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396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75</xdr:row>
      <xdr:rowOff>0</xdr:rowOff>
    </xdr:from>
    <xdr:ext cx="304800" cy="292101"/>
    <xdr:sp macro="" textlink="">
      <xdr:nvSpPr>
        <xdr:cNvPr id="1132" name="AutoShape 2561" descr="note-add">
          <a:extLst>
            <a:ext uri="{FF2B5EF4-FFF2-40B4-BE49-F238E27FC236}">
              <a16:creationId xmlns:a16="http://schemas.microsoft.com/office/drawing/2014/main" id="{FF6E438A-1263-6147-AF54-01E462310E0F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42443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75</xdr:row>
      <xdr:rowOff>0</xdr:rowOff>
    </xdr:from>
    <xdr:ext cx="304800" cy="292101"/>
    <xdr:sp macro="" textlink="">
      <xdr:nvSpPr>
        <xdr:cNvPr id="1133" name="AutoShape 2562" descr="alert toggle">
          <a:extLst>
            <a:ext uri="{FF2B5EF4-FFF2-40B4-BE49-F238E27FC236}">
              <a16:creationId xmlns:a16="http://schemas.microsoft.com/office/drawing/2014/main" id="{C8D5EF2D-2370-8A47-BA15-BAB954B53346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42443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76</xdr:row>
      <xdr:rowOff>0</xdr:rowOff>
    </xdr:from>
    <xdr:ext cx="304800" cy="292101"/>
    <xdr:sp macro="" textlink="">
      <xdr:nvSpPr>
        <xdr:cNvPr id="1134" name="AutoShape 2565" descr="note-add">
          <a:extLst>
            <a:ext uri="{FF2B5EF4-FFF2-40B4-BE49-F238E27FC236}">
              <a16:creationId xmlns:a16="http://schemas.microsoft.com/office/drawing/2014/main" id="{FF6E03EF-5A91-6D4C-8304-A2B9A55DA8EA}"/>
            </a:ext>
          </a:extLst>
        </xdr:cNvPr>
        <xdr:cNvSpPr>
          <a:spLocks noChangeAspect="1" noChangeArrowheads="1"/>
        </xdr:cNvSpPr>
      </xdr:nvSpPr>
      <xdr:spPr bwMode="auto">
        <a:xfrm>
          <a:off x="20447000" y="242443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317500</xdr:colOff>
      <xdr:row>76</xdr:row>
      <xdr:rowOff>0</xdr:rowOff>
    </xdr:from>
    <xdr:ext cx="304800" cy="292101"/>
    <xdr:sp macro="" textlink="">
      <xdr:nvSpPr>
        <xdr:cNvPr id="1135" name="AutoShape 2566" descr="alert toggle">
          <a:extLst>
            <a:ext uri="{FF2B5EF4-FFF2-40B4-BE49-F238E27FC236}">
              <a16:creationId xmlns:a16="http://schemas.microsoft.com/office/drawing/2014/main" id="{D79348B1-21A1-F74A-B04C-15ABBA4699A5}"/>
            </a:ext>
          </a:extLst>
        </xdr:cNvPr>
        <xdr:cNvSpPr>
          <a:spLocks noChangeAspect="1" noChangeArrowheads="1"/>
        </xdr:cNvSpPr>
      </xdr:nvSpPr>
      <xdr:spPr bwMode="auto">
        <a:xfrm>
          <a:off x="20764500" y="242443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84</xdr:row>
      <xdr:rowOff>0</xdr:rowOff>
    </xdr:from>
    <xdr:ext cx="304800" cy="279400"/>
    <xdr:sp macro="" textlink="">
      <xdr:nvSpPr>
        <xdr:cNvPr id="1136" name="AutoShape 3986" descr="note-add">
          <a:extLst>
            <a:ext uri="{FF2B5EF4-FFF2-40B4-BE49-F238E27FC236}">
              <a16:creationId xmlns:a16="http://schemas.microsoft.com/office/drawing/2014/main" id="{902D74A3-B324-484E-B97E-585EFA18F56F}"/>
            </a:ext>
          </a:extLst>
        </xdr:cNvPr>
        <xdr:cNvSpPr>
          <a:spLocks noChangeAspect="1" noChangeArrowheads="1"/>
        </xdr:cNvSpPr>
      </xdr:nvSpPr>
      <xdr:spPr bwMode="auto">
        <a:xfrm>
          <a:off x="26162000" y="24803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317500</xdr:colOff>
      <xdr:row>84</xdr:row>
      <xdr:rowOff>0</xdr:rowOff>
    </xdr:from>
    <xdr:ext cx="304800" cy="279400"/>
    <xdr:sp macro="" textlink="">
      <xdr:nvSpPr>
        <xdr:cNvPr id="1137" name="AutoShape 3987" descr="alert toggle">
          <a:extLst>
            <a:ext uri="{FF2B5EF4-FFF2-40B4-BE49-F238E27FC236}">
              <a16:creationId xmlns:a16="http://schemas.microsoft.com/office/drawing/2014/main" id="{80561F61-33DE-8746-BAC0-60AE2659C974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4803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246</xdr:row>
      <xdr:rowOff>0</xdr:rowOff>
    </xdr:from>
    <xdr:ext cx="304800" cy="304800"/>
    <xdr:sp macro="" textlink="">
      <xdr:nvSpPr>
        <xdr:cNvPr id="2" name="AutoShape 38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2F2C0-6928-4646-BCEC-B4D30345DE94}"/>
            </a:ext>
          </a:extLst>
        </xdr:cNvPr>
        <xdr:cNvSpPr>
          <a:spLocks noChangeAspect="1" noChangeArrowheads="1"/>
        </xdr:cNvSpPr>
      </xdr:nvSpPr>
      <xdr:spPr bwMode="auto">
        <a:xfrm>
          <a:off x="33477200" y="524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221</xdr:row>
      <xdr:rowOff>0</xdr:rowOff>
    </xdr:from>
    <xdr:ext cx="304800" cy="304800"/>
    <xdr:sp macro="" textlink="">
      <xdr:nvSpPr>
        <xdr:cNvPr id="3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596E5-0F10-5240-98EC-BA2393293B99}"/>
            </a:ext>
          </a:extLst>
        </xdr:cNvPr>
        <xdr:cNvSpPr>
          <a:spLocks noChangeAspect="1" noChangeArrowheads="1"/>
        </xdr:cNvSpPr>
      </xdr:nvSpPr>
      <xdr:spPr bwMode="auto">
        <a:xfrm>
          <a:off x="33477200" y="471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221</xdr:row>
      <xdr:rowOff>0</xdr:rowOff>
    </xdr:from>
    <xdr:ext cx="304800" cy="313267"/>
    <xdr:sp macro="" textlink="">
      <xdr:nvSpPr>
        <xdr:cNvPr id="4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648400-34B0-474C-9A18-977D8C392156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7155100"/>
          <a:ext cx="304800" cy="31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191</xdr:row>
      <xdr:rowOff>0</xdr:rowOff>
    </xdr:from>
    <xdr:ext cx="304800" cy="304800"/>
    <xdr:sp macro="" textlink="">
      <xdr:nvSpPr>
        <xdr:cNvPr id="5" name="AutoShape 778" descr="note-add">
          <a:extLst>
            <a:ext uri="{FF2B5EF4-FFF2-40B4-BE49-F238E27FC236}">
              <a16:creationId xmlns:a16="http://schemas.microsoft.com/office/drawing/2014/main" id="{FEEF8B53-746C-5B40-A7AE-6F58D2E506D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191</xdr:row>
      <xdr:rowOff>0</xdr:rowOff>
    </xdr:from>
    <xdr:ext cx="304800" cy="304800"/>
    <xdr:sp macro="" textlink="">
      <xdr:nvSpPr>
        <xdr:cNvPr id="6" name="AutoShape 779" descr="alert toggle">
          <a:extLst>
            <a:ext uri="{FF2B5EF4-FFF2-40B4-BE49-F238E27FC236}">
              <a16:creationId xmlns:a16="http://schemas.microsoft.com/office/drawing/2014/main" id="{DD972590-4E89-0E44-A93E-8BFC3FA662A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354</xdr:row>
      <xdr:rowOff>0</xdr:rowOff>
    </xdr:from>
    <xdr:ext cx="317500" cy="279400"/>
    <xdr:sp macro="" textlink="">
      <xdr:nvSpPr>
        <xdr:cNvPr id="7" name="AutoShape 464" descr="note-add">
          <a:extLst>
            <a:ext uri="{FF2B5EF4-FFF2-40B4-BE49-F238E27FC236}">
              <a16:creationId xmlns:a16="http://schemas.microsoft.com/office/drawing/2014/main" id="{00F90166-F151-F54D-BF9D-4F5FB390DD45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55015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354</xdr:row>
      <xdr:rowOff>0</xdr:rowOff>
    </xdr:from>
    <xdr:ext cx="304800" cy="279400"/>
    <xdr:sp macro="" textlink="">
      <xdr:nvSpPr>
        <xdr:cNvPr id="8" name="AutoShape 465" descr="alert toggle">
          <a:extLst>
            <a:ext uri="{FF2B5EF4-FFF2-40B4-BE49-F238E27FC236}">
              <a16:creationId xmlns:a16="http://schemas.microsoft.com/office/drawing/2014/main" id="{DB9D8D15-841B-0443-A8E3-40D5C9F3E1F8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5501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355</xdr:row>
      <xdr:rowOff>0</xdr:rowOff>
    </xdr:from>
    <xdr:ext cx="317500" cy="279400"/>
    <xdr:sp macro="" textlink="">
      <xdr:nvSpPr>
        <xdr:cNvPr id="9" name="AutoShape 466" descr="note-add">
          <a:extLst>
            <a:ext uri="{FF2B5EF4-FFF2-40B4-BE49-F238E27FC236}">
              <a16:creationId xmlns:a16="http://schemas.microsoft.com/office/drawing/2014/main" id="{0EAE78C2-3903-304F-9A27-5F8A819A8775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5717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355</xdr:row>
      <xdr:rowOff>0</xdr:rowOff>
    </xdr:from>
    <xdr:ext cx="304800" cy="279400"/>
    <xdr:sp macro="" textlink="">
      <xdr:nvSpPr>
        <xdr:cNvPr id="10" name="AutoShape 467" descr="alert toggle">
          <a:extLst>
            <a:ext uri="{FF2B5EF4-FFF2-40B4-BE49-F238E27FC236}">
              <a16:creationId xmlns:a16="http://schemas.microsoft.com/office/drawing/2014/main" id="{55DA83CA-B072-BF4C-A0F8-F79045B8D2DC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571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356</xdr:row>
      <xdr:rowOff>0</xdr:rowOff>
    </xdr:from>
    <xdr:ext cx="317500" cy="301299"/>
    <xdr:sp macro="" textlink="">
      <xdr:nvSpPr>
        <xdr:cNvPr id="11" name="AutoShape 468" descr="note-add">
          <a:extLst>
            <a:ext uri="{FF2B5EF4-FFF2-40B4-BE49-F238E27FC236}">
              <a16:creationId xmlns:a16="http://schemas.microsoft.com/office/drawing/2014/main" id="{240829BC-AD73-0043-BABA-FFA5928FAB00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5933300"/>
          <a:ext cx="3175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356</xdr:row>
      <xdr:rowOff>0</xdr:rowOff>
    </xdr:from>
    <xdr:ext cx="304800" cy="301299"/>
    <xdr:sp macro="" textlink="">
      <xdr:nvSpPr>
        <xdr:cNvPr id="12" name="AutoShape 469" descr="alert toggle">
          <a:extLst>
            <a:ext uri="{FF2B5EF4-FFF2-40B4-BE49-F238E27FC236}">
              <a16:creationId xmlns:a16="http://schemas.microsoft.com/office/drawing/2014/main" id="{97BEE40F-3E3E-3D4B-A6FE-D60491749607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5933300"/>
          <a:ext cx="304800" cy="301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357</xdr:row>
      <xdr:rowOff>0</xdr:rowOff>
    </xdr:from>
    <xdr:ext cx="317500" cy="279400"/>
    <xdr:sp macro="" textlink="">
      <xdr:nvSpPr>
        <xdr:cNvPr id="13" name="AutoShape 470" descr="note-add">
          <a:extLst>
            <a:ext uri="{FF2B5EF4-FFF2-40B4-BE49-F238E27FC236}">
              <a16:creationId xmlns:a16="http://schemas.microsoft.com/office/drawing/2014/main" id="{761B3E64-7874-5444-AE36-85B61234A229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6149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357</xdr:row>
      <xdr:rowOff>0</xdr:rowOff>
    </xdr:from>
    <xdr:ext cx="304800" cy="279400"/>
    <xdr:sp macro="" textlink="">
      <xdr:nvSpPr>
        <xdr:cNvPr id="14" name="AutoShape 471" descr="alert toggle">
          <a:extLst>
            <a:ext uri="{FF2B5EF4-FFF2-40B4-BE49-F238E27FC236}">
              <a16:creationId xmlns:a16="http://schemas.microsoft.com/office/drawing/2014/main" id="{2A57AEC9-A3CA-9646-82B8-AAC10C5F0CED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614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358</xdr:row>
      <xdr:rowOff>0</xdr:rowOff>
    </xdr:from>
    <xdr:ext cx="317500" cy="279400"/>
    <xdr:sp macro="" textlink="">
      <xdr:nvSpPr>
        <xdr:cNvPr id="15" name="AutoShape 472" descr="note-add">
          <a:extLst>
            <a:ext uri="{FF2B5EF4-FFF2-40B4-BE49-F238E27FC236}">
              <a16:creationId xmlns:a16="http://schemas.microsoft.com/office/drawing/2014/main" id="{8EEEA1B0-446B-6C49-A482-B7C428D2419A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63651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358</xdr:row>
      <xdr:rowOff>0</xdr:rowOff>
    </xdr:from>
    <xdr:ext cx="304800" cy="279400"/>
    <xdr:sp macro="" textlink="">
      <xdr:nvSpPr>
        <xdr:cNvPr id="16" name="AutoShape 473" descr="alert toggle">
          <a:extLst>
            <a:ext uri="{FF2B5EF4-FFF2-40B4-BE49-F238E27FC236}">
              <a16:creationId xmlns:a16="http://schemas.microsoft.com/office/drawing/2014/main" id="{8C191C52-C274-3747-B931-3880C4C263D9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6365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360</xdr:row>
      <xdr:rowOff>0</xdr:rowOff>
    </xdr:from>
    <xdr:ext cx="317500" cy="279400"/>
    <xdr:sp macro="" textlink="">
      <xdr:nvSpPr>
        <xdr:cNvPr id="17" name="AutoShape 474" descr="note-add">
          <a:extLst>
            <a:ext uri="{FF2B5EF4-FFF2-40B4-BE49-F238E27FC236}">
              <a16:creationId xmlns:a16="http://schemas.microsoft.com/office/drawing/2014/main" id="{1C9136FF-1888-4940-956D-78FBEEC277CB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6796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360</xdr:row>
      <xdr:rowOff>0</xdr:rowOff>
    </xdr:from>
    <xdr:ext cx="304800" cy="279400"/>
    <xdr:sp macro="" textlink="">
      <xdr:nvSpPr>
        <xdr:cNvPr id="18" name="AutoShape 475" descr="alert toggle">
          <a:extLst>
            <a:ext uri="{FF2B5EF4-FFF2-40B4-BE49-F238E27FC236}">
              <a16:creationId xmlns:a16="http://schemas.microsoft.com/office/drawing/2014/main" id="{E51411FC-FBE7-1B4F-892F-C4CD8A46DB76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67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362</xdr:row>
      <xdr:rowOff>0</xdr:rowOff>
    </xdr:from>
    <xdr:ext cx="317500" cy="279400"/>
    <xdr:sp macro="" textlink="">
      <xdr:nvSpPr>
        <xdr:cNvPr id="19" name="AutoShape 476" descr="note-add">
          <a:extLst>
            <a:ext uri="{FF2B5EF4-FFF2-40B4-BE49-F238E27FC236}">
              <a16:creationId xmlns:a16="http://schemas.microsoft.com/office/drawing/2014/main" id="{D3208E4B-BD5F-2D40-BDDF-75F00536306E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7228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362</xdr:row>
      <xdr:rowOff>0</xdr:rowOff>
    </xdr:from>
    <xdr:ext cx="304800" cy="279400"/>
    <xdr:sp macro="" textlink="">
      <xdr:nvSpPr>
        <xdr:cNvPr id="20" name="AutoShape 477" descr="alert toggle">
          <a:extLst>
            <a:ext uri="{FF2B5EF4-FFF2-40B4-BE49-F238E27FC236}">
              <a16:creationId xmlns:a16="http://schemas.microsoft.com/office/drawing/2014/main" id="{66D9B146-1AA6-454A-8A08-BEFD63831966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7228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363</xdr:row>
      <xdr:rowOff>0</xdr:rowOff>
    </xdr:from>
    <xdr:ext cx="317500" cy="279400"/>
    <xdr:sp macro="" textlink="">
      <xdr:nvSpPr>
        <xdr:cNvPr id="21" name="AutoShape 478" descr="note-add">
          <a:extLst>
            <a:ext uri="{FF2B5EF4-FFF2-40B4-BE49-F238E27FC236}">
              <a16:creationId xmlns:a16="http://schemas.microsoft.com/office/drawing/2014/main" id="{E7B14495-7F84-384B-B2A5-64C77E39919B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74446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364</xdr:row>
      <xdr:rowOff>0</xdr:rowOff>
    </xdr:from>
    <xdr:ext cx="317500" cy="279400"/>
    <xdr:sp macro="" textlink="">
      <xdr:nvSpPr>
        <xdr:cNvPr id="22" name="AutoShape 480" descr="note-add">
          <a:extLst>
            <a:ext uri="{FF2B5EF4-FFF2-40B4-BE49-F238E27FC236}">
              <a16:creationId xmlns:a16="http://schemas.microsoft.com/office/drawing/2014/main" id="{39105071-904E-8D4B-A677-5DCD0730238D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76605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364</xdr:row>
      <xdr:rowOff>0</xdr:rowOff>
    </xdr:from>
    <xdr:ext cx="304800" cy="279400"/>
    <xdr:sp macro="" textlink="">
      <xdr:nvSpPr>
        <xdr:cNvPr id="23" name="AutoShape 481" descr="alert toggle">
          <a:extLst>
            <a:ext uri="{FF2B5EF4-FFF2-40B4-BE49-F238E27FC236}">
              <a16:creationId xmlns:a16="http://schemas.microsoft.com/office/drawing/2014/main" id="{15D4E90A-A5D3-4F49-B7F3-425B65B3A774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7660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365</xdr:row>
      <xdr:rowOff>0</xdr:rowOff>
    </xdr:from>
    <xdr:ext cx="317500" cy="279400"/>
    <xdr:sp macro="" textlink="">
      <xdr:nvSpPr>
        <xdr:cNvPr id="24" name="AutoShape 482" descr="note-add">
          <a:extLst>
            <a:ext uri="{FF2B5EF4-FFF2-40B4-BE49-F238E27FC236}">
              <a16:creationId xmlns:a16="http://schemas.microsoft.com/office/drawing/2014/main" id="{FDF956C7-2CD3-1F41-9D5A-D76721ED129E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78764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365</xdr:row>
      <xdr:rowOff>0</xdr:rowOff>
    </xdr:from>
    <xdr:ext cx="304800" cy="279400"/>
    <xdr:sp macro="" textlink="">
      <xdr:nvSpPr>
        <xdr:cNvPr id="25" name="AutoShape 483" descr="alert toggle">
          <a:extLst>
            <a:ext uri="{FF2B5EF4-FFF2-40B4-BE49-F238E27FC236}">
              <a16:creationId xmlns:a16="http://schemas.microsoft.com/office/drawing/2014/main" id="{F08DD8F6-91A4-3A42-A63B-97FEEF7BE78B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7876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366</xdr:row>
      <xdr:rowOff>0</xdr:rowOff>
    </xdr:from>
    <xdr:ext cx="317500" cy="279400"/>
    <xdr:sp macro="" textlink="">
      <xdr:nvSpPr>
        <xdr:cNvPr id="26" name="AutoShape 484" descr="note-add">
          <a:extLst>
            <a:ext uri="{FF2B5EF4-FFF2-40B4-BE49-F238E27FC236}">
              <a16:creationId xmlns:a16="http://schemas.microsoft.com/office/drawing/2014/main" id="{88C4A3D7-BD20-3F46-ACCE-CB575F76186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80923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366</xdr:row>
      <xdr:rowOff>0</xdr:rowOff>
    </xdr:from>
    <xdr:ext cx="304800" cy="279400"/>
    <xdr:sp macro="" textlink="">
      <xdr:nvSpPr>
        <xdr:cNvPr id="27" name="AutoShape 485" descr="alert toggle">
          <a:extLst>
            <a:ext uri="{FF2B5EF4-FFF2-40B4-BE49-F238E27FC236}">
              <a16:creationId xmlns:a16="http://schemas.microsoft.com/office/drawing/2014/main" id="{BE8F35CD-F8A7-9946-8441-43EFB3CE591A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8092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367</xdr:row>
      <xdr:rowOff>0</xdr:rowOff>
    </xdr:from>
    <xdr:ext cx="317500" cy="279400"/>
    <xdr:sp macro="" textlink="">
      <xdr:nvSpPr>
        <xdr:cNvPr id="28" name="AutoShape 486" descr="note-add">
          <a:extLst>
            <a:ext uri="{FF2B5EF4-FFF2-40B4-BE49-F238E27FC236}">
              <a16:creationId xmlns:a16="http://schemas.microsoft.com/office/drawing/2014/main" id="{478D1A4E-9158-444B-A6CE-DF3C364E17C3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83082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367</xdr:row>
      <xdr:rowOff>0</xdr:rowOff>
    </xdr:from>
    <xdr:ext cx="304800" cy="279400"/>
    <xdr:sp macro="" textlink="">
      <xdr:nvSpPr>
        <xdr:cNvPr id="29" name="AutoShape 487" descr="alert toggle">
          <a:extLst>
            <a:ext uri="{FF2B5EF4-FFF2-40B4-BE49-F238E27FC236}">
              <a16:creationId xmlns:a16="http://schemas.microsoft.com/office/drawing/2014/main" id="{FA0EEB9B-09F4-2348-AF27-E31F1467A378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8308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368</xdr:row>
      <xdr:rowOff>0</xdr:rowOff>
    </xdr:from>
    <xdr:ext cx="317500" cy="279400"/>
    <xdr:sp macro="" textlink="">
      <xdr:nvSpPr>
        <xdr:cNvPr id="30" name="AutoShape 488" descr="note-add">
          <a:extLst>
            <a:ext uri="{FF2B5EF4-FFF2-40B4-BE49-F238E27FC236}">
              <a16:creationId xmlns:a16="http://schemas.microsoft.com/office/drawing/2014/main" id="{8CA50EC2-FBA2-B842-8F07-9194C30211F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85241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368</xdr:row>
      <xdr:rowOff>0</xdr:rowOff>
    </xdr:from>
    <xdr:ext cx="304800" cy="279400"/>
    <xdr:sp macro="" textlink="">
      <xdr:nvSpPr>
        <xdr:cNvPr id="31" name="AutoShape 489" descr="alert toggle">
          <a:extLst>
            <a:ext uri="{FF2B5EF4-FFF2-40B4-BE49-F238E27FC236}">
              <a16:creationId xmlns:a16="http://schemas.microsoft.com/office/drawing/2014/main" id="{56995ECE-D8C9-B046-9C38-D21C6D011A98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852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369</xdr:row>
      <xdr:rowOff>0</xdr:rowOff>
    </xdr:from>
    <xdr:ext cx="317500" cy="279400"/>
    <xdr:sp macro="" textlink="">
      <xdr:nvSpPr>
        <xdr:cNvPr id="32" name="AutoShape 490" descr="note-add">
          <a:extLst>
            <a:ext uri="{FF2B5EF4-FFF2-40B4-BE49-F238E27FC236}">
              <a16:creationId xmlns:a16="http://schemas.microsoft.com/office/drawing/2014/main" id="{9F659229-8939-844C-B097-16869A5DDD33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87400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369</xdr:row>
      <xdr:rowOff>0</xdr:rowOff>
    </xdr:from>
    <xdr:ext cx="304800" cy="279400"/>
    <xdr:sp macro="" textlink="">
      <xdr:nvSpPr>
        <xdr:cNvPr id="33" name="AutoShape 491" descr="alert toggle">
          <a:extLst>
            <a:ext uri="{FF2B5EF4-FFF2-40B4-BE49-F238E27FC236}">
              <a16:creationId xmlns:a16="http://schemas.microsoft.com/office/drawing/2014/main" id="{3CCE7D04-015F-F44B-9439-C3B4CCA7FC9E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8740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370</xdr:row>
      <xdr:rowOff>0</xdr:rowOff>
    </xdr:from>
    <xdr:ext cx="317500" cy="279400"/>
    <xdr:sp macro="" textlink="">
      <xdr:nvSpPr>
        <xdr:cNvPr id="34" name="AutoShape 492" descr="note-add">
          <a:extLst>
            <a:ext uri="{FF2B5EF4-FFF2-40B4-BE49-F238E27FC236}">
              <a16:creationId xmlns:a16="http://schemas.microsoft.com/office/drawing/2014/main" id="{9A1DE913-E94F-2E49-B49E-061C59B2457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8955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370</xdr:row>
      <xdr:rowOff>0</xdr:rowOff>
    </xdr:from>
    <xdr:ext cx="304800" cy="279400"/>
    <xdr:sp macro="" textlink="">
      <xdr:nvSpPr>
        <xdr:cNvPr id="35" name="AutoShape 493" descr="alert toggle">
          <a:extLst>
            <a:ext uri="{FF2B5EF4-FFF2-40B4-BE49-F238E27FC236}">
              <a16:creationId xmlns:a16="http://schemas.microsoft.com/office/drawing/2014/main" id="{490666E9-8536-FC41-808E-0054E8A14694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8955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371</xdr:row>
      <xdr:rowOff>0</xdr:rowOff>
    </xdr:from>
    <xdr:ext cx="317500" cy="279400"/>
    <xdr:sp macro="" textlink="">
      <xdr:nvSpPr>
        <xdr:cNvPr id="36" name="AutoShape 494" descr="note-add">
          <a:extLst>
            <a:ext uri="{FF2B5EF4-FFF2-40B4-BE49-F238E27FC236}">
              <a16:creationId xmlns:a16="http://schemas.microsoft.com/office/drawing/2014/main" id="{2499F716-C0A1-3D44-8B96-112054F072D1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91718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371</xdr:row>
      <xdr:rowOff>0</xdr:rowOff>
    </xdr:from>
    <xdr:ext cx="304800" cy="279400"/>
    <xdr:sp macro="" textlink="">
      <xdr:nvSpPr>
        <xdr:cNvPr id="37" name="AutoShape 495" descr="alert toggle">
          <a:extLst>
            <a:ext uri="{FF2B5EF4-FFF2-40B4-BE49-F238E27FC236}">
              <a16:creationId xmlns:a16="http://schemas.microsoft.com/office/drawing/2014/main" id="{A8AA3A7E-B87E-C34C-AECB-C5FDF9847413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9171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372</xdr:row>
      <xdr:rowOff>0</xdr:rowOff>
    </xdr:from>
    <xdr:ext cx="317500" cy="279400"/>
    <xdr:sp macro="" textlink="">
      <xdr:nvSpPr>
        <xdr:cNvPr id="38" name="AutoShape 496" descr="note-add">
          <a:extLst>
            <a:ext uri="{FF2B5EF4-FFF2-40B4-BE49-F238E27FC236}">
              <a16:creationId xmlns:a16="http://schemas.microsoft.com/office/drawing/2014/main" id="{853B84BE-89F0-AA4E-870A-BDE46BBD53A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93877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372</xdr:row>
      <xdr:rowOff>0</xdr:rowOff>
    </xdr:from>
    <xdr:ext cx="304800" cy="279400"/>
    <xdr:sp macro="" textlink="">
      <xdr:nvSpPr>
        <xdr:cNvPr id="39" name="AutoShape 497" descr="alert toggle">
          <a:extLst>
            <a:ext uri="{FF2B5EF4-FFF2-40B4-BE49-F238E27FC236}">
              <a16:creationId xmlns:a16="http://schemas.microsoft.com/office/drawing/2014/main" id="{E21DC29A-2D80-434B-8892-67AFD8429B41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9387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329</xdr:row>
      <xdr:rowOff>0</xdr:rowOff>
    </xdr:from>
    <xdr:ext cx="317500" cy="304800"/>
    <xdr:sp macro="" textlink="">
      <xdr:nvSpPr>
        <xdr:cNvPr id="40" name="AutoShape 498" descr="note-add">
          <a:extLst>
            <a:ext uri="{FF2B5EF4-FFF2-40B4-BE49-F238E27FC236}">
              <a16:creationId xmlns:a16="http://schemas.microsoft.com/office/drawing/2014/main" id="{2870B61E-4E5F-1D44-80A1-D28AB6885367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70142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329</xdr:row>
      <xdr:rowOff>0</xdr:rowOff>
    </xdr:from>
    <xdr:ext cx="304800" cy="304800"/>
    <xdr:sp macro="" textlink="">
      <xdr:nvSpPr>
        <xdr:cNvPr id="41" name="AutoShape 499" descr="alert toggle">
          <a:extLst>
            <a:ext uri="{FF2B5EF4-FFF2-40B4-BE49-F238E27FC236}">
              <a16:creationId xmlns:a16="http://schemas.microsoft.com/office/drawing/2014/main" id="{F0998BB6-27C6-8A4C-BBD2-29744AE278D0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701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360</xdr:row>
      <xdr:rowOff>0</xdr:rowOff>
    </xdr:from>
    <xdr:ext cx="317500" cy="279400"/>
    <xdr:sp macro="" textlink="">
      <xdr:nvSpPr>
        <xdr:cNvPr id="42" name="AutoShape 500" descr="note-add">
          <a:extLst>
            <a:ext uri="{FF2B5EF4-FFF2-40B4-BE49-F238E27FC236}">
              <a16:creationId xmlns:a16="http://schemas.microsoft.com/office/drawing/2014/main" id="{B1E00E9D-8232-7A4A-A5E2-C2AB84793FE1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6796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360</xdr:row>
      <xdr:rowOff>0</xdr:rowOff>
    </xdr:from>
    <xdr:ext cx="317500" cy="279400"/>
    <xdr:sp macro="" textlink="">
      <xdr:nvSpPr>
        <xdr:cNvPr id="43" name="AutoShape 502" descr="note-add">
          <a:extLst>
            <a:ext uri="{FF2B5EF4-FFF2-40B4-BE49-F238E27FC236}">
              <a16:creationId xmlns:a16="http://schemas.microsoft.com/office/drawing/2014/main" id="{E1196D39-419B-6341-AEA6-9BCBA63F2442}"/>
            </a:ext>
          </a:extLst>
        </xdr:cNvPr>
        <xdr:cNvSpPr>
          <a:spLocks noChangeAspect="1" noChangeArrowheads="1"/>
        </xdr:cNvSpPr>
      </xdr:nvSpPr>
      <xdr:spPr bwMode="auto">
        <a:xfrm>
          <a:off x="33477200" y="76796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360</xdr:row>
      <xdr:rowOff>0</xdr:rowOff>
    </xdr:from>
    <xdr:ext cx="317500" cy="279400"/>
    <xdr:sp macro="" textlink="">
      <xdr:nvSpPr>
        <xdr:cNvPr id="44" name="AutoShape 506" descr="note-add">
          <a:extLst>
            <a:ext uri="{FF2B5EF4-FFF2-40B4-BE49-F238E27FC236}">
              <a16:creationId xmlns:a16="http://schemas.microsoft.com/office/drawing/2014/main" id="{2953E3F5-FF61-6E4F-8AF5-26621DDE3D75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76796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360</xdr:row>
      <xdr:rowOff>0</xdr:rowOff>
    </xdr:from>
    <xdr:ext cx="292100" cy="279400"/>
    <xdr:sp macro="" textlink="">
      <xdr:nvSpPr>
        <xdr:cNvPr id="45" name="AutoShape 507" descr="alert toggle">
          <a:extLst>
            <a:ext uri="{FF2B5EF4-FFF2-40B4-BE49-F238E27FC236}">
              <a16:creationId xmlns:a16="http://schemas.microsoft.com/office/drawing/2014/main" id="{D2489E66-E9CD-1640-AACF-DC1D2C417E92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76796900"/>
          <a:ext cx="2921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360</xdr:row>
      <xdr:rowOff>0</xdr:rowOff>
    </xdr:from>
    <xdr:ext cx="317500" cy="279400"/>
    <xdr:sp macro="" textlink="">
      <xdr:nvSpPr>
        <xdr:cNvPr id="46" name="AutoShape 508" descr="note-add">
          <a:extLst>
            <a:ext uri="{FF2B5EF4-FFF2-40B4-BE49-F238E27FC236}">
              <a16:creationId xmlns:a16="http://schemas.microsoft.com/office/drawing/2014/main" id="{4AC98438-7CB8-074F-B174-E6234346DFFC}"/>
            </a:ext>
          </a:extLst>
        </xdr:cNvPr>
        <xdr:cNvSpPr>
          <a:spLocks noChangeAspect="1" noChangeArrowheads="1"/>
        </xdr:cNvSpPr>
      </xdr:nvSpPr>
      <xdr:spPr bwMode="auto">
        <a:xfrm>
          <a:off x="39255700" y="76796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360</xdr:row>
      <xdr:rowOff>0</xdr:rowOff>
    </xdr:from>
    <xdr:ext cx="304800" cy="279400"/>
    <xdr:sp macro="" textlink="">
      <xdr:nvSpPr>
        <xdr:cNvPr id="47" name="AutoShape 509" descr="alert toggle">
          <a:extLst>
            <a:ext uri="{FF2B5EF4-FFF2-40B4-BE49-F238E27FC236}">
              <a16:creationId xmlns:a16="http://schemas.microsoft.com/office/drawing/2014/main" id="{DB2F8252-8C80-5946-ABBD-852A65554A92}"/>
            </a:ext>
          </a:extLst>
        </xdr:cNvPr>
        <xdr:cNvSpPr>
          <a:spLocks noChangeAspect="1" noChangeArrowheads="1"/>
        </xdr:cNvSpPr>
      </xdr:nvSpPr>
      <xdr:spPr bwMode="auto">
        <a:xfrm>
          <a:off x="39573200" y="76796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360</xdr:row>
      <xdr:rowOff>0</xdr:rowOff>
    </xdr:from>
    <xdr:ext cx="317500" cy="279400"/>
    <xdr:sp macro="" textlink="">
      <xdr:nvSpPr>
        <xdr:cNvPr id="48" name="AutoShape 510" descr="note-add">
          <a:extLst>
            <a:ext uri="{FF2B5EF4-FFF2-40B4-BE49-F238E27FC236}">
              <a16:creationId xmlns:a16="http://schemas.microsoft.com/office/drawing/2014/main" id="{F5BA6304-D73D-BA48-8F11-1291545B336B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76796900"/>
          <a:ext cx="317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191</xdr:row>
      <xdr:rowOff>0</xdr:rowOff>
    </xdr:from>
    <xdr:ext cx="304800" cy="304800"/>
    <xdr:sp macro="" textlink="">
      <xdr:nvSpPr>
        <xdr:cNvPr id="49" name="AutoShape 580" descr="note-add">
          <a:extLst>
            <a:ext uri="{FF2B5EF4-FFF2-40B4-BE49-F238E27FC236}">
              <a16:creationId xmlns:a16="http://schemas.microsoft.com/office/drawing/2014/main" id="{0B6631FB-1DD9-3B46-A8FE-034754F05CDF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191</xdr:row>
      <xdr:rowOff>0</xdr:rowOff>
    </xdr:from>
    <xdr:ext cx="304800" cy="304800"/>
    <xdr:sp macro="" textlink="">
      <xdr:nvSpPr>
        <xdr:cNvPr id="50" name="AutoShape 581" descr="alert toggle">
          <a:extLst>
            <a:ext uri="{FF2B5EF4-FFF2-40B4-BE49-F238E27FC236}">
              <a16:creationId xmlns:a16="http://schemas.microsoft.com/office/drawing/2014/main" id="{81CE0A72-D7DD-AF40-A362-F572ED9B3838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4074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193</xdr:row>
      <xdr:rowOff>0</xdr:rowOff>
    </xdr:from>
    <xdr:ext cx="304800" cy="304800"/>
    <xdr:sp macro="" textlink="">
      <xdr:nvSpPr>
        <xdr:cNvPr id="51" name="AutoShape 584" descr="note-add">
          <a:extLst>
            <a:ext uri="{FF2B5EF4-FFF2-40B4-BE49-F238E27FC236}">
              <a16:creationId xmlns:a16="http://schemas.microsoft.com/office/drawing/2014/main" id="{1C4E7830-15F1-9C43-BF68-870FF7CC58E2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1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193</xdr:row>
      <xdr:rowOff>0</xdr:rowOff>
    </xdr:from>
    <xdr:ext cx="304800" cy="304800"/>
    <xdr:sp macro="" textlink="">
      <xdr:nvSpPr>
        <xdr:cNvPr id="52" name="AutoShape 585" descr="alert toggle">
          <a:extLst>
            <a:ext uri="{FF2B5EF4-FFF2-40B4-BE49-F238E27FC236}">
              <a16:creationId xmlns:a16="http://schemas.microsoft.com/office/drawing/2014/main" id="{C927447E-A3DF-B943-8406-8BAE7C3BA9DA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1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194</xdr:row>
      <xdr:rowOff>0</xdr:rowOff>
    </xdr:from>
    <xdr:ext cx="304800" cy="304801"/>
    <xdr:sp macro="" textlink="">
      <xdr:nvSpPr>
        <xdr:cNvPr id="53" name="AutoShape 588" descr="note-add">
          <a:extLst>
            <a:ext uri="{FF2B5EF4-FFF2-40B4-BE49-F238E27FC236}">
              <a16:creationId xmlns:a16="http://schemas.microsoft.com/office/drawing/2014/main" id="{0E019EEB-A870-794D-8D5A-8A6057083693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1389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194</xdr:row>
      <xdr:rowOff>0</xdr:rowOff>
    </xdr:from>
    <xdr:ext cx="304800" cy="304801"/>
    <xdr:sp macro="" textlink="">
      <xdr:nvSpPr>
        <xdr:cNvPr id="54" name="AutoShape 589" descr="alert toggle">
          <a:extLst>
            <a:ext uri="{FF2B5EF4-FFF2-40B4-BE49-F238E27FC236}">
              <a16:creationId xmlns:a16="http://schemas.microsoft.com/office/drawing/2014/main" id="{DF7F2970-43E2-8B44-A63A-D0A7669A4121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1389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195</xdr:row>
      <xdr:rowOff>0</xdr:rowOff>
    </xdr:from>
    <xdr:ext cx="304800" cy="304800"/>
    <xdr:sp macro="" textlink="">
      <xdr:nvSpPr>
        <xdr:cNvPr id="55" name="AutoShape 592" descr="note-add">
          <a:extLst>
            <a:ext uri="{FF2B5EF4-FFF2-40B4-BE49-F238E27FC236}">
              <a16:creationId xmlns:a16="http://schemas.microsoft.com/office/drawing/2014/main" id="{0CEDC968-501E-E74B-8C58-36E18AA6C935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16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195</xdr:row>
      <xdr:rowOff>0</xdr:rowOff>
    </xdr:from>
    <xdr:ext cx="304800" cy="304800"/>
    <xdr:sp macro="" textlink="">
      <xdr:nvSpPr>
        <xdr:cNvPr id="56" name="AutoShape 593" descr="alert toggle">
          <a:extLst>
            <a:ext uri="{FF2B5EF4-FFF2-40B4-BE49-F238E27FC236}">
              <a16:creationId xmlns:a16="http://schemas.microsoft.com/office/drawing/2014/main" id="{667A0534-4F8B-1C4F-B847-62E1C7D224C2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16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197</xdr:row>
      <xdr:rowOff>0</xdr:rowOff>
    </xdr:from>
    <xdr:ext cx="304800" cy="304800"/>
    <xdr:sp macro="" textlink="">
      <xdr:nvSpPr>
        <xdr:cNvPr id="57" name="AutoShape 596" descr="note-add">
          <a:extLst>
            <a:ext uri="{FF2B5EF4-FFF2-40B4-BE49-F238E27FC236}">
              <a16:creationId xmlns:a16="http://schemas.microsoft.com/office/drawing/2014/main" id="{23EA0073-83F1-C74F-BD4D-A9F2F672E108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20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197</xdr:row>
      <xdr:rowOff>0</xdr:rowOff>
    </xdr:from>
    <xdr:ext cx="304800" cy="304800"/>
    <xdr:sp macro="" textlink="">
      <xdr:nvSpPr>
        <xdr:cNvPr id="58" name="AutoShape 597" descr="alert toggle">
          <a:extLst>
            <a:ext uri="{FF2B5EF4-FFF2-40B4-BE49-F238E27FC236}">
              <a16:creationId xmlns:a16="http://schemas.microsoft.com/office/drawing/2014/main" id="{5ACAEBC9-104E-3349-80E1-4635D039004D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20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198</xdr:row>
      <xdr:rowOff>0</xdr:rowOff>
    </xdr:from>
    <xdr:ext cx="304800" cy="304801"/>
    <xdr:sp macro="" textlink="">
      <xdr:nvSpPr>
        <xdr:cNvPr id="59" name="AutoShape 600" descr="note-add">
          <a:extLst>
            <a:ext uri="{FF2B5EF4-FFF2-40B4-BE49-F238E27FC236}">
              <a16:creationId xmlns:a16="http://schemas.microsoft.com/office/drawing/2014/main" id="{047473A7-D169-1D49-8FD2-BB0444F55224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2227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198</xdr:row>
      <xdr:rowOff>0</xdr:rowOff>
    </xdr:from>
    <xdr:ext cx="304800" cy="304801"/>
    <xdr:sp macro="" textlink="">
      <xdr:nvSpPr>
        <xdr:cNvPr id="60" name="AutoShape 601" descr="alert toggle">
          <a:extLst>
            <a:ext uri="{FF2B5EF4-FFF2-40B4-BE49-F238E27FC236}">
              <a16:creationId xmlns:a16="http://schemas.microsoft.com/office/drawing/2014/main" id="{F258A4EB-2E57-CB4F-815C-5E48ACAFE9FB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2227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199</xdr:row>
      <xdr:rowOff>0</xdr:rowOff>
    </xdr:from>
    <xdr:ext cx="304800" cy="304800"/>
    <xdr:sp macro="" textlink="">
      <xdr:nvSpPr>
        <xdr:cNvPr id="61" name="AutoShape 604" descr="note-add">
          <a:extLst>
            <a:ext uri="{FF2B5EF4-FFF2-40B4-BE49-F238E27FC236}">
              <a16:creationId xmlns:a16="http://schemas.microsoft.com/office/drawing/2014/main" id="{BF161D5F-B33C-274D-9184-A5F6393D5942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24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200</xdr:row>
      <xdr:rowOff>0</xdr:rowOff>
    </xdr:from>
    <xdr:ext cx="304800" cy="304801"/>
    <xdr:sp macro="" textlink="">
      <xdr:nvSpPr>
        <xdr:cNvPr id="62" name="AutoShape 608" descr="note-add">
          <a:extLst>
            <a:ext uri="{FF2B5EF4-FFF2-40B4-BE49-F238E27FC236}">
              <a16:creationId xmlns:a16="http://schemas.microsoft.com/office/drawing/2014/main" id="{8F465B24-5511-B544-8FC4-32B17F863721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263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200</xdr:row>
      <xdr:rowOff>0</xdr:rowOff>
    </xdr:from>
    <xdr:ext cx="304800" cy="304801"/>
    <xdr:sp macro="" textlink="">
      <xdr:nvSpPr>
        <xdr:cNvPr id="63" name="AutoShape 609" descr="alert toggle">
          <a:extLst>
            <a:ext uri="{FF2B5EF4-FFF2-40B4-BE49-F238E27FC236}">
              <a16:creationId xmlns:a16="http://schemas.microsoft.com/office/drawing/2014/main" id="{DFB2BB1F-D9F6-7843-A61A-BD936428538A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2633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201</xdr:row>
      <xdr:rowOff>0</xdr:rowOff>
    </xdr:from>
    <xdr:ext cx="304800" cy="304800"/>
    <xdr:sp macro="" textlink="">
      <xdr:nvSpPr>
        <xdr:cNvPr id="64" name="AutoShape 612" descr="note-add">
          <a:extLst>
            <a:ext uri="{FF2B5EF4-FFF2-40B4-BE49-F238E27FC236}">
              <a16:creationId xmlns:a16="http://schemas.microsoft.com/office/drawing/2014/main" id="{B87E6010-BCC8-5648-973C-297677906903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28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201</xdr:row>
      <xdr:rowOff>0</xdr:rowOff>
    </xdr:from>
    <xdr:ext cx="304800" cy="304800"/>
    <xdr:sp macro="" textlink="">
      <xdr:nvSpPr>
        <xdr:cNvPr id="65" name="AutoShape 613" descr="alert toggle">
          <a:extLst>
            <a:ext uri="{FF2B5EF4-FFF2-40B4-BE49-F238E27FC236}">
              <a16:creationId xmlns:a16="http://schemas.microsoft.com/office/drawing/2014/main" id="{EA8C2D33-513D-2846-B0D6-40C7DCD4301A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28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202</xdr:row>
      <xdr:rowOff>0</xdr:rowOff>
    </xdr:from>
    <xdr:ext cx="304800" cy="304800"/>
    <xdr:sp macro="" textlink="">
      <xdr:nvSpPr>
        <xdr:cNvPr id="66" name="AutoShape 616" descr="note-add">
          <a:extLst>
            <a:ext uri="{FF2B5EF4-FFF2-40B4-BE49-F238E27FC236}">
              <a16:creationId xmlns:a16="http://schemas.microsoft.com/office/drawing/2014/main" id="{2CCD59D9-FF04-B646-BFC2-7EA397A537D8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30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202</xdr:row>
      <xdr:rowOff>0</xdr:rowOff>
    </xdr:from>
    <xdr:ext cx="304800" cy="304800"/>
    <xdr:sp macro="" textlink="">
      <xdr:nvSpPr>
        <xdr:cNvPr id="67" name="AutoShape 617" descr="alert toggle">
          <a:extLst>
            <a:ext uri="{FF2B5EF4-FFF2-40B4-BE49-F238E27FC236}">
              <a16:creationId xmlns:a16="http://schemas.microsoft.com/office/drawing/2014/main" id="{596BAA32-F406-9840-955F-3C26B19ADD3E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30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203</xdr:row>
      <xdr:rowOff>0</xdr:rowOff>
    </xdr:from>
    <xdr:ext cx="304800" cy="304800"/>
    <xdr:sp macro="" textlink="">
      <xdr:nvSpPr>
        <xdr:cNvPr id="68" name="AutoShape 620" descr="note-add">
          <a:extLst>
            <a:ext uri="{FF2B5EF4-FFF2-40B4-BE49-F238E27FC236}">
              <a16:creationId xmlns:a16="http://schemas.microsoft.com/office/drawing/2014/main" id="{733E833B-7711-EE46-A9FD-C8BA2B9FC54F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32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203</xdr:row>
      <xdr:rowOff>0</xdr:rowOff>
    </xdr:from>
    <xdr:ext cx="304800" cy="304800"/>
    <xdr:sp macro="" textlink="">
      <xdr:nvSpPr>
        <xdr:cNvPr id="69" name="AutoShape 621" descr="alert toggle">
          <a:extLst>
            <a:ext uri="{FF2B5EF4-FFF2-40B4-BE49-F238E27FC236}">
              <a16:creationId xmlns:a16="http://schemas.microsoft.com/office/drawing/2014/main" id="{30ABA40B-B235-E744-AA33-6F2DF21753D7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32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205</xdr:row>
      <xdr:rowOff>0</xdr:rowOff>
    </xdr:from>
    <xdr:ext cx="304800" cy="304800"/>
    <xdr:sp macro="" textlink="">
      <xdr:nvSpPr>
        <xdr:cNvPr id="70" name="AutoShape 624" descr="note-add">
          <a:extLst>
            <a:ext uri="{FF2B5EF4-FFF2-40B4-BE49-F238E27FC236}">
              <a16:creationId xmlns:a16="http://schemas.microsoft.com/office/drawing/2014/main" id="{B9043EEF-4583-EC42-ACD7-2A14FBDEA35A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3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205</xdr:row>
      <xdr:rowOff>0</xdr:rowOff>
    </xdr:from>
    <xdr:ext cx="304800" cy="304800"/>
    <xdr:sp macro="" textlink="">
      <xdr:nvSpPr>
        <xdr:cNvPr id="71" name="AutoShape 625" descr="alert toggle">
          <a:extLst>
            <a:ext uri="{FF2B5EF4-FFF2-40B4-BE49-F238E27FC236}">
              <a16:creationId xmlns:a16="http://schemas.microsoft.com/office/drawing/2014/main" id="{A8481F36-6F1B-C647-AB2D-E609B6480CD6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3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205</xdr:row>
      <xdr:rowOff>0</xdr:rowOff>
    </xdr:from>
    <xdr:ext cx="304800" cy="304800"/>
    <xdr:sp macro="" textlink="">
      <xdr:nvSpPr>
        <xdr:cNvPr id="72" name="AutoShape 628" descr="note-add">
          <a:extLst>
            <a:ext uri="{FF2B5EF4-FFF2-40B4-BE49-F238E27FC236}">
              <a16:creationId xmlns:a16="http://schemas.microsoft.com/office/drawing/2014/main" id="{B734C81E-C31D-0046-9A34-CF1FD3AB9F79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3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205</xdr:row>
      <xdr:rowOff>0</xdr:rowOff>
    </xdr:from>
    <xdr:ext cx="304800" cy="304800"/>
    <xdr:sp macro="" textlink="">
      <xdr:nvSpPr>
        <xdr:cNvPr id="73" name="AutoShape 629" descr="alert toggle">
          <a:extLst>
            <a:ext uri="{FF2B5EF4-FFF2-40B4-BE49-F238E27FC236}">
              <a16:creationId xmlns:a16="http://schemas.microsoft.com/office/drawing/2014/main" id="{C40F697F-49D2-8E4B-ADF1-5C0EE2F46DBE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3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206</xdr:row>
      <xdr:rowOff>0</xdr:rowOff>
    </xdr:from>
    <xdr:ext cx="304800" cy="304800"/>
    <xdr:sp macro="" textlink="">
      <xdr:nvSpPr>
        <xdr:cNvPr id="74" name="AutoShape 632" descr="note-add">
          <a:extLst>
            <a:ext uri="{FF2B5EF4-FFF2-40B4-BE49-F238E27FC236}">
              <a16:creationId xmlns:a16="http://schemas.microsoft.com/office/drawing/2014/main" id="{EEC5D57D-09D6-C342-ADFA-A8CFD0822708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3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206</xdr:row>
      <xdr:rowOff>0</xdr:rowOff>
    </xdr:from>
    <xdr:ext cx="304800" cy="304800"/>
    <xdr:sp macro="" textlink="">
      <xdr:nvSpPr>
        <xdr:cNvPr id="75" name="AutoShape 633" descr="alert toggle">
          <a:extLst>
            <a:ext uri="{FF2B5EF4-FFF2-40B4-BE49-F238E27FC236}">
              <a16:creationId xmlns:a16="http://schemas.microsoft.com/office/drawing/2014/main" id="{4E0CFA99-20B4-8644-BC08-53710FE37582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3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207</xdr:row>
      <xdr:rowOff>0</xdr:rowOff>
    </xdr:from>
    <xdr:ext cx="304800" cy="304800"/>
    <xdr:sp macro="" textlink="">
      <xdr:nvSpPr>
        <xdr:cNvPr id="76" name="AutoShape 636" descr="note-add">
          <a:extLst>
            <a:ext uri="{FF2B5EF4-FFF2-40B4-BE49-F238E27FC236}">
              <a16:creationId xmlns:a16="http://schemas.microsoft.com/office/drawing/2014/main" id="{BA0E680B-0391-9148-A619-4433BE6781DD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41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207</xdr:row>
      <xdr:rowOff>0</xdr:rowOff>
    </xdr:from>
    <xdr:ext cx="304800" cy="304800"/>
    <xdr:sp macro="" textlink="">
      <xdr:nvSpPr>
        <xdr:cNvPr id="77" name="AutoShape 637" descr="alert toggle">
          <a:extLst>
            <a:ext uri="{FF2B5EF4-FFF2-40B4-BE49-F238E27FC236}">
              <a16:creationId xmlns:a16="http://schemas.microsoft.com/office/drawing/2014/main" id="{646811D7-5503-4947-B486-D2349F004A6E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41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208</xdr:row>
      <xdr:rowOff>0</xdr:rowOff>
    </xdr:from>
    <xdr:ext cx="304800" cy="304799"/>
    <xdr:sp macro="" textlink="">
      <xdr:nvSpPr>
        <xdr:cNvPr id="78" name="AutoShape 640" descr="note-add">
          <a:extLst>
            <a:ext uri="{FF2B5EF4-FFF2-40B4-BE49-F238E27FC236}">
              <a16:creationId xmlns:a16="http://schemas.microsoft.com/office/drawing/2014/main" id="{9E5B300A-B1A3-554E-92BF-195C547FB313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44361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208</xdr:row>
      <xdr:rowOff>0</xdr:rowOff>
    </xdr:from>
    <xdr:ext cx="304800" cy="304799"/>
    <xdr:sp macro="" textlink="">
      <xdr:nvSpPr>
        <xdr:cNvPr id="79" name="AutoShape 641" descr="alert toggle">
          <a:extLst>
            <a:ext uri="{FF2B5EF4-FFF2-40B4-BE49-F238E27FC236}">
              <a16:creationId xmlns:a16="http://schemas.microsoft.com/office/drawing/2014/main" id="{18509953-6996-804B-88F5-947F38FD5E7D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44361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166</xdr:row>
      <xdr:rowOff>0</xdr:rowOff>
    </xdr:from>
    <xdr:ext cx="304800" cy="304801"/>
    <xdr:sp macro="" textlink="">
      <xdr:nvSpPr>
        <xdr:cNvPr id="80" name="AutoShape 644" descr="note-add">
          <a:extLst>
            <a:ext uri="{FF2B5EF4-FFF2-40B4-BE49-F238E27FC236}">
              <a16:creationId xmlns:a16="http://schemas.microsoft.com/office/drawing/2014/main" id="{034B497B-0CC1-1E49-AFF5-1560B5A19970}"/>
            </a:ext>
          </a:extLst>
        </xdr:cNvPr>
        <xdr:cNvSpPr>
          <a:spLocks noChangeAspect="1" noChangeArrowheads="1"/>
        </xdr:cNvSpPr>
      </xdr:nvSpPr>
      <xdr:spPr bwMode="auto">
        <a:xfrm>
          <a:off x="39255700" y="35407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166</xdr:row>
      <xdr:rowOff>0</xdr:rowOff>
    </xdr:from>
    <xdr:ext cx="304800" cy="304801"/>
    <xdr:sp macro="" textlink="">
      <xdr:nvSpPr>
        <xdr:cNvPr id="81" name="AutoShape 645" descr="alert toggle">
          <a:extLst>
            <a:ext uri="{FF2B5EF4-FFF2-40B4-BE49-F238E27FC236}">
              <a16:creationId xmlns:a16="http://schemas.microsoft.com/office/drawing/2014/main" id="{FB1FEDD9-1C97-C74C-8A8B-47BDF2355C7F}"/>
            </a:ext>
          </a:extLst>
        </xdr:cNvPr>
        <xdr:cNvSpPr>
          <a:spLocks noChangeAspect="1" noChangeArrowheads="1"/>
        </xdr:cNvSpPr>
      </xdr:nvSpPr>
      <xdr:spPr bwMode="auto">
        <a:xfrm>
          <a:off x="39573200" y="35407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111</xdr:row>
      <xdr:rowOff>0</xdr:rowOff>
    </xdr:from>
    <xdr:ext cx="304800" cy="304799"/>
    <xdr:sp macro="" textlink="">
      <xdr:nvSpPr>
        <xdr:cNvPr id="82" name="AutoShape 646" descr="note-add">
          <a:extLst>
            <a:ext uri="{FF2B5EF4-FFF2-40B4-BE49-F238E27FC236}">
              <a16:creationId xmlns:a16="http://schemas.microsoft.com/office/drawing/2014/main" id="{226217E6-82D1-FF4F-942B-2AA01D2729AA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23545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111</xdr:row>
      <xdr:rowOff>0</xdr:rowOff>
    </xdr:from>
    <xdr:ext cx="304800" cy="304799"/>
    <xdr:sp macro="" textlink="">
      <xdr:nvSpPr>
        <xdr:cNvPr id="83" name="AutoShape 647" descr="alert toggle">
          <a:extLst>
            <a:ext uri="{FF2B5EF4-FFF2-40B4-BE49-F238E27FC236}">
              <a16:creationId xmlns:a16="http://schemas.microsoft.com/office/drawing/2014/main" id="{C7E39CB0-2D0B-0249-9D74-D2C51E52B2D2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23545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112</xdr:row>
      <xdr:rowOff>0</xdr:rowOff>
    </xdr:from>
    <xdr:ext cx="304800" cy="304800"/>
    <xdr:sp macro="" textlink="">
      <xdr:nvSpPr>
        <xdr:cNvPr id="84" name="AutoShape 650" descr="note-add">
          <a:extLst>
            <a:ext uri="{FF2B5EF4-FFF2-40B4-BE49-F238E27FC236}">
              <a16:creationId xmlns:a16="http://schemas.microsoft.com/office/drawing/2014/main" id="{A1AC98F4-67F7-E245-BBF0-8A7BB570BABA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37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800"/>
    <xdr:sp macro="" textlink="">
      <xdr:nvSpPr>
        <xdr:cNvPr id="85" name="AutoShape 651" descr="alert toggle">
          <a:extLst>
            <a:ext uri="{FF2B5EF4-FFF2-40B4-BE49-F238E27FC236}">
              <a16:creationId xmlns:a16="http://schemas.microsoft.com/office/drawing/2014/main" id="{4BA4636C-0906-224F-8BB2-3D007B2B6B50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37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113</xdr:row>
      <xdr:rowOff>0</xdr:rowOff>
    </xdr:from>
    <xdr:ext cx="304800" cy="304799"/>
    <xdr:sp macro="" textlink="">
      <xdr:nvSpPr>
        <xdr:cNvPr id="86" name="AutoShape 654" descr="note-add">
          <a:extLst>
            <a:ext uri="{FF2B5EF4-FFF2-40B4-BE49-F238E27FC236}">
              <a16:creationId xmlns:a16="http://schemas.microsoft.com/office/drawing/2014/main" id="{D282D211-60AB-D84D-827C-B11E6BA81517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395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113</xdr:row>
      <xdr:rowOff>0</xdr:rowOff>
    </xdr:from>
    <xdr:ext cx="304800" cy="304799"/>
    <xdr:sp macro="" textlink="">
      <xdr:nvSpPr>
        <xdr:cNvPr id="87" name="AutoShape 655" descr="alert toggle">
          <a:extLst>
            <a:ext uri="{FF2B5EF4-FFF2-40B4-BE49-F238E27FC236}">
              <a16:creationId xmlns:a16="http://schemas.microsoft.com/office/drawing/2014/main" id="{534770A1-9980-594B-BF0C-AF3124DAA133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395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115</xdr:row>
      <xdr:rowOff>0</xdr:rowOff>
    </xdr:from>
    <xdr:ext cx="304800" cy="304799"/>
    <xdr:sp macro="" textlink="">
      <xdr:nvSpPr>
        <xdr:cNvPr id="88" name="AutoShape 658" descr="note-add">
          <a:extLst>
            <a:ext uri="{FF2B5EF4-FFF2-40B4-BE49-F238E27FC236}">
              <a16:creationId xmlns:a16="http://schemas.microsoft.com/office/drawing/2014/main" id="{21400C6A-8EC4-A94A-B73F-5179E3B2BE91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4371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115</xdr:row>
      <xdr:rowOff>0</xdr:rowOff>
    </xdr:from>
    <xdr:ext cx="304800" cy="304799"/>
    <xdr:sp macro="" textlink="">
      <xdr:nvSpPr>
        <xdr:cNvPr id="89" name="AutoShape 659" descr="alert toggle">
          <a:extLst>
            <a:ext uri="{FF2B5EF4-FFF2-40B4-BE49-F238E27FC236}">
              <a16:creationId xmlns:a16="http://schemas.microsoft.com/office/drawing/2014/main" id="{ADDD194D-15F2-F247-B204-4F5EF41F9B7E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4371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116</xdr:row>
      <xdr:rowOff>0</xdr:rowOff>
    </xdr:from>
    <xdr:ext cx="304800" cy="304800"/>
    <xdr:sp macro="" textlink="">
      <xdr:nvSpPr>
        <xdr:cNvPr id="90" name="AutoShape 662" descr="note-add">
          <a:extLst>
            <a:ext uri="{FF2B5EF4-FFF2-40B4-BE49-F238E27FC236}">
              <a16:creationId xmlns:a16="http://schemas.microsoft.com/office/drawing/2014/main" id="{5E737BAB-3282-1049-B623-51EF86C10DCC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4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116</xdr:row>
      <xdr:rowOff>0</xdr:rowOff>
    </xdr:from>
    <xdr:ext cx="304800" cy="304800"/>
    <xdr:sp macro="" textlink="">
      <xdr:nvSpPr>
        <xdr:cNvPr id="91" name="AutoShape 663" descr="alert toggle">
          <a:extLst>
            <a:ext uri="{FF2B5EF4-FFF2-40B4-BE49-F238E27FC236}">
              <a16:creationId xmlns:a16="http://schemas.microsoft.com/office/drawing/2014/main" id="{FD382BC8-3C15-4C42-8CDD-9BE404340D8F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4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117</xdr:row>
      <xdr:rowOff>0</xdr:rowOff>
    </xdr:from>
    <xdr:ext cx="304800" cy="304801"/>
    <xdr:sp macro="" textlink="">
      <xdr:nvSpPr>
        <xdr:cNvPr id="92" name="AutoShape 666" descr="note-add">
          <a:extLst>
            <a:ext uri="{FF2B5EF4-FFF2-40B4-BE49-F238E27FC236}">
              <a16:creationId xmlns:a16="http://schemas.microsoft.com/office/drawing/2014/main" id="{D15D0A73-6E07-DA4E-A0A5-3FB3B2414E70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479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117</xdr:row>
      <xdr:rowOff>0</xdr:rowOff>
    </xdr:from>
    <xdr:ext cx="304800" cy="304801"/>
    <xdr:sp macro="" textlink="">
      <xdr:nvSpPr>
        <xdr:cNvPr id="93" name="AutoShape 667" descr="alert toggle">
          <a:extLst>
            <a:ext uri="{FF2B5EF4-FFF2-40B4-BE49-F238E27FC236}">
              <a16:creationId xmlns:a16="http://schemas.microsoft.com/office/drawing/2014/main" id="{4297AEDA-610D-2C4B-925E-02528C2FCC15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479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119</xdr:row>
      <xdr:rowOff>0</xdr:rowOff>
    </xdr:from>
    <xdr:ext cx="304800" cy="304801"/>
    <xdr:sp macro="" textlink="">
      <xdr:nvSpPr>
        <xdr:cNvPr id="94" name="AutoShape 670" descr="note-add">
          <a:extLst>
            <a:ext uri="{FF2B5EF4-FFF2-40B4-BE49-F238E27FC236}">
              <a16:creationId xmlns:a16="http://schemas.microsoft.com/office/drawing/2014/main" id="{F9D743BA-99AC-4546-A9D8-C758965DE909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5222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119</xdr:row>
      <xdr:rowOff>0</xdr:rowOff>
    </xdr:from>
    <xdr:ext cx="304800" cy="304801"/>
    <xdr:sp macro="" textlink="">
      <xdr:nvSpPr>
        <xdr:cNvPr id="95" name="AutoShape 674" descr="note-add">
          <a:extLst>
            <a:ext uri="{FF2B5EF4-FFF2-40B4-BE49-F238E27FC236}">
              <a16:creationId xmlns:a16="http://schemas.microsoft.com/office/drawing/2014/main" id="{1F055EB6-3BE4-154C-8DC7-02F2D59E31A1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5222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119</xdr:row>
      <xdr:rowOff>0</xdr:rowOff>
    </xdr:from>
    <xdr:ext cx="304800" cy="304799"/>
    <xdr:sp macro="" textlink="">
      <xdr:nvSpPr>
        <xdr:cNvPr id="96" name="AutoShape 678" descr="note-add">
          <a:extLst>
            <a:ext uri="{FF2B5EF4-FFF2-40B4-BE49-F238E27FC236}">
              <a16:creationId xmlns:a16="http://schemas.microsoft.com/office/drawing/2014/main" id="{65F1DD94-794A-9B45-8FBE-2925AB1ECE87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522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120</xdr:row>
      <xdr:rowOff>0</xdr:rowOff>
    </xdr:from>
    <xdr:ext cx="304800" cy="304800"/>
    <xdr:sp macro="" textlink="">
      <xdr:nvSpPr>
        <xdr:cNvPr id="97" name="AutoShape 682" descr="note-add">
          <a:extLst>
            <a:ext uri="{FF2B5EF4-FFF2-40B4-BE49-F238E27FC236}">
              <a16:creationId xmlns:a16="http://schemas.microsoft.com/office/drawing/2014/main" id="{27EC1951-3290-AE4A-9647-A011C12CB6F8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54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120</xdr:row>
      <xdr:rowOff>0</xdr:rowOff>
    </xdr:from>
    <xdr:ext cx="304800" cy="304800"/>
    <xdr:sp macro="" textlink="">
      <xdr:nvSpPr>
        <xdr:cNvPr id="98" name="AutoShape 683" descr="alert toggle">
          <a:extLst>
            <a:ext uri="{FF2B5EF4-FFF2-40B4-BE49-F238E27FC236}">
              <a16:creationId xmlns:a16="http://schemas.microsoft.com/office/drawing/2014/main" id="{6237A8B5-BB9D-9B4B-8B68-628D1303DFCF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54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121</xdr:row>
      <xdr:rowOff>0</xdr:rowOff>
    </xdr:from>
    <xdr:ext cx="304800" cy="304799"/>
    <xdr:sp macro="" textlink="">
      <xdr:nvSpPr>
        <xdr:cNvPr id="99" name="AutoShape 686" descr="note-add">
          <a:extLst>
            <a:ext uri="{FF2B5EF4-FFF2-40B4-BE49-F238E27FC236}">
              <a16:creationId xmlns:a16="http://schemas.microsoft.com/office/drawing/2014/main" id="{35EBD7D9-6419-FF48-B281-81052B932661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565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121</xdr:row>
      <xdr:rowOff>0</xdr:rowOff>
    </xdr:from>
    <xdr:ext cx="304800" cy="304799"/>
    <xdr:sp macro="" textlink="">
      <xdr:nvSpPr>
        <xdr:cNvPr id="100" name="AutoShape 687" descr="alert toggle">
          <a:extLst>
            <a:ext uri="{FF2B5EF4-FFF2-40B4-BE49-F238E27FC236}">
              <a16:creationId xmlns:a16="http://schemas.microsoft.com/office/drawing/2014/main" id="{5DCA2BE4-7F4B-1749-A110-BA5D27934CE4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565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122</xdr:row>
      <xdr:rowOff>0</xdr:rowOff>
    </xdr:from>
    <xdr:ext cx="304800" cy="304800"/>
    <xdr:sp macro="" textlink="">
      <xdr:nvSpPr>
        <xdr:cNvPr id="101" name="AutoShape 691" descr="alert toggle">
          <a:extLst>
            <a:ext uri="{FF2B5EF4-FFF2-40B4-BE49-F238E27FC236}">
              <a16:creationId xmlns:a16="http://schemas.microsoft.com/office/drawing/2014/main" id="{A041CF5E-6AFA-6544-A7C2-DFB2B078D360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5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123</xdr:row>
      <xdr:rowOff>0</xdr:rowOff>
    </xdr:from>
    <xdr:ext cx="304800" cy="304799"/>
    <xdr:sp macro="" textlink="">
      <xdr:nvSpPr>
        <xdr:cNvPr id="102" name="AutoShape 694" descr="note-add">
          <a:extLst>
            <a:ext uri="{FF2B5EF4-FFF2-40B4-BE49-F238E27FC236}">
              <a16:creationId xmlns:a16="http://schemas.microsoft.com/office/drawing/2014/main" id="{BCD03CBF-0732-0147-8204-7FF7EC634B07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123</xdr:row>
      <xdr:rowOff>0</xdr:rowOff>
    </xdr:from>
    <xdr:ext cx="304800" cy="304799"/>
    <xdr:sp macro="" textlink="">
      <xdr:nvSpPr>
        <xdr:cNvPr id="103" name="AutoShape 695" descr="alert toggle">
          <a:extLst>
            <a:ext uri="{FF2B5EF4-FFF2-40B4-BE49-F238E27FC236}">
              <a16:creationId xmlns:a16="http://schemas.microsoft.com/office/drawing/2014/main" id="{73F63514-C3F8-354D-8F89-47959A6E1C74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123</xdr:row>
      <xdr:rowOff>0</xdr:rowOff>
    </xdr:from>
    <xdr:ext cx="304800" cy="304799"/>
    <xdr:sp macro="" textlink="">
      <xdr:nvSpPr>
        <xdr:cNvPr id="104" name="AutoShape 698" descr="note-add">
          <a:extLst>
            <a:ext uri="{FF2B5EF4-FFF2-40B4-BE49-F238E27FC236}">
              <a16:creationId xmlns:a16="http://schemas.microsoft.com/office/drawing/2014/main" id="{04DF453F-50DF-4C4B-A215-604664176084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123</xdr:row>
      <xdr:rowOff>0</xdr:rowOff>
    </xdr:from>
    <xdr:ext cx="304800" cy="304799"/>
    <xdr:sp macro="" textlink="">
      <xdr:nvSpPr>
        <xdr:cNvPr id="105" name="AutoShape 699" descr="alert toggle">
          <a:extLst>
            <a:ext uri="{FF2B5EF4-FFF2-40B4-BE49-F238E27FC236}">
              <a16:creationId xmlns:a16="http://schemas.microsoft.com/office/drawing/2014/main" id="{D0E4DA4B-F80D-724A-B837-A4057780D590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124</xdr:row>
      <xdr:rowOff>0</xdr:rowOff>
    </xdr:from>
    <xdr:ext cx="304800" cy="304799"/>
    <xdr:sp macro="" textlink="">
      <xdr:nvSpPr>
        <xdr:cNvPr id="106" name="AutoShape 702" descr="note-add">
          <a:extLst>
            <a:ext uri="{FF2B5EF4-FFF2-40B4-BE49-F238E27FC236}">
              <a16:creationId xmlns:a16="http://schemas.microsoft.com/office/drawing/2014/main" id="{899FAEA8-16FE-074E-B9AA-EBBFA25AA52C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6289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124</xdr:row>
      <xdr:rowOff>0</xdr:rowOff>
    </xdr:from>
    <xdr:ext cx="304800" cy="304799"/>
    <xdr:sp macro="" textlink="">
      <xdr:nvSpPr>
        <xdr:cNvPr id="107" name="AutoShape 703" descr="alert toggle">
          <a:extLst>
            <a:ext uri="{FF2B5EF4-FFF2-40B4-BE49-F238E27FC236}">
              <a16:creationId xmlns:a16="http://schemas.microsoft.com/office/drawing/2014/main" id="{51A40B19-E83E-B744-B03E-2EE1A31B387B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6289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125</xdr:row>
      <xdr:rowOff>0</xdr:rowOff>
    </xdr:from>
    <xdr:ext cx="304800" cy="304799"/>
    <xdr:sp macro="" textlink="">
      <xdr:nvSpPr>
        <xdr:cNvPr id="108" name="AutoShape 706" descr="note-add">
          <a:extLst>
            <a:ext uri="{FF2B5EF4-FFF2-40B4-BE49-F238E27FC236}">
              <a16:creationId xmlns:a16="http://schemas.microsoft.com/office/drawing/2014/main" id="{617A78B7-7850-A548-B5C6-66651F451927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6504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125</xdr:row>
      <xdr:rowOff>0</xdr:rowOff>
    </xdr:from>
    <xdr:ext cx="304800" cy="304799"/>
    <xdr:sp macro="" textlink="">
      <xdr:nvSpPr>
        <xdr:cNvPr id="109" name="AutoShape 707" descr="alert toggle">
          <a:extLst>
            <a:ext uri="{FF2B5EF4-FFF2-40B4-BE49-F238E27FC236}">
              <a16:creationId xmlns:a16="http://schemas.microsoft.com/office/drawing/2014/main" id="{A4F78992-B35C-B648-BF81-2F14F57784EA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6504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126</xdr:row>
      <xdr:rowOff>0</xdr:rowOff>
    </xdr:from>
    <xdr:ext cx="304800" cy="304800"/>
    <xdr:sp macro="" textlink="">
      <xdr:nvSpPr>
        <xdr:cNvPr id="110" name="AutoShape 710" descr="note-add">
          <a:extLst>
            <a:ext uri="{FF2B5EF4-FFF2-40B4-BE49-F238E27FC236}">
              <a16:creationId xmlns:a16="http://schemas.microsoft.com/office/drawing/2014/main" id="{1CB5D339-0588-C340-B689-7BF15AFD3F40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67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126</xdr:row>
      <xdr:rowOff>0</xdr:rowOff>
    </xdr:from>
    <xdr:ext cx="304800" cy="304800"/>
    <xdr:sp macro="" textlink="">
      <xdr:nvSpPr>
        <xdr:cNvPr id="111" name="AutoShape 711" descr="alert toggle">
          <a:extLst>
            <a:ext uri="{FF2B5EF4-FFF2-40B4-BE49-F238E27FC236}">
              <a16:creationId xmlns:a16="http://schemas.microsoft.com/office/drawing/2014/main" id="{D7B2155C-26E1-1F4D-8F9B-EF7B85C2911A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67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111</xdr:row>
      <xdr:rowOff>0</xdr:rowOff>
    </xdr:from>
    <xdr:ext cx="304800" cy="304799"/>
    <xdr:sp macro="" textlink="">
      <xdr:nvSpPr>
        <xdr:cNvPr id="112" name="AutoShape 979" descr="note-add">
          <a:extLst>
            <a:ext uri="{FF2B5EF4-FFF2-40B4-BE49-F238E27FC236}">
              <a16:creationId xmlns:a16="http://schemas.microsoft.com/office/drawing/2014/main" id="{458F7097-2C87-044D-A9BB-8BA6117CCD45}"/>
            </a:ext>
          </a:extLst>
        </xdr:cNvPr>
        <xdr:cNvSpPr>
          <a:spLocks noChangeAspect="1" noChangeArrowheads="1"/>
        </xdr:cNvSpPr>
      </xdr:nvSpPr>
      <xdr:spPr bwMode="auto">
        <a:xfrm>
          <a:off x="33477200" y="23545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111</xdr:row>
      <xdr:rowOff>0</xdr:rowOff>
    </xdr:from>
    <xdr:ext cx="304800" cy="304799"/>
    <xdr:sp macro="" textlink="">
      <xdr:nvSpPr>
        <xdr:cNvPr id="113" name="AutoShape 980" descr="alert toggle">
          <a:extLst>
            <a:ext uri="{FF2B5EF4-FFF2-40B4-BE49-F238E27FC236}">
              <a16:creationId xmlns:a16="http://schemas.microsoft.com/office/drawing/2014/main" id="{206CA70B-D9C9-0348-84AD-5E0D9DE6CACC}"/>
            </a:ext>
          </a:extLst>
        </xdr:cNvPr>
        <xdr:cNvSpPr>
          <a:spLocks noChangeAspect="1" noChangeArrowheads="1"/>
        </xdr:cNvSpPr>
      </xdr:nvSpPr>
      <xdr:spPr bwMode="auto">
        <a:xfrm>
          <a:off x="33794700" y="235458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112</xdr:row>
      <xdr:rowOff>0</xdr:rowOff>
    </xdr:from>
    <xdr:ext cx="304800" cy="304800"/>
    <xdr:sp macro="" textlink="">
      <xdr:nvSpPr>
        <xdr:cNvPr id="114" name="AutoShape 983" descr="note-add">
          <a:extLst>
            <a:ext uri="{FF2B5EF4-FFF2-40B4-BE49-F238E27FC236}">
              <a16:creationId xmlns:a16="http://schemas.microsoft.com/office/drawing/2014/main" id="{309D827F-DDE0-6144-A8DD-BFC58A74BA1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37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112</xdr:row>
      <xdr:rowOff>0</xdr:rowOff>
    </xdr:from>
    <xdr:ext cx="304800" cy="304800"/>
    <xdr:sp macro="" textlink="">
      <xdr:nvSpPr>
        <xdr:cNvPr id="115" name="AutoShape 984" descr="alert toggle">
          <a:extLst>
            <a:ext uri="{FF2B5EF4-FFF2-40B4-BE49-F238E27FC236}">
              <a16:creationId xmlns:a16="http://schemas.microsoft.com/office/drawing/2014/main" id="{99B5F298-5C3C-6447-870C-CED33C8493D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37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113</xdr:row>
      <xdr:rowOff>0</xdr:rowOff>
    </xdr:from>
    <xdr:ext cx="304800" cy="304799"/>
    <xdr:sp macro="" textlink="">
      <xdr:nvSpPr>
        <xdr:cNvPr id="116" name="AutoShape 987" descr="note-add">
          <a:extLst>
            <a:ext uri="{FF2B5EF4-FFF2-40B4-BE49-F238E27FC236}">
              <a16:creationId xmlns:a16="http://schemas.microsoft.com/office/drawing/2014/main" id="{50DD3248-D621-9041-AA12-DFF1CE83DAF4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395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113</xdr:row>
      <xdr:rowOff>0</xdr:rowOff>
    </xdr:from>
    <xdr:ext cx="304800" cy="304799"/>
    <xdr:sp macro="" textlink="">
      <xdr:nvSpPr>
        <xdr:cNvPr id="117" name="AutoShape 988" descr="alert toggle">
          <a:extLst>
            <a:ext uri="{FF2B5EF4-FFF2-40B4-BE49-F238E27FC236}">
              <a16:creationId xmlns:a16="http://schemas.microsoft.com/office/drawing/2014/main" id="{2DD91D31-6E86-5B47-AEFF-11CFA824D017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395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115</xdr:row>
      <xdr:rowOff>0</xdr:rowOff>
    </xdr:from>
    <xdr:ext cx="304800" cy="304799"/>
    <xdr:sp macro="" textlink="">
      <xdr:nvSpPr>
        <xdr:cNvPr id="118" name="AutoShape 991" descr="note-add">
          <a:extLst>
            <a:ext uri="{FF2B5EF4-FFF2-40B4-BE49-F238E27FC236}">
              <a16:creationId xmlns:a16="http://schemas.microsoft.com/office/drawing/2014/main" id="{9CED90C5-0D43-914D-96DD-80A255B7DF7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4371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115</xdr:row>
      <xdr:rowOff>0</xdr:rowOff>
    </xdr:from>
    <xdr:ext cx="304800" cy="304799"/>
    <xdr:sp macro="" textlink="">
      <xdr:nvSpPr>
        <xdr:cNvPr id="119" name="AutoShape 992" descr="alert toggle">
          <a:extLst>
            <a:ext uri="{FF2B5EF4-FFF2-40B4-BE49-F238E27FC236}">
              <a16:creationId xmlns:a16="http://schemas.microsoft.com/office/drawing/2014/main" id="{8FF665FA-A87B-4A49-A6F7-4CEA300B344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43713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116</xdr:row>
      <xdr:rowOff>0</xdr:rowOff>
    </xdr:from>
    <xdr:ext cx="304800" cy="304800"/>
    <xdr:sp macro="" textlink="">
      <xdr:nvSpPr>
        <xdr:cNvPr id="120" name="AutoShape 995" descr="note-add">
          <a:extLst>
            <a:ext uri="{FF2B5EF4-FFF2-40B4-BE49-F238E27FC236}">
              <a16:creationId xmlns:a16="http://schemas.microsoft.com/office/drawing/2014/main" id="{AD9CE1BE-05B9-3F4F-A952-81FE5B51B9C5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4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116</xdr:row>
      <xdr:rowOff>0</xdr:rowOff>
    </xdr:from>
    <xdr:ext cx="304800" cy="304800"/>
    <xdr:sp macro="" textlink="">
      <xdr:nvSpPr>
        <xdr:cNvPr id="121" name="AutoShape 996" descr="alert toggle">
          <a:extLst>
            <a:ext uri="{FF2B5EF4-FFF2-40B4-BE49-F238E27FC236}">
              <a16:creationId xmlns:a16="http://schemas.microsoft.com/office/drawing/2014/main" id="{CFC29C3F-970A-7643-BD3D-35C5C16CC501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4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117</xdr:row>
      <xdr:rowOff>0</xdr:rowOff>
    </xdr:from>
    <xdr:ext cx="304800" cy="304801"/>
    <xdr:sp macro="" textlink="">
      <xdr:nvSpPr>
        <xdr:cNvPr id="122" name="AutoShape 999" descr="note-add">
          <a:extLst>
            <a:ext uri="{FF2B5EF4-FFF2-40B4-BE49-F238E27FC236}">
              <a16:creationId xmlns:a16="http://schemas.microsoft.com/office/drawing/2014/main" id="{EA984157-DA52-5541-82D8-4A8584312615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479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117</xdr:row>
      <xdr:rowOff>0</xdr:rowOff>
    </xdr:from>
    <xdr:ext cx="304800" cy="304801"/>
    <xdr:sp macro="" textlink="">
      <xdr:nvSpPr>
        <xdr:cNvPr id="123" name="AutoShape 1000" descr="alert toggle">
          <a:extLst>
            <a:ext uri="{FF2B5EF4-FFF2-40B4-BE49-F238E27FC236}">
              <a16:creationId xmlns:a16="http://schemas.microsoft.com/office/drawing/2014/main" id="{AED475CE-959C-C345-848B-A1F5D8F1DAF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4790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119</xdr:row>
      <xdr:rowOff>0</xdr:rowOff>
    </xdr:from>
    <xdr:ext cx="304800" cy="304801"/>
    <xdr:sp macro="" textlink="">
      <xdr:nvSpPr>
        <xdr:cNvPr id="124" name="AutoShape 1003" descr="note-add">
          <a:extLst>
            <a:ext uri="{FF2B5EF4-FFF2-40B4-BE49-F238E27FC236}">
              <a16:creationId xmlns:a16="http://schemas.microsoft.com/office/drawing/2014/main" id="{C00B7BE1-B915-1D49-9EE7-D541C6FB991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5222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119</xdr:row>
      <xdr:rowOff>0</xdr:rowOff>
    </xdr:from>
    <xdr:ext cx="304800" cy="304801"/>
    <xdr:sp macro="" textlink="">
      <xdr:nvSpPr>
        <xdr:cNvPr id="125" name="AutoShape 1004" descr="alert toggle">
          <a:extLst>
            <a:ext uri="{FF2B5EF4-FFF2-40B4-BE49-F238E27FC236}">
              <a16:creationId xmlns:a16="http://schemas.microsoft.com/office/drawing/2014/main" id="{F53A9872-F6AE-0545-A888-568C3898C418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5222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119</xdr:row>
      <xdr:rowOff>0</xdr:rowOff>
    </xdr:from>
    <xdr:ext cx="304800" cy="304801"/>
    <xdr:sp macro="" textlink="">
      <xdr:nvSpPr>
        <xdr:cNvPr id="126" name="AutoShape 1007" descr="note-add">
          <a:extLst>
            <a:ext uri="{FF2B5EF4-FFF2-40B4-BE49-F238E27FC236}">
              <a16:creationId xmlns:a16="http://schemas.microsoft.com/office/drawing/2014/main" id="{EDA0CC68-6D4A-0446-A2E6-67E0ED158EB4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5222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119</xdr:row>
      <xdr:rowOff>0</xdr:rowOff>
    </xdr:from>
    <xdr:ext cx="304800" cy="304801"/>
    <xdr:sp macro="" textlink="">
      <xdr:nvSpPr>
        <xdr:cNvPr id="127" name="AutoShape 1008" descr="alert toggle">
          <a:extLst>
            <a:ext uri="{FF2B5EF4-FFF2-40B4-BE49-F238E27FC236}">
              <a16:creationId xmlns:a16="http://schemas.microsoft.com/office/drawing/2014/main" id="{6E788EDE-6FE2-2E40-92E1-8C7989F18092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5222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119</xdr:row>
      <xdr:rowOff>0</xdr:rowOff>
    </xdr:from>
    <xdr:ext cx="304800" cy="304799"/>
    <xdr:sp macro="" textlink="">
      <xdr:nvSpPr>
        <xdr:cNvPr id="128" name="AutoShape 1011" descr="note-add">
          <a:extLst>
            <a:ext uri="{FF2B5EF4-FFF2-40B4-BE49-F238E27FC236}">
              <a16:creationId xmlns:a16="http://schemas.microsoft.com/office/drawing/2014/main" id="{5FB1E3CC-8DCC-9847-879D-4942428AAAF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522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119</xdr:row>
      <xdr:rowOff>0</xdr:rowOff>
    </xdr:from>
    <xdr:ext cx="304800" cy="304799"/>
    <xdr:sp macro="" textlink="">
      <xdr:nvSpPr>
        <xdr:cNvPr id="129" name="AutoShape 1012" descr="alert toggle">
          <a:extLst>
            <a:ext uri="{FF2B5EF4-FFF2-40B4-BE49-F238E27FC236}">
              <a16:creationId xmlns:a16="http://schemas.microsoft.com/office/drawing/2014/main" id="{9923BEEA-0C45-3B4D-BF22-099D2B05FB8C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52222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120</xdr:row>
      <xdr:rowOff>0</xdr:rowOff>
    </xdr:from>
    <xdr:ext cx="304800" cy="304800"/>
    <xdr:sp macro="" textlink="">
      <xdr:nvSpPr>
        <xdr:cNvPr id="130" name="AutoShape 1015" descr="note-add">
          <a:extLst>
            <a:ext uri="{FF2B5EF4-FFF2-40B4-BE49-F238E27FC236}">
              <a16:creationId xmlns:a16="http://schemas.microsoft.com/office/drawing/2014/main" id="{943B1788-E9A9-9E4E-9838-C531E8B08CC8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54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120</xdr:row>
      <xdr:rowOff>0</xdr:rowOff>
    </xdr:from>
    <xdr:ext cx="304800" cy="304800"/>
    <xdr:sp macro="" textlink="">
      <xdr:nvSpPr>
        <xdr:cNvPr id="131" name="AutoShape 1016" descr="alert toggle">
          <a:extLst>
            <a:ext uri="{FF2B5EF4-FFF2-40B4-BE49-F238E27FC236}">
              <a16:creationId xmlns:a16="http://schemas.microsoft.com/office/drawing/2014/main" id="{87C75BBA-0970-E242-9194-7D102516085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54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121</xdr:row>
      <xdr:rowOff>0</xdr:rowOff>
    </xdr:from>
    <xdr:ext cx="304800" cy="304799"/>
    <xdr:sp macro="" textlink="">
      <xdr:nvSpPr>
        <xdr:cNvPr id="132" name="AutoShape 1019" descr="note-add">
          <a:extLst>
            <a:ext uri="{FF2B5EF4-FFF2-40B4-BE49-F238E27FC236}">
              <a16:creationId xmlns:a16="http://schemas.microsoft.com/office/drawing/2014/main" id="{61160F77-B943-BD46-9208-D34748DA3D8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565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121</xdr:row>
      <xdr:rowOff>0</xdr:rowOff>
    </xdr:from>
    <xdr:ext cx="304800" cy="304799"/>
    <xdr:sp macro="" textlink="">
      <xdr:nvSpPr>
        <xdr:cNvPr id="133" name="AutoShape 1020" descr="alert toggle">
          <a:extLst>
            <a:ext uri="{FF2B5EF4-FFF2-40B4-BE49-F238E27FC236}">
              <a16:creationId xmlns:a16="http://schemas.microsoft.com/office/drawing/2014/main" id="{4207821A-CDEE-F341-A681-8F6EF953D53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5654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122</xdr:row>
      <xdr:rowOff>0</xdr:rowOff>
    </xdr:from>
    <xdr:ext cx="304800" cy="304800"/>
    <xdr:sp macro="" textlink="">
      <xdr:nvSpPr>
        <xdr:cNvPr id="134" name="AutoShape 1023" descr="note-add">
          <a:extLst>
            <a:ext uri="{FF2B5EF4-FFF2-40B4-BE49-F238E27FC236}">
              <a16:creationId xmlns:a16="http://schemas.microsoft.com/office/drawing/2014/main" id="{D6BB0E84-6012-834A-A555-6AEA318CAB7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5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122</xdr:row>
      <xdr:rowOff>0</xdr:rowOff>
    </xdr:from>
    <xdr:ext cx="304800" cy="304800"/>
    <xdr:sp macro="" textlink="">
      <xdr:nvSpPr>
        <xdr:cNvPr id="135" name="AutoShape 1024" descr="alert toggle">
          <a:extLst>
            <a:ext uri="{FF2B5EF4-FFF2-40B4-BE49-F238E27FC236}">
              <a16:creationId xmlns:a16="http://schemas.microsoft.com/office/drawing/2014/main" id="{8685E2F9-9DA0-F948-8147-1C6863D2A6E2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5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123</xdr:row>
      <xdr:rowOff>0</xdr:rowOff>
    </xdr:from>
    <xdr:ext cx="304800" cy="304799"/>
    <xdr:sp macro="" textlink="">
      <xdr:nvSpPr>
        <xdr:cNvPr id="136" name="AutoShape 1027" descr="note-add">
          <a:extLst>
            <a:ext uri="{FF2B5EF4-FFF2-40B4-BE49-F238E27FC236}">
              <a16:creationId xmlns:a16="http://schemas.microsoft.com/office/drawing/2014/main" id="{44462552-FAD6-6D49-84A3-5573DF667E68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123</xdr:row>
      <xdr:rowOff>0</xdr:rowOff>
    </xdr:from>
    <xdr:ext cx="304800" cy="304799"/>
    <xdr:sp macro="" textlink="">
      <xdr:nvSpPr>
        <xdr:cNvPr id="137" name="AutoShape 1028" descr="alert toggle">
          <a:extLst>
            <a:ext uri="{FF2B5EF4-FFF2-40B4-BE49-F238E27FC236}">
              <a16:creationId xmlns:a16="http://schemas.microsoft.com/office/drawing/2014/main" id="{F6940989-0600-7840-857A-208F91D2D02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123</xdr:row>
      <xdr:rowOff>0</xdr:rowOff>
    </xdr:from>
    <xdr:ext cx="304800" cy="304799"/>
    <xdr:sp macro="" textlink="">
      <xdr:nvSpPr>
        <xdr:cNvPr id="138" name="AutoShape 1031" descr="note-add">
          <a:extLst>
            <a:ext uri="{FF2B5EF4-FFF2-40B4-BE49-F238E27FC236}">
              <a16:creationId xmlns:a16="http://schemas.microsoft.com/office/drawing/2014/main" id="{E6FD4B6A-380F-BD40-9143-3E7C7DDCE30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123</xdr:row>
      <xdr:rowOff>0</xdr:rowOff>
    </xdr:from>
    <xdr:ext cx="304800" cy="304799"/>
    <xdr:sp macro="" textlink="">
      <xdr:nvSpPr>
        <xdr:cNvPr id="139" name="AutoShape 1032" descr="alert toggle">
          <a:extLst>
            <a:ext uri="{FF2B5EF4-FFF2-40B4-BE49-F238E27FC236}">
              <a16:creationId xmlns:a16="http://schemas.microsoft.com/office/drawing/2014/main" id="{F55096B2-9EDE-C84C-A2F3-86A616B54F6A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6073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124</xdr:row>
      <xdr:rowOff>0</xdr:rowOff>
    </xdr:from>
    <xdr:ext cx="304800" cy="304799"/>
    <xdr:sp macro="" textlink="">
      <xdr:nvSpPr>
        <xdr:cNvPr id="140" name="AutoShape 1036" descr="alert toggle">
          <a:extLst>
            <a:ext uri="{FF2B5EF4-FFF2-40B4-BE49-F238E27FC236}">
              <a16:creationId xmlns:a16="http://schemas.microsoft.com/office/drawing/2014/main" id="{610E3069-8FBA-934A-9172-3475CD2B494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6289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125</xdr:row>
      <xdr:rowOff>0</xdr:rowOff>
    </xdr:from>
    <xdr:ext cx="304800" cy="304799"/>
    <xdr:sp macro="" textlink="">
      <xdr:nvSpPr>
        <xdr:cNvPr id="141" name="AutoShape 1039" descr="note-add">
          <a:extLst>
            <a:ext uri="{FF2B5EF4-FFF2-40B4-BE49-F238E27FC236}">
              <a16:creationId xmlns:a16="http://schemas.microsoft.com/office/drawing/2014/main" id="{641C9ACC-39A5-A145-BC17-E2A2CC8AE6CC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6504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125</xdr:row>
      <xdr:rowOff>0</xdr:rowOff>
    </xdr:from>
    <xdr:ext cx="304800" cy="304799"/>
    <xdr:sp macro="" textlink="">
      <xdr:nvSpPr>
        <xdr:cNvPr id="142" name="AutoShape 1040" descr="alert toggle">
          <a:extLst>
            <a:ext uri="{FF2B5EF4-FFF2-40B4-BE49-F238E27FC236}">
              <a16:creationId xmlns:a16="http://schemas.microsoft.com/office/drawing/2014/main" id="{A6CF8CC5-6071-6E43-A1DF-ADD107C6E26C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6504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126</xdr:row>
      <xdr:rowOff>0</xdr:rowOff>
    </xdr:from>
    <xdr:ext cx="304800" cy="304800"/>
    <xdr:sp macro="" textlink="">
      <xdr:nvSpPr>
        <xdr:cNvPr id="143" name="AutoShape 1043" descr="note-add">
          <a:extLst>
            <a:ext uri="{FF2B5EF4-FFF2-40B4-BE49-F238E27FC236}">
              <a16:creationId xmlns:a16="http://schemas.microsoft.com/office/drawing/2014/main" id="{A1177670-6311-6248-BD6E-54DB2C0EDDD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67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126</xdr:row>
      <xdr:rowOff>0</xdr:rowOff>
    </xdr:from>
    <xdr:ext cx="304800" cy="304800"/>
    <xdr:sp macro="" textlink="">
      <xdr:nvSpPr>
        <xdr:cNvPr id="144" name="AutoShape 1044" descr="alert toggle">
          <a:extLst>
            <a:ext uri="{FF2B5EF4-FFF2-40B4-BE49-F238E27FC236}">
              <a16:creationId xmlns:a16="http://schemas.microsoft.com/office/drawing/2014/main" id="{8B204291-7D92-1E42-A9B0-A3E42C94865C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67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127</xdr:row>
      <xdr:rowOff>0</xdr:rowOff>
    </xdr:from>
    <xdr:ext cx="304800" cy="304799"/>
    <xdr:sp macro="" textlink="">
      <xdr:nvSpPr>
        <xdr:cNvPr id="145" name="AutoShape 1047" descr="note-add">
          <a:extLst>
            <a:ext uri="{FF2B5EF4-FFF2-40B4-BE49-F238E27FC236}">
              <a16:creationId xmlns:a16="http://schemas.microsoft.com/office/drawing/2014/main" id="{7FA98918-FB5D-D74D-A703-6EB4446CB6B7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2693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127</xdr:row>
      <xdr:rowOff>0</xdr:rowOff>
    </xdr:from>
    <xdr:ext cx="304800" cy="304799"/>
    <xdr:sp macro="" textlink="">
      <xdr:nvSpPr>
        <xdr:cNvPr id="146" name="AutoShape 1048" descr="alert toggle">
          <a:extLst>
            <a:ext uri="{FF2B5EF4-FFF2-40B4-BE49-F238E27FC236}">
              <a16:creationId xmlns:a16="http://schemas.microsoft.com/office/drawing/2014/main" id="{39BDF016-B093-B245-9327-FEC3BED9F53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2693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128</xdr:row>
      <xdr:rowOff>0</xdr:rowOff>
    </xdr:from>
    <xdr:ext cx="304800" cy="304800"/>
    <xdr:sp macro="" textlink="">
      <xdr:nvSpPr>
        <xdr:cNvPr id="147" name="AutoShape 1051" descr="note-add">
          <a:extLst>
            <a:ext uri="{FF2B5EF4-FFF2-40B4-BE49-F238E27FC236}">
              <a16:creationId xmlns:a16="http://schemas.microsoft.com/office/drawing/2014/main" id="{6FC084CB-2267-7D4C-AB2E-488A13E69B8D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271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128</xdr:row>
      <xdr:rowOff>0</xdr:rowOff>
    </xdr:from>
    <xdr:ext cx="304800" cy="304800"/>
    <xdr:sp macro="" textlink="">
      <xdr:nvSpPr>
        <xdr:cNvPr id="148" name="AutoShape 1052" descr="alert toggle">
          <a:extLst>
            <a:ext uri="{FF2B5EF4-FFF2-40B4-BE49-F238E27FC236}">
              <a16:creationId xmlns:a16="http://schemas.microsoft.com/office/drawing/2014/main" id="{1023B01D-01A5-424B-8D1A-3138952F3428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271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110</xdr:row>
      <xdr:rowOff>0</xdr:rowOff>
    </xdr:from>
    <xdr:ext cx="304800" cy="304800"/>
    <xdr:sp macro="" textlink="">
      <xdr:nvSpPr>
        <xdr:cNvPr id="149" name="AutoShape 1201" descr="note-add">
          <a:extLst>
            <a:ext uri="{FF2B5EF4-FFF2-40B4-BE49-F238E27FC236}">
              <a16:creationId xmlns:a16="http://schemas.microsoft.com/office/drawing/2014/main" id="{540EBDE8-005C-A542-A5C6-FB65218D7D9B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33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110</xdr:row>
      <xdr:rowOff>0</xdr:rowOff>
    </xdr:from>
    <xdr:ext cx="304800" cy="304800"/>
    <xdr:sp macro="" textlink="">
      <xdr:nvSpPr>
        <xdr:cNvPr id="150" name="AutoShape 1202" descr="alert toggle">
          <a:extLst>
            <a:ext uri="{FF2B5EF4-FFF2-40B4-BE49-F238E27FC236}">
              <a16:creationId xmlns:a16="http://schemas.microsoft.com/office/drawing/2014/main" id="{B8D7BE92-9884-EE40-8253-EC509402BE03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33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799"/>
    <xdr:sp macro="" textlink="">
      <xdr:nvSpPr>
        <xdr:cNvPr id="151" name="AutoShape 1205" descr="note-add">
          <a:extLst>
            <a:ext uri="{FF2B5EF4-FFF2-40B4-BE49-F238E27FC236}">
              <a16:creationId xmlns:a16="http://schemas.microsoft.com/office/drawing/2014/main" id="{97DBC95C-FC96-624C-ADD9-B429B01AE06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33</xdr:row>
      <xdr:rowOff>0</xdr:rowOff>
    </xdr:from>
    <xdr:ext cx="304800" cy="304799"/>
    <xdr:sp macro="" textlink="">
      <xdr:nvSpPr>
        <xdr:cNvPr id="152" name="AutoShape 1206" descr="alert toggle">
          <a:extLst>
            <a:ext uri="{FF2B5EF4-FFF2-40B4-BE49-F238E27FC236}">
              <a16:creationId xmlns:a16="http://schemas.microsoft.com/office/drawing/2014/main" id="{B13FDB8D-44F4-7B4E-A38F-DAD1019DDC81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153" name="AutoShape 1209" descr="note-add">
          <a:extLst>
            <a:ext uri="{FF2B5EF4-FFF2-40B4-BE49-F238E27FC236}">
              <a16:creationId xmlns:a16="http://schemas.microsoft.com/office/drawing/2014/main" id="{248DB84E-D9FC-9C41-861A-D295053B018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</xdr:row>
      <xdr:rowOff>0</xdr:rowOff>
    </xdr:from>
    <xdr:ext cx="304800" cy="304800"/>
    <xdr:sp macro="" textlink="">
      <xdr:nvSpPr>
        <xdr:cNvPr id="154" name="AutoShape 1210" descr="alert toggle">
          <a:extLst>
            <a:ext uri="{FF2B5EF4-FFF2-40B4-BE49-F238E27FC236}">
              <a16:creationId xmlns:a16="http://schemas.microsoft.com/office/drawing/2014/main" id="{8F91EB11-7728-5940-82A7-3473D955FA4A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798"/>
    <xdr:sp macro="" textlink="">
      <xdr:nvSpPr>
        <xdr:cNvPr id="155" name="AutoShape 1213" descr="note-add">
          <a:extLst>
            <a:ext uri="{FF2B5EF4-FFF2-40B4-BE49-F238E27FC236}">
              <a16:creationId xmlns:a16="http://schemas.microsoft.com/office/drawing/2014/main" id="{F0A0045A-137C-F24E-92F3-E3F8964881EA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</xdr:row>
      <xdr:rowOff>0</xdr:rowOff>
    </xdr:from>
    <xdr:ext cx="304800" cy="304798"/>
    <xdr:sp macro="" textlink="">
      <xdr:nvSpPr>
        <xdr:cNvPr id="156" name="AutoShape 1214" descr="alert toggle">
          <a:extLst>
            <a:ext uri="{FF2B5EF4-FFF2-40B4-BE49-F238E27FC236}">
              <a16:creationId xmlns:a16="http://schemas.microsoft.com/office/drawing/2014/main" id="{15EC6A46-CDB2-CC4B-AABC-31DCEF8C8695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157" name="AutoShape 1217" descr="note-add">
          <a:extLst>
            <a:ext uri="{FF2B5EF4-FFF2-40B4-BE49-F238E27FC236}">
              <a16:creationId xmlns:a16="http://schemas.microsoft.com/office/drawing/2014/main" id="{419B6AA4-53CB-1943-901E-42380007505C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</xdr:row>
      <xdr:rowOff>0</xdr:rowOff>
    </xdr:from>
    <xdr:ext cx="304800" cy="304800"/>
    <xdr:sp macro="" textlink="">
      <xdr:nvSpPr>
        <xdr:cNvPr id="158" name="AutoShape 1218" descr="alert toggle">
          <a:extLst>
            <a:ext uri="{FF2B5EF4-FFF2-40B4-BE49-F238E27FC236}">
              <a16:creationId xmlns:a16="http://schemas.microsoft.com/office/drawing/2014/main" id="{C4CDD773-7AD4-FC41-9E8A-4ECB7273057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159" name="AutoShape 1221" descr="note-add">
          <a:extLst>
            <a:ext uri="{FF2B5EF4-FFF2-40B4-BE49-F238E27FC236}">
              <a16:creationId xmlns:a16="http://schemas.microsoft.com/office/drawing/2014/main" id="{1E44127F-C9D2-324D-8FAD-951077AF6CC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</xdr:row>
      <xdr:rowOff>0</xdr:rowOff>
    </xdr:from>
    <xdr:ext cx="304800" cy="304800"/>
    <xdr:sp macro="" textlink="">
      <xdr:nvSpPr>
        <xdr:cNvPr id="160" name="AutoShape 1222" descr="alert toggle">
          <a:extLst>
            <a:ext uri="{FF2B5EF4-FFF2-40B4-BE49-F238E27FC236}">
              <a16:creationId xmlns:a16="http://schemas.microsoft.com/office/drawing/2014/main" id="{245389BF-9D62-4044-8F0B-B9C62F2F2F9A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161" name="AutoShape 1225" descr="note-add">
          <a:extLst>
            <a:ext uri="{FF2B5EF4-FFF2-40B4-BE49-F238E27FC236}">
              <a16:creationId xmlns:a16="http://schemas.microsoft.com/office/drawing/2014/main" id="{CCB5C334-2C57-7F45-89BC-44F2B8EE36A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162" name="AutoShape 1226" descr="alert toggle">
          <a:extLst>
            <a:ext uri="{FF2B5EF4-FFF2-40B4-BE49-F238E27FC236}">
              <a16:creationId xmlns:a16="http://schemas.microsoft.com/office/drawing/2014/main" id="{3A48F2A0-8900-864B-99F5-E1310C9BE71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163" name="AutoShape 1229" descr="note-add">
          <a:extLst>
            <a:ext uri="{FF2B5EF4-FFF2-40B4-BE49-F238E27FC236}">
              <a16:creationId xmlns:a16="http://schemas.microsoft.com/office/drawing/2014/main" id="{8F6BF1CA-0E56-0840-8128-B4C60165F04A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164" name="AutoShape 1230" descr="alert toggle">
          <a:extLst>
            <a:ext uri="{FF2B5EF4-FFF2-40B4-BE49-F238E27FC236}">
              <a16:creationId xmlns:a16="http://schemas.microsoft.com/office/drawing/2014/main" id="{96809D88-D301-B74C-AE35-764EB2B5969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1"/>
    <xdr:sp macro="" textlink="">
      <xdr:nvSpPr>
        <xdr:cNvPr id="165" name="AutoShape 1233" descr="note-add">
          <a:extLst>
            <a:ext uri="{FF2B5EF4-FFF2-40B4-BE49-F238E27FC236}">
              <a16:creationId xmlns:a16="http://schemas.microsoft.com/office/drawing/2014/main" id="{D99EFFAD-BAF4-A041-AB97-518E43DCA560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</xdr:row>
      <xdr:rowOff>0</xdr:rowOff>
    </xdr:from>
    <xdr:ext cx="304800" cy="304801"/>
    <xdr:sp macro="" textlink="">
      <xdr:nvSpPr>
        <xdr:cNvPr id="166" name="AutoShape 1234" descr="alert toggle">
          <a:extLst>
            <a:ext uri="{FF2B5EF4-FFF2-40B4-BE49-F238E27FC236}">
              <a16:creationId xmlns:a16="http://schemas.microsoft.com/office/drawing/2014/main" id="{65F6178C-68DB-564C-9BAE-A7BD1B469F3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167" name="AutoShape 1237" descr="note-add">
          <a:extLst>
            <a:ext uri="{FF2B5EF4-FFF2-40B4-BE49-F238E27FC236}">
              <a16:creationId xmlns:a16="http://schemas.microsoft.com/office/drawing/2014/main" id="{13157163-FF93-0047-8474-9A04A3826B1E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</xdr:row>
      <xdr:rowOff>0</xdr:rowOff>
    </xdr:from>
    <xdr:ext cx="304800" cy="304800"/>
    <xdr:sp macro="" textlink="">
      <xdr:nvSpPr>
        <xdr:cNvPr id="168" name="AutoShape 1238" descr="alert toggle">
          <a:extLst>
            <a:ext uri="{FF2B5EF4-FFF2-40B4-BE49-F238E27FC236}">
              <a16:creationId xmlns:a16="http://schemas.microsoft.com/office/drawing/2014/main" id="{ACD50E14-8071-334F-9C45-DDAF1638F238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1"/>
    <xdr:sp macro="" textlink="">
      <xdr:nvSpPr>
        <xdr:cNvPr id="169" name="AutoShape 1241" descr="note-add">
          <a:extLst>
            <a:ext uri="{FF2B5EF4-FFF2-40B4-BE49-F238E27FC236}">
              <a16:creationId xmlns:a16="http://schemas.microsoft.com/office/drawing/2014/main" id="{C40E954E-04A5-1B4F-9EFE-E97F6B7E9EFE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572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41</xdr:row>
      <xdr:rowOff>0</xdr:rowOff>
    </xdr:from>
    <xdr:ext cx="304800" cy="304801"/>
    <xdr:sp macro="" textlink="">
      <xdr:nvSpPr>
        <xdr:cNvPr id="170" name="AutoShape 1242" descr="alert toggle">
          <a:extLst>
            <a:ext uri="{FF2B5EF4-FFF2-40B4-BE49-F238E27FC236}">
              <a16:creationId xmlns:a16="http://schemas.microsoft.com/office/drawing/2014/main" id="{E81CA7BF-216F-6441-8250-0A3DA8AB5290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572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42</xdr:row>
      <xdr:rowOff>0</xdr:rowOff>
    </xdr:from>
    <xdr:ext cx="304800" cy="304800"/>
    <xdr:sp macro="" textlink="">
      <xdr:nvSpPr>
        <xdr:cNvPr id="171" name="AutoShape 1245" descr="note-add">
          <a:extLst>
            <a:ext uri="{FF2B5EF4-FFF2-40B4-BE49-F238E27FC236}">
              <a16:creationId xmlns:a16="http://schemas.microsoft.com/office/drawing/2014/main" id="{72DE93A3-5EE2-FD4B-8C73-8FBCC3BEB8FC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42</xdr:row>
      <xdr:rowOff>0</xdr:rowOff>
    </xdr:from>
    <xdr:ext cx="304800" cy="304800"/>
    <xdr:sp macro="" textlink="">
      <xdr:nvSpPr>
        <xdr:cNvPr id="172" name="AutoShape 1246" descr="alert toggle">
          <a:extLst>
            <a:ext uri="{FF2B5EF4-FFF2-40B4-BE49-F238E27FC236}">
              <a16:creationId xmlns:a16="http://schemas.microsoft.com/office/drawing/2014/main" id="{DB2A79B8-3C46-8645-A121-3BDE8D440ED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1"/>
    <xdr:sp macro="" textlink="">
      <xdr:nvSpPr>
        <xdr:cNvPr id="173" name="AutoShape 1249" descr="note-add">
          <a:extLst>
            <a:ext uri="{FF2B5EF4-FFF2-40B4-BE49-F238E27FC236}">
              <a16:creationId xmlns:a16="http://schemas.microsoft.com/office/drawing/2014/main" id="{9E7E2C21-F260-834A-88A7-6FABAE63240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43</xdr:row>
      <xdr:rowOff>0</xdr:rowOff>
    </xdr:from>
    <xdr:ext cx="304800" cy="304801"/>
    <xdr:sp macro="" textlink="">
      <xdr:nvSpPr>
        <xdr:cNvPr id="174" name="AutoShape 1250" descr="alert toggle">
          <a:extLst>
            <a:ext uri="{FF2B5EF4-FFF2-40B4-BE49-F238E27FC236}">
              <a16:creationId xmlns:a16="http://schemas.microsoft.com/office/drawing/2014/main" id="{07D4CECD-86CB-2A40-94B0-CA946B7434C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175" name="AutoShape 1253" descr="note-add">
          <a:extLst>
            <a:ext uri="{FF2B5EF4-FFF2-40B4-BE49-F238E27FC236}">
              <a16:creationId xmlns:a16="http://schemas.microsoft.com/office/drawing/2014/main" id="{919BC9CD-EF52-E24C-99D8-0CAA70916A07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176" name="AutoShape 1254" descr="alert toggle">
          <a:extLst>
            <a:ext uri="{FF2B5EF4-FFF2-40B4-BE49-F238E27FC236}">
              <a16:creationId xmlns:a16="http://schemas.microsoft.com/office/drawing/2014/main" id="{528251D9-387C-5748-A4BE-BCF4ACDDAB7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177" name="AutoShape 1257" descr="note-add">
          <a:extLst>
            <a:ext uri="{FF2B5EF4-FFF2-40B4-BE49-F238E27FC236}">
              <a16:creationId xmlns:a16="http://schemas.microsoft.com/office/drawing/2014/main" id="{9C2E1EE7-9A28-B241-8BDF-814CF6B99E26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178" name="AutoShape 1258" descr="alert toggle">
          <a:extLst>
            <a:ext uri="{FF2B5EF4-FFF2-40B4-BE49-F238E27FC236}">
              <a16:creationId xmlns:a16="http://schemas.microsoft.com/office/drawing/2014/main" id="{C3A4A79D-C40A-BB41-9ACE-B6FDEC6271A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179" name="AutoShape 1261" descr="note-add">
          <a:extLst>
            <a:ext uri="{FF2B5EF4-FFF2-40B4-BE49-F238E27FC236}">
              <a16:creationId xmlns:a16="http://schemas.microsoft.com/office/drawing/2014/main" id="{BE89BD0A-8303-3148-B2D6-8F43645E4220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180" name="AutoShape 1262" descr="alert toggle">
          <a:extLst>
            <a:ext uri="{FF2B5EF4-FFF2-40B4-BE49-F238E27FC236}">
              <a16:creationId xmlns:a16="http://schemas.microsoft.com/office/drawing/2014/main" id="{AAF3F77C-69E1-D44C-B0B3-5D40212C5EF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181" name="AutoShape 1265" descr="note-add">
          <a:extLst>
            <a:ext uri="{FF2B5EF4-FFF2-40B4-BE49-F238E27FC236}">
              <a16:creationId xmlns:a16="http://schemas.microsoft.com/office/drawing/2014/main" id="{995CB9C2-32C9-F343-8EF1-C98CC8DA73B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182" name="AutoShape 1266" descr="alert toggle">
          <a:extLst>
            <a:ext uri="{FF2B5EF4-FFF2-40B4-BE49-F238E27FC236}">
              <a16:creationId xmlns:a16="http://schemas.microsoft.com/office/drawing/2014/main" id="{03EC784D-04C5-134F-B033-4CBA3C7BD21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183" name="AutoShape 1269" descr="note-add">
          <a:extLst>
            <a:ext uri="{FF2B5EF4-FFF2-40B4-BE49-F238E27FC236}">
              <a16:creationId xmlns:a16="http://schemas.microsoft.com/office/drawing/2014/main" id="{EFD26FE0-8539-3345-A4FB-3A953399A16A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48</xdr:row>
      <xdr:rowOff>0</xdr:rowOff>
    </xdr:from>
    <xdr:ext cx="304800" cy="304800"/>
    <xdr:sp macro="" textlink="">
      <xdr:nvSpPr>
        <xdr:cNvPr id="184" name="AutoShape 1270" descr="alert toggle">
          <a:extLst>
            <a:ext uri="{FF2B5EF4-FFF2-40B4-BE49-F238E27FC236}">
              <a16:creationId xmlns:a16="http://schemas.microsoft.com/office/drawing/2014/main" id="{674F0317-9DD3-CC4A-A655-BFBC982DB70F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304800"/>
    <xdr:sp macro="" textlink="">
      <xdr:nvSpPr>
        <xdr:cNvPr id="185" name="AutoShape 1273" descr="note-add">
          <a:extLst>
            <a:ext uri="{FF2B5EF4-FFF2-40B4-BE49-F238E27FC236}">
              <a16:creationId xmlns:a16="http://schemas.microsoft.com/office/drawing/2014/main" id="{605530BD-4B6F-374A-BA9B-59D4C86ABCCC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</xdr:row>
      <xdr:rowOff>0</xdr:rowOff>
    </xdr:from>
    <xdr:ext cx="304800" cy="304800"/>
    <xdr:sp macro="" textlink="">
      <xdr:nvSpPr>
        <xdr:cNvPr id="186" name="AutoShape 1274" descr="alert toggle">
          <a:extLst>
            <a:ext uri="{FF2B5EF4-FFF2-40B4-BE49-F238E27FC236}">
              <a16:creationId xmlns:a16="http://schemas.microsoft.com/office/drawing/2014/main" id="{853EE659-9103-D147-A2CE-4A26D4233D2D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110</xdr:row>
      <xdr:rowOff>0</xdr:rowOff>
    </xdr:from>
    <xdr:ext cx="304800" cy="304800"/>
    <xdr:sp macro="" textlink="">
      <xdr:nvSpPr>
        <xdr:cNvPr id="187" name="AutoShape 1275" descr="note-add">
          <a:extLst>
            <a:ext uri="{FF2B5EF4-FFF2-40B4-BE49-F238E27FC236}">
              <a16:creationId xmlns:a16="http://schemas.microsoft.com/office/drawing/2014/main" id="{FF4C210C-0745-7645-8D9E-33E0E14CF7A0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33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110</xdr:row>
      <xdr:rowOff>0</xdr:rowOff>
    </xdr:from>
    <xdr:ext cx="304800" cy="304800"/>
    <xdr:sp macro="" textlink="">
      <xdr:nvSpPr>
        <xdr:cNvPr id="188" name="AutoShape 1276" descr="alert toggle">
          <a:extLst>
            <a:ext uri="{FF2B5EF4-FFF2-40B4-BE49-F238E27FC236}">
              <a16:creationId xmlns:a16="http://schemas.microsoft.com/office/drawing/2014/main" id="{F75A0BA5-CEF8-9040-9A59-94872DC3351C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33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799"/>
    <xdr:sp macro="" textlink="">
      <xdr:nvSpPr>
        <xdr:cNvPr id="189" name="AutoShape 1279" descr="note-add">
          <a:extLst>
            <a:ext uri="{FF2B5EF4-FFF2-40B4-BE49-F238E27FC236}">
              <a16:creationId xmlns:a16="http://schemas.microsoft.com/office/drawing/2014/main" id="{15BBB0BB-1DD2-B241-92DB-92DADA5CDBD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33</xdr:row>
      <xdr:rowOff>0</xdr:rowOff>
    </xdr:from>
    <xdr:ext cx="304800" cy="304799"/>
    <xdr:sp macro="" textlink="">
      <xdr:nvSpPr>
        <xdr:cNvPr id="190" name="AutoShape 1280" descr="alert toggle">
          <a:extLst>
            <a:ext uri="{FF2B5EF4-FFF2-40B4-BE49-F238E27FC236}">
              <a16:creationId xmlns:a16="http://schemas.microsoft.com/office/drawing/2014/main" id="{3447B856-04B8-BD4D-89DC-783D5950EAA0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191" name="AutoShape 1283" descr="note-add">
          <a:extLst>
            <a:ext uri="{FF2B5EF4-FFF2-40B4-BE49-F238E27FC236}">
              <a16:creationId xmlns:a16="http://schemas.microsoft.com/office/drawing/2014/main" id="{B34E61F5-170B-314B-B8DD-185E1B6B1908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</xdr:row>
      <xdr:rowOff>0</xdr:rowOff>
    </xdr:from>
    <xdr:ext cx="304800" cy="304800"/>
    <xdr:sp macro="" textlink="">
      <xdr:nvSpPr>
        <xdr:cNvPr id="192" name="AutoShape 1284" descr="alert toggle">
          <a:extLst>
            <a:ext uri="{FF2B5EF4-FFF2-40B4-BE49-F238E27FC236}">
              <a16:creationId xmlns:a16="http://schemas.microsoft.com/office/drawing/2014/main" id="{3753CABB-B9C3-9F49-BD6E-0EC0BA0E10F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798"/>
    <xdr:sp macro="" textlink="">
      <xdr:nvSpPr>
        <xdr:cNvPr id="193" name="AutoShape 1287" descr="note-add">
          <a:extLst>
            <a:ext uri="{FF2B5EF4-FFF2-40B4-BE49-F238E27FC236}">
              <a16:creationId xmlns:a16="http://schemas.microsoft.com/office/drawing/2014/main" id="{2F037716-B420-0C42-B118-A88C899D7418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</xdr:row>
      <xdr:rowOff>0</xdr:rowOff>
    </xdr:from>
    <xdr:ext cx="304800" cy="304798"/>
    <xdr:sp macro="" textlink="">
      <xdr:nvSpPr>
        <xdr:cNvPr id="194" name="AutoShape 1288" descr="alert toggle">
          <a:extLst>
            <a:ext uri="{FF2B5EF4-FFF2-40B4-BE49-F238E27FC236}">
              <a16:creationId xmlns:a16="http://schemas.microsoft.com/office/drawing/2014/main" id="{F39F6025-264A-B242-A4CA-BB8828FC8DDC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195" name="AutoShape 1291" descr="note-add">
          <a:extLst>
            <a:ext uri="{FF2B5EF4-FFF2-40B4-BE49-F238E27FC236}">
              <a16:creationId xmlns:a16="http://schemas.microsoft.com/office/drawing/2014/main" id="{F3FC7ACC-5C52-1E47-B152-7046FD03B7DA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</xdr:row>
      <xdr:rowOff>0</xdr:rowOff>
    </xdr:from>
    <xdr:ext cx="304800" cy="304800"/>
    <xdr:sp macro="" textlink="">
      <xdr:nvSpPr>
        <xdr:cNvPr id="196" name="AutoShape 1292" descr="alert toggle">
          <a:extLst>
            <a:ext uri="{FF2B5EF4-FFF2-40B4-BE49-F238E27FC236}">
              <a16:creationId xmlns:a16="http://schemas.microsoft.com/office/drawing/2014/main" id="{DDA78706-7965-C64E-BF6D-532D86012C72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197" name="AutoShape 1295" descr="note-add">
          <a:extLst>
            <a:ext uri="{FF2B5EF4-FFF2-40B4-BE49-F238E27FC236}">
              <a16:creationId xmlns:a16="http://schemas.microsoft.com/office/drawing/2014/main" id="{BC8CEEBD-8F9A-9C46-8B4D-4A817DDEB3D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</xdr:row>
      <xdr:rowOff>0</xdr:rowOff>
    </xdr:from>
    <xdr:ext cx="304800" cy="304800"/>
    <xdr:sp macro="" textlink="">
      <xdr:nvSpPr>
        <xdr:cNvPr id="198" name="AutoShape 1296" descr="alert toggle">
          <a:extLst>
            <a:ext uri="{FF2B5EF4-FFF2-40B4-BE49-F238E27FC236}">
              <a16:creationId xmlns:a16="http://schemas.microsoft.com/office/drawing/2014/main" id="{A5816364-9E9C-3C44-A5B9-AAC108B08CA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199" name="AutoShape 1299" descr="note-add">
          <a:extLst>
            <a:ext uri="{FF2B5EF4-FFF2-40B4-BE49-F238E27FC236}">
              <a16:creationId xmlns:a16="http://schemas.microsoft.com/office/drawing/2014/main" id="{898ACE05-5432-AC49-9691-1B46C242082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200" name="AutoShape 1300" descr="alert toggle">
          <a:extLst>
            <a:ext uri="{FF2B5EF4-FFF2-40B4-BE49-F238E27FC236}">
              <a16:creationId xmlns:a16="http://schemas.microsoft.com/office/drawing/2014/main" id="{DDB7F7D4-D94B-0149-A7C1-4DB88B5E9CBC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201" name="AutoShape 1303" descr="note-add">
          <a:extLst>
            <a:ext uri="{FF2B5EF4-FFF2-40B4-BE49-F238E27FC236}">
              <a16:creationId xmlns:a16="http://schemas.microsoft.com/office/drawing/2014/main" id="{AFFAF1AB-BA5B-9E4D-A2B9-5A7DA2685F5C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202" name="AutoShape 1304" descr="alert toggle">
          <a:extLst>
            <a:ext uri="{FF2B5EF4-FFF2-40B4-BE49-F238E27FC236}">
              <a16:creationId xmlns:a16="http://schemas.microsoft.com/office/drawing/2014/main" id="{6531AA58-DE64-6945-8332-84574AD2ED81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1"/>
    <xdr:sp macro="" textlink="">
      <xdr:nvSpPr>
        <xdr:cNvPr id="203" name="AutoShape 1307" descr="note-add">
          <a:extLst>
            <a:ext uri="{FF2B5EF4-FFF2-40B4-BE49-F238E27FC236}">
              <a16:creationId xmlns:a16="http://schemas.microsoft.com/office/drawing/2014/main" id="{0F8C13FF-CFD5-3046-AA74-F3CD806FF505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</xdr:row>
      <xdr:rowOff>0</xdr:rowOff>
    </xdr:from>
    <xdr:ext cx="304800" cy="304801"/>
    <xdr:sp macro="" textlink="">
      <xdr:nvSpPr>
        <xdr:cNvPr id="204" name="AutoShape 1308" descr="alert toggle">
          <a:extLst>
            <a:ext uri="{FF2B5EF4-FFF2-40B4-BE49-F238E27FC236}">
              <a16:creationId xmlns:a16="http://schemas.microsoft.com/office/drawing/2014/main" id="{B1191A09-D3A4-5043-9DD1-D09AB9798061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05" name="AutoShape 1311" descr="note-add">
          <a:extLst>
            <a:ext uri="{FF2B5EF4-FFF2-40B4-BE49-F238E27FC236}">
              <a16:creationId xmlns:a16="http://schemas.microsoft.com/office/drawing/2014/main" id="{583E1614-8B6E-AF4E-BCBD-AB5F86D7BE68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</xdr:row>
      <xdr:rowOff>0</xdr:rowOff>
    </xdr:from>
    <xdr:ext cx="304800" cy="304800"/>
    <xdr:sp macro="" textlink="">
      <xdr:nvSpPr>
        <xdr:cNvPr id="206" name="AutoShape 1312" descr="alert toggle">
          <a:extLst>
            <a:ext uri="{FF2B5EF4-FFF2-40B4-BE49-F238E27FC236}">
              <a16:creationId xmlns:a16="http://schemas.microsoft.com/office/drawing/2014/main" id="{AEF9E20C-D209-3841-B345-30DE758FA31F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1"/>
    <xdr:sp macro="" textlink="">
      <xdr:nvSpPr>
        <xdr:cNvPr id="207" name="AutoShape 1315" descr="note-add">
          <a:extLst>
            <a:ext uri="{FF2B5EF4-FFF2-40B4-BE49-F238E27FC236}">
              <a16:creationId xmlns:a16="http://schemas.microsoft.com/office/drawing/2014/main" id="{2C432165-FCA4-6D4A-8984-958FF8765FB0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572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41</xdr:row>
      <xdr:rowOff>0</xdr:rowOff>
    </xdr:from>
    <xdr:ext cx="304800" cy="304801"/>
    <xdr:sp macro="" textlink="">
      <xdr:nvSpPr>
        <xdr:cNvPr id="208" name="AutoShape 1316" descr="alert toggle">
          <a:extLst>
            <a:ext uri="{FF2B5EF4-FFF2-40B4-BE49-F238E27FC236}">
              <a16:creationId xmlns:a16="http://schemas.microsoft.com/office/drawing/2014/main" id="{5C5728F0-80F5-8748-B7DD-4EFD0B3030C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572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42</xdr:row>
      <xdr:rowOff>0</xdr:rowOff>
    </xdr:from>
    <xdr:ext cx="304800" cy="304800"/>
    <xdr:sp macro="" textlink="">
      <xdr:nvSpPr>
        <xdr:cNvPr id="209" name="AutoShape 1319" descr="note-add">
          <a:extLst>
            <a:ext uri="{FF2B5EF4-FFF2-40B4-BE49-F238E27FC236}">
              <a16:creationId xmlns:a16="http://schemas.microsoft.com/office/drawing/2014/main" id="{E10EA6E2-D7AC-4148-B3D2-5DABD10B8CA5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42</xdr:row>
      <xdr:rowOff>0</xdr:rowOff>
    </xdr:from>
    <xdr:ext cx="304800" cy="304800"/>
    <xdr:sp macro="" textlink="">
      <xdr:nvSpPr>
        <xdr:cNvPr id="210" name="AutoShape 1320" descr="alert toggle">
          <a:extLst>
            <a:ext uri="{FF2B5EF4-FFF2-40B4-BE49-F238E27FC236}">
              <a16:creationId xmlns:a16="http://schemas.microsoft.com/office/drawing/2014/main" id="{CDE4F6B9-37C1-CB49-9CF0-8914E53C83B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1"/>
    <xdr:sp macro="" textlink="">
      <xdr:nvSpPr>
        <xdr:cNvPr id="211" name="AutoShape 1323" descr="note-add">
          <a:extLst>
            <a:ext uri="{FF2B5EF4-FFF2-40B4-BE49-F238E27FC236}">
              <a16:creationId xmlns:a16="http://schemas.microsoft.com/office/drawing/2014/main" id="{12961F42-E232-3647-B268-0681B3441D1C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43</xdr:row>
      <xdr:rowOff>0</xdr:rowOff>
    </xdr:from>
    <xdr:ext cx="304800" cy="304801"/>
    <xdr:sp macro="" textlink="">
      <xdr:nvSpPr>
        <xdr:cNvPr id="212" name="AutoShape 1324" descr="alert toggle">
          <a:extLst>
            <a:ext uri="{FF2B5EF4-FFF2-40B4-BE49-F238E27FC236}">
              <a16:creationId xmlns:a16="http://schemas.microsoft.com/office/drawing/2014/main" id="{B2FF0A53-2F31-F64D-BC96-FD36D511027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213" name="AutoShape 1327" descr="note-add">
          <a:extLst>
            <a:ext uri="{FF2B5EF4-FFF2-40B4-BE49-F238E27FC236}">
              <a16:creationId xmlns:a16="http://schemas.microsoft.com/office/drawing/2014/main" id="{2D6C40B2-3942-D047-A319-DDC02D5EBDD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214" name="AutoShape 1328" descr="alert toggle">
          <a:extLst>
            <a:ext uri="{FF2B5EF4-FFF2-40B4-BE49-F238E27FC236}">
              <a16:creationId xmlns:a16="http://schemas.microsoft.com/office/drawing/2014/main" id="{329C8933-02F5-ED45-B5BA-0875784158A5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215" name="AutoShape 1331" descr="note-add">
          <a:extLst>
            <a:ext uri="{FF2B5EF4-FFF2-40B4-BE49-F238E27FC236}">
              <a16:creationId xmlns:a16="http://schemas.microsoft.com/office/drawing/2014/main" id="{99F05D11-108B-154B-A73B-A2B5E1C4ADF0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216" name="AutoShape 1332" descr="alert toggle">
          <a:extLst>
            <a:ext uri="{FF2B5EF4-FFF2-40B4-BE49-F238E27FC236}">
              <a16:creationId xmlns:a16="http://schemas.microsoft.com/office/drawing/2014/main" id="{82BD1E92-D5F3-1148-97FF-5C0E50C13895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217" name="AutoShape 1335" descr="note-add">
          <a:extLst>
            <a:ext uri="{FF2B5EF4-FFF2-40B4-BE49-F238E27FC236}">
              <a16:creationId xmlns:a16="http://schemas.microsoft.com/office/drawing/2014/main" id="{44D23B8F-969B-1B4E-8363-0FD5A5C4DB8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218" name="AutoShape 1336" descr="alert toggle">
          <a:extLst>
            <a:ext uri="{FF2B5EF4-FFF2-40B4-BE49-F238E27FC236}">
              <a16:creationId xmlns:a16="http://schemas.microsoft.com/office/drawing/2014/main" id="{31540E6E-5DA5-4548-A70D-53655C73DBED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219" name="AutoShape 1339" descr="note-add">
          <a:extLst>
            <a:ext uri="{FF2B5EF4-FFF2-40B4-BE49-F238E27FC236}">
              <a16:creationId xmlns:a16="http://schemas.microsoft.com/office/drawing/2014/main" id="{026F28A8-7C09-304F-B272-4D1AB6FE3894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220" name="AutoShape 1340" descr="alert toggle">
          <a:extLst>
            <a:ext uri="{FF2B5EF4-FFF2-40B4-BE49-F238E27FC236}">
              <a16:creationId xmlns:a16="http://schemas.microsoft.com/office/drawing/2014/main" id="{53A4D7C7-E89F-A242-89C1-E7D96880E2E1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221" name="AutoShape 1343" descr="note-add">
          <a:extLst>
            <a:ext uri="{FF2B5EF4-FFF2-40B4-BE49-F238E27FC236}">
              <a16:creationId xmlns:a16="http://schemas.microsoft.com/office/drawing/2014/main" id="{8907619D-648E-074B-B8AC-64831E150660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48</xdr:row>
      <xdr:rowOff>0</xdr:rowOff>
    </xdr:from>
    <xdr:ext cx="304800" cy="304800"/>
    <xdr:sp macro="" textlink="">
      <xdr:nvSpPr>
        <xdr:cNvPr id="222" name="AutoShape 1344" descr="alert toggle">
          <a:extLst>
            <a:ext uri="{FF2B5EF4-FFF2-40B4-BE49-F238E27FC236}">
              <a16:creationId xmlns:a16="http://schemas.microsoft.com/office/drawing/2014/main" id="{15D918E0-66ED-4E4E-8548-B69C0BF8C5F5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304800"/>
    <xdr:sp macro="" textlink="">
      <xdr:nvSpPr>
        <xdr:cNvPr id="223" name="AutoShape 1347" descr="note-add">
          <a:extLst>
            <a:ext uri="{FF2B5EF4-FFF2-40B4-BE49-F238E27FC236}">
              <a16:creationId xmlns:a16="http://schemas.microsoft.com/office/drawing/2014/main" id="{9BBFFFFF-D966-FF44-B34D-1B7AE0B36A3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</xdr:row>
      <xdr:rowOff>0</xdr:rowOff>
    </xdr:from>
    <xdr:ext cx="304800" cy="304800"/>
    <xdr:sp macro="" textlink="">
      <xdr:nvSpPr>
        <xdr:cNvPr id="224" name="AutoShape 1348" descr="alert toggle">
          <a:extLst>
            <a:ext uri="{FF2B5EF4-FFF2-40B4-BE49-F238E27FC236}">
              <a16:creationId xmlns:a16="http://schemas.microsoft.com/office/drawing/2014/main" id="{1D06DBCD-1317-724E-BA15-F9C0AFDD4AF5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110</xdr:row>
      <xdr:rowOff>0</xdr:rowOff>
    </xdr:from>
    <xdr:ext cx="304800" cy="304800"/>
    <xdr:sp macro="" textlink="">
      <xdr:nvSpPr>
        <xdr:cNvPr id="225" name="AutoShape 1721" descr="note-add">
          <a:extLst>
            <a:ext uri="{FF2B5EF4-FFF2-40B4-BE49-F238E27FC236}">
              <a16:creationId xmlns:a16="http://schemas.microsoft.com/office/drawing/2014/main" id="{0503032F-317E-424A-A8E0-C01E6A0EC029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33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799"/>
    <xdr:sp macro="" textlink="">
      <xdr:nvSpPr>
        <xdr:cNvPr id="226" name="AutoShape 1725" descr="note-add">
          <a:extLst>
            <a:ext uri="{FF2B5EF4-FFF2-40B4-BE49-F238E27FC236}">
              <a16:creationId xmlns:a16="http://schemas.microsoft.com/office/drawing/2014/main" id="{8909FB47-7737-A940-8F5C-596892F4587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33</xdr:row>
      <xdr:rowOff>0</xdr:rowOff>
    </xdr:from>
    <xdr:ext cx="304800" cy="304799"/>
    <xdr:sp macro="" textlink="">
      <xdr:nvSpPr>
        <xdr:cNvPr id="227" name="AutoShape 1726" descr="alert toggle">
          <a:extLst>
            <a:ext uri="{FF2B5EF4-FFF2-40B4-BE49-F238E27FC236}">
              <a16:creationId xmlns:a16="http://schemas.microsoft.com/office/drawing/2014/main" id="{9068B8ED-CED3-A44B-A30B-195C1582454F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28" name="AutoShape 1729" descr="note-add">
          <a:extLst>
            <a:ext uri="{FF2B5EF4-FFF2-40B4-BE49-F238E27FC236}">
              <a16:creationId xmlns:a16="http://schemas.microsoft.com/office/drawing/2014/main" id="{1782943E-A9A0-A344-8D40-24B8C4771F0E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</xdr:row>
      <xdr:rowOff>0</xdr:rowOff>
    </xdr:from>
    <xdr:ext cx="304800" cy="304800"/>
    <xdr:sp macro="" textlink="">
      <xdr:nvSpPr>
        <xdr:cNvPr id="229" name="AutoShape 1730" descr="alert toggle">
          <a:extLst>
            <a:ext uri="{FF2B5EF4-FFF2-40B4-BE49-F238E27FC236}">
              <a16:creationId xmlns:a16="http://schemas.microsoft.com/office/drawing/2014/main" id="{A9DA49C9-29BC-D843-9D4B-8613ED726A88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798"/>
    <xdr:sp macro="" textlink="">
      <xdr:nvSpPr>
        <xdr:cNvPr id="230" name="AutoShape 1733" descr="note-add">
          <a:extLst>
            <a:ext uri="{FF2B5EF4-FFF2-40B4-BE49-F238E27FC236}">
              <a16:creationId xmlns:a16="http://schemas.microsoft.com/office/drawing/2014/main" id="{87C5063F-C55F-7245-9235-C0ECCBCC8C44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</xdr:row>
      <xdr:rowOff>0</xdr:rowOff>
    </xdr:from>
    <xdr:ext cx="304800" cy="304798"/>
    <xdr:sp macro="" textlink="">
      <xdr:nvSpPr>
        <xdr:cNvPr id="231" name="AutoShape 1734" descr="alert toggle">
          <a:extLst>
            <a:ext uri="{FF2B5EF4-FFF2-40B4-BE49-F238E27FC236}">
              <a16:creationId xmlns:a16="http://schemas.microsoft.com/office/drawing/2014/main" id="{7820AD99-C16D-C642-AD66-1A5D9674C745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32" name="AutoShape 1737" descr="note-add">
          <a:extLst>
            <a:ext uri="{FF2B5EF4-FFF2-40B4-BE49-F238E27FC236}">
              <a16:creationId xmlns:a16="http://schemas.microsoft.com/office/drawing/2014/main" id="{964FAA1A-B8FF-2A45-9F70-9B962C6FE87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</xdr:row>
      <xdr:rowOff>0</xdr:rowOff>
    </xdr:from>
    <xdr:ext cx="304800" cy="304800"/>
    <xdr:sp macro="" textlink="">
      <xdr:nvSpPr>
        <xdr:cNvPr id="233" name="AutoShape 1738" descr="alert toggle">
          <a:extLst>
            <a:ext uri="{FF2B5EF4-FFF2-40B4-BE49-F238E27FC236}">
              <a16:creationId xmlns:a16="http://schemas.microsoft.com/office/drawing/2014/main" id="{F334E6BF-7E55-3545-8C78-13AE256EEFE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34" name="AutoShape 1741" descr="note-add">
          <a:extLst>
            <a:ext uri="{FF2B5EF4-FFF2-40B4-BE49-F238E27FC236}">
              <a16:creationId xmlns:a16="http://schemas.microsoft.com/office/drawing/2014/main" id="{7DF42741-7D4D-8249-92DC-D56D784D827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</xdr:row>
      <xdr:rowOff>0</xdr:rowOff>
    </xdr:from>
    <xdr:ext cx="304800" cy="304800"/>
    <xdr:sp macro="" textlink="">
      <xdr:nvSpPr>
        <xdr:cNvPr id="235" name="AutoShape 1742" descr="alert toggle">
          <a:extLst>
            <a:ext uri="{FF2B5EF4-FFF2-40B4-BE49-F238E27FC236}">
              <a16:creationId xmlns:a16="http://schemas.microsoft.com/office/drawing/2014/main" id="{7BCE05BC-7CD8-F54B-9B8C-D0A779B4D027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236" name="AutoShape 1745" descr="note-add">
          <a:extLst>
            <a:ext uri="{FF2B5EF4-FFF2-40B4-BE49-F238E27FC236}">
              <a16:creationId xmlns:a16="http://schemas.microsoft.com/office/drawing/2014/main" id="{B7663805-4197-D347-AD0B-127BE15FBBC5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237" name="AutoShape 1746" descr="alert toggle">
          <a:extLst>
            <a:ext uri="{FF2B5EF4-FFF2-40B4-BE49-F238E27FC236}">
              <a16:creationId xmlns:a16="http://schemas.microsoft.com/office/drawing/2014/main" id="{71405F7C-A817-1A48-B240-0916BA266502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238" name="AutoShape 1749" descr="note-add">
          <a:extLst>
            <a:ext uri="{FF2B5EF4-FFF2-40B4-BE49-F238E27FC236}">
              <a16:creationId xmlns:a16="http://schemas.microsoft.com/office/drawing/2014/main" id="{00B1413A-D54A-B742-978E-EB3E844438D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239" name="AutoShape 1750" descr="alert toggle">
          <a:extLst>
            <a:ext uri="{FF2B5EF4-FFF2-40B4-BE49-F238E27FC236}">
              <a16:creationId xmlns:a16="http://schemas.microsoft.com/office/drawing/2014/main" id="{1AEDD34D-FDDF-9643-B77C-DFBF52DF59F8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1"/>
    <xdr:sp macro="" textlink="">
      <xdr:nvSpPr>
        <xdr:cNvPr id="240" name="AutoShape 1753" descr="note-add">
          <a:extLst>
            <a:ext uri="{FF2B5EF4-FFF2-40B4-BE49-F238E27FC236}">
              <a16:creationId xmlns:a16="http://schemas.microsoft.com/office/drawing/2014/main" id="{BB2C3AA7-6A1F-D042-BABE-401954CF83D5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</xdr:row>
      <xdr:rowOff>0</xdr:rowOff>
    </xdr:from>
    <xdr:ext cx="304800" cy="304801"/>
    <xdr:sp macro="" textlink="">
      <xdr:nvSpPr>
        <xdr:cNvPr id="241" name="AutoShape 1754" descr="alert toggle">
          <a:extLst>
            <a:ext uri="{FF2B5EF4-FFF2-40B4-BE49-F238E27FC236}">
              <a16:creationId xmlns:a16="http://schemas.microsoft.com/office/drawing/2014/main" id="{6C63AC29-12AE-F840-A303-B7D27C67526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42" name="AutoShape 1757" descr="note-add">
          <a:extLst>
            <a:ext uri="{FF2B5EF4-FFF2-40B4-BE49-F238E27FC236}">
              <a16:creationId xmlns:a16="http://schemas.microsoft.com/office/drawing/2014/main" id="{FC9A36A4-72FD-164F-A367-10307CB5E2A7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</xdr:row>
      <xdr:rowOff>0</xdr:rowOff>
    </xdr:from>
    <xdr:ext cx="304800" cy="304800"/>
    <xdr:sp macro="" textlink="">
      <xdr:nvSpPr>
        <xdr:cNvPr id="243" name="AutoShape 1758" descr="alert toggle">
          <a:extLst>
            <a:ext uri="{FF2B5EF4-FFF2-40B4-BE49-F238E27FC236}">
              <a16:creationId xmlns:a16="http://schemas.microsoft.com/office/drawing/2014/main" id="{7C12B3B6-33A7-FC43-8413-5B2AF545EC9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1"/>
    <xdr:sp macro="" textlink="">
      <xdr:nvSpPr>
        <xdr:cNvPr id="244" name="AutoShape 1761" descr="note-add">
          <a:extLst>
            <a:ext uri="{FF2B5EF4-FFF2-40B4-BE49-F238E27FC236}">
              <a16:creationId xmlns:a16="http://schemas.microsoft.com/office/drawing/2014/main" id="{2E8A4913-FCF2-AA43-82E5-F6F2F783412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572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41</xdr:row>
      <xdr:rowOff>0</xdr:rowOff>
    </xdr:from>
    <xdr:ext cx="304800" cy="304801"/>
    <xdr:sp macro="" textlink="">
      <xdr:nvSpPr>
        <xdr:cNvPr id="245" name="AutoShape 1762" descr="alert toggle">
          <a:extLst>
            <a:ext uri="{FF2B5EF4-FFF2-40B4-BE49-F238E27FC236}">
              <a16:creationId xmlns:a16="http://schemas.microsoft.com/office/drawing/2014/main" id="{8E67745F-7BA6-1D47-B486-741C2A8C93CA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572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42</xdr:row>
      <xdr:rowOff>0</xdr:rowOff>
    </xdr:from>
    <xdr:ext cx="304800" cy="304800"/>
    <xdr:sp macro="" textlink="">
      <xdr:nvSpPr>
        <xdr:cNvPr id="246" name="AutoShape 1765" descr="note-add">
          <a:extLst>
            <a:ext uri="{FF2B5EF4-FFF2-40B4-BE49-F238E27FC236}">
              <a16:creationId xmlns:a16="http://schemas.microsoft.com/office/drawing/2014/main" id="{9733EDB4-ADAB-3448-A74D-4507A3A02AA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42</xdr:row>
      <xdr:rowOff>0</xdr:rowOff>
    </xdr:from>
    <xdr:ext cx="304800" cy="304800"/>
    <xdr:sp macro="" textlink="">
      <xdr:nvSpPr>
        <xdr:cNvPr id="247" name="AutoShape 1766" descr="alert toggle">
          <a:extLst>
            <a:ext uri="{FF2B5EF4-FFF2-40B4-BE49-F238E27FC236}">
              <a16:creationId xmlns:a16="http://schemas.microsoft.com/office/drawing/2014/main" id="{0CFBD58A-6BE4-B44B-B410-4C172B153A2D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1"/>
    <xdr:sp macro="" textlink="">
      <xdr:nvSpPr>
        <xdr:cNvPr id="248" name="AutoShape 1769" descr="note-add">
          <a:extLst>
            <a:ext uri="{FF2B5EF4-FFF2-40B4-BE49-F238E27FC236}">
              <a16:creationId xmlns:a16="http://schemas.microsoft.com/office/drawing/2014/main" id="{22D3FF7F-2589-504C-AA94-32BD7808C0E6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43</xdr:row>
      <xdr:rowOff>0</xdr:rowOff>
    </xdr:from>
    <xdr:ext cx="304800" cy="304801"/>
    <xdr:sp macro="" textlink="">
      <xdr:nvSpPr>
        <xdr:cNvPr id="249" name="AutoShape 1770" descr="alert toggle">
          <a:extLst>
            <a:ext uri="{FF2B5EF4-FFF2-40B4-BE49-F238E27FC236}">
              <a16:creationId xmlns:a16="http://schemas.microsoft.com/office/drawing/2014/main" id="{2B5C7067-E3D5-0548-8588-9C0E3C6F228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250" name="AutoShape 1773" descr="note-add">
          <a:extLst>
            <a:ext uri="{FF2B5EF4-FFF2-40B4-BE49-F238E27FC236}">
              <a16:creationId xmlns:a16="http://schemas.microsoft.com/office/drawing/2014/main" id="{8D9FC394-E0E7-3A49-8028-78C148BED27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251" name="AutoShape 1774" descr="alert toggle">
          <a:extLst>
            <a:ext uri="{FF2B5EF4-FFF2-40B4-BE49-F238E27FC236}">
              <a16:creationId xmlns:a16="http://schemas.microsoft.com/office/drawing/2014/main" id="{3E591084-D223-2944-9E33-494244417567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252" name="AutoShape 1777" descr="note-add">
          <a:extLst>
            <a:ext uri="{FF2B5EF4-FFF2-40B4-BE49-F238E27FC236}">
              <a16:creationId xmlns:a16="http://schemas.microsoft.com/office/drawing/2014/main" id="{333D9343-0BCD-4B4E-824E-AE0AE60D8D0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253" name="AutoShape 1778" descr="alert toggle">
          <a:extLst>
            <a:ext uri="{FF2B5EF4-FFF2-40B4-BE49-F238E27FC236}">
              <a16:creationId xmlns:a16="http://schemas.microsoft.com/office/drawing/2014/main" id="{12AFDB42-F4CB-2A41-BA90-677E3F3EEF77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254" name="AutoShape 1781" descr="note-add">
          <a:extLst>
            <a:ext uri="{FF2B5EF4-FFF2-40B4-BE49-F238E27FC236}">
              <a16:creationId xmlns:a16="http://schemas.microsoft.com/office/drawing/2014/main" id="{066C1A17-EB9A-BA44-9892-092A4BB2E067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255" name="AutoShape 1782" descr="alert toggle">
          <a:extLst>
            <a:ext uri="{FF2B5EF4-FFF2-40B4-BE49-F238E27FC236}">
              <a16:creationId xmlns:a16="http://schemas.microsoft.com/office/drawing/2014/main" id="{712BDB5E-C8F4-3F4B-87E7-017FD85DF65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256" name="AutoShape 1785" descr="note-add">
          <a:extLst>
            <a:ext uri="{FF2B5EF4-FFF2-40B4-BE49-F238E27FC236}">
              <a16:creationId xmlns:a16="http://schemas.microsoft.com/office/drawing/2014/main" id="{0597A514-7A9C-C349-BC99-AA5DAD86AECE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257" name="AutoShape 1786" descr="alert toggle">
          <a:extLst>
            <a:ext uri="{FF2B5EF4-FFF2-40B4-BE49-F238E27FC236}">
              <a16:creationId xmlns:a16="http://schemas.microsoft.com/office/drawing/2014/main" id="{35CD7890-839B-A545-A397-4F06ACC8AB8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258" name="AutoShape 1789" descr="note-add">
          <a:extLst>
            <a:ext uri="{FF2B5EF4-FFF2-40B4-BE49-F238E27FC236}">
              <a16:creationId xmlns:a16="http://schemas.microsoft.com/office/drawing/2014/main" id="{F337412E-B4A8-404A-98AF-74F5574DB6B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48</xdr:row>
      <xdr:rowOff>0</xdr:rowOff>
    </xdr:from>
    <xdr:ext cx="304800" cy="304800"/>
    <xdr:sp macro="" textlink="">
      <xdr:nvSpPr>
        <xdr:cNvPr id="259" name="AutoShape 1790" descr="alert toggle">
          <a:extLst>
            <a:ext uri="{FF2B5EF4-FFF2-40B4-BE49-F238E27FC236}">
              <a16:creationId xmlns:a16="http://schemas.microsoft.com/office/drawing/2014/main" id="{D62E0A5A-4248-7946-B81A-C3BC917954A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304800"/>
    <xdr:sp macro="" textlink="">
      <xdr:nvSpPr>
        <xdr:cNvPr id="260" name="AutoShape 1793" descr="note-add">
          <a:extLst>
            <a:ext uri="{FF2B5EF4-FFF2-40B4-BE49-F238E27FC236}">
              <a16:creationId xmlns:a16="http://schemas.microsoft.com/office/drawing/2014/main" id="{49CD5846-F60C-5240-A841-6985704034BC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</xdr:row>
      <xdr:rowOff>0</xdr:rowOff>
    </xdr:from>
    <xdr:ext cx="304800" cy="304800"/>
    <xdr:sp macro="" textlink="">
      <xdr:nvSpPr>
        <xdr:cNvPr id="261" name="AutoShape 1794" descr="alert toggle">
          <a:extLst>
            <a:ext uri="{FF2B5EF4-FFF2-40B4-BE49-F238E27FC236}">
              <a16:creationId xmlns:a16="http://schemas.microsoft.com/office/drawing/2014/main" id="{EE47FBB2-0EE8-C645-82E1-29FDB5B52559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33</xdr:row>
      <xdr:rowOff>0</xdr:rowOff>
    </xdr:from>
    <xdr:ext cx="304800" cy="304799"/>
    <xdr:sp macro="" textlink="">
      <xdr:nvSpPr>
        <xdr:cNvPr id="262" name="AutoShape 1797" descr="note-add">
          <a:extLst>
            <a:ext uri="{FF2B5EF4-FFF2-40B4-BE49-F238E27FC236}">
              <a16:creationId xmlns:a16="http://schemas.microsoft.com/office/drawing/2014/main" id="{A4BFA276-E570-D440-84D4-58DFF9C0CB47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33</xdr:row>
      <xdr:rowOff>0</xdr:rowOff>
    </xdr:from>
    <xdr:ext cx="304800" cy="304799"/>
    <xdr:sp macro="" textlink="">
      <xdr:nvSpPr>
        <xdr:cNvPr id="263" name="AutoShape 1798" descr="alert toggle">
          <a:extLst>
            <a:ext uri="{FF2B5EF4-FFF2-40B4-BE49-F238E27FC236}">
              <a16:creationId xmlns:a16="http://schemas.microsoft.com/office/drawing/2014/main" id="{096A5D2C-FF78-6F45-A11A-CC3D7955165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6858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</xdr:row>
      <xdr:rowOff>0</xdr:rowOff>
    </xdr:from>
    <xdr:ext cx="304800" cy="304800"/>
    <xdr:sp macro="" textlink="">
      <xdr:nvSpPr>
        <xdr:cNvPr id="264" name="AutoShape 1801" descr="note-add">
          <a:extLst>
            <a:ext uri="{FF2B5EF4-FFF2-40B4-BE49-F238E27FC236}">
              <a16:creationId xmlns:a16="http://schemas.microsoft.com/office/drawing/2014/main" id="{C7CAD3BB-28BA-B341-A688-ADBF4442F6D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</xdr:row>
      <xdr:rowOff>0</xdr:rowOff>
    </xdr:from>
    <xdr:ext cx="304800" cy="304800"/>
    <xdr:sp macro="" textlink="">
      <xdr:nvSpPr>
        <xdr:cNvPr id="265" name="AutoShape 1802" descr="alert toggle">
          <a:extLst>
            <a:ext uri="{FF2B5EF4-FFF2-40B4-BE49-F238E27FC236}">
              <a16:creationId xmlns:a16="http://schemas.microsoft.com/office/drawing/2014/main" id="{577564EF-3624-1A49-9A8E-4566C76FF451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</xdr:row>
      <xdr:rowOff>0</xdr:rowOff>
    </xdr:from>
    <xdr:ext cx="304800" cy="304798"/>
    <xdr:sp macro="" textlink="">
      <xdr:nvSpPr>
        <xdr:cNvPr id="266" name="AutoShape 1805" descr="note-add">
          <a:extLst>
            <a:ext uri="{FF2B5EF4-FFF2-40B4-BE49-F238E27FC236}">
              <a16:creationId xmlns:a16="http://schemas.microsoft.com/office/drawing/2014/main" id="{FBECF069-938E-404B-A95B-97D7B96849B1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</xdr:row>
      <xdr:rowOff>0</xdr:rowOff>
    </xdr:from>
    <xdr:ext cx="304800" cy="304798"/>
    <xdr:sp macro="" textlink="">
      <xdr:nvSpPr>
        <xdr:cNvPr id="267" name="AutoShape 1806" descr="alert toggle">
          <a:extLst>
            <a:ext uri="{FF2B5EF4-FFF2-40B4-BE49-F238E27FC236}">
              <a16:creationId xmlns:a16="http://schemas.microsoft.com/office/drawing/2014/main" id="{9FE56C00-56B9-7D40-AD8E-D631816129A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289800"/>
          <a:ext cx="304800" cy="30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304800" cy="304800"/>
    <xdr:sp macro="" textlink="">
      <xdr:nvSpPr>
        <xdr:cNvPr id="268" name="AutoShape 1809" descr="note-add">
          <a:extLst>
            <a:ext uri="{FF2B5EF4-FFF2-40B4-BE49-F238E27FC236}">
              <a16:creationId xmlns:a16="http://schemas.microsoft.com/office/drawing/2014/main" id="{26AE1A71-6AF0-9E41-A36B-4D796C265AF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</xdr:row>
      <xdr:rowOff>0</xdr:rowOff>
    </xdr:from>
    <xdr:ext cx="304800" cy="304800"/>
    <xdr:sp macro="" textlink="">
      <xdr:nvSpPr>
        <xdr:cNvPr id="269" name="AutoShape 1810" descr="alert toggle">
          <a:extLst>
            <a:ext uri="{FF2B5EF4-FFF2-40B4-BE49-F238E27FC236}">
              <a16:creationId xmlns:a16="http://schemas.microsoft.com/office/drawing/2014/main" id="{3C69B0EF-CCAD-9648-A7B4-8F98C0C3AA45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</xdr:row>
      <xdr:rowOff>0</xdr:rowOff>
    </xdr:from>
    <xdr:ext cx="304800" cy="304800"/>
    <xdr:sp macro="" textlink="">
      <xdr:nvSpPr>
        <xdr:cNvPr id="270" name="AutoShape 1813" descr="note-add">
          <a:extLst>
            <a:ext uri="{FF2B5EF4-FFF2-40B4-BE49-F238E27FC236}">
              <a16:creationId xmlns:a16="http://schemas.microsoft.com/office/drawing/2014/main" id="{ED5B3B74-CD7E-FF4F-B0D4-A59302AAE10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</xdr:row>
      <xdr:rowOff>0</xdr:rowOff>
    </xdr:from>
    <xdr:ext cx="304800" cy="304800"/>
    <xdr:sp macro="" textlink="">
      <xdr:nvSpPr>
        <xdr:cNvPr id="271" name="AutoShape 1814" descr="alert toggle">
          <a:extLst>
            <a:ext uri="{FF2B5EF4-FFF2-40B4-BE49-F238E27FC236}">
              <a16:creationId xmlns:a16="http://schemas.microsoft.com/office/drawing/2014/main" id="{954D9F2B-1E9F-954A-A7E6-5D7880F23AA2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79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272" name="AutoShape 1817" descr="note-add">
          <a:extLst>
            <a:ext uri="{FF2B5EF4-FFF2-40B4-BE49-F238E27FC236}">
              <a16:creationId xmlns:a16="http://schemas.microsoft.com/office/drawing/2014/main" id="{1A96EA9A-F408-1F46-A828-E99953078565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273" name="AutoShape 1818" descr="alert toggle">
          <a:extLst>
            <a:ext uri="{FF2B5EF4-FFF2-40B4-BE49-F238E27FC236}">
              <a16:creationId xmlns:a16="http://schemas.microsoft.com/office/drawing/2014/main" id="{6E57BF5A-E420-8E46-A146-5BFE751FB9FE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</xdr:row>
      <xdr:rowOff>0</xdr:rowOff>
    </xdr:from>
    <xdr:ext cx="304800" cy="304799"/>
    <xdr:sp macro="" textlink="">
      <xdr:nvSpPr>
        <xdr:cNvPr id="274" name="AutoShape 1821" descr="note-add">
          <a:extLst>
            <a:ext uri="{FF2B5EF4-FFF2-40B4-BE49-F238E27FC236}">
              <a16:creationId xmlns:a16="http://schemas.microsoft.com/office/drawing/2014/main" id="{3EDC8D65-3939-284F-89A0-648980676C4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</xdr:row>
      <xdr:rowOff>0</xdr:rowOff>
    </xdr:from>
    <xdr:ext cx="304800" cy="304799"/>
    <xdr:sp macro="" textlink="">
      <xdr:nvSpPr>
        <xdr:cNvPr id="275" name="AutoShape 1822" descr="alert toggle">
          <a:extLst>
            <a:ext uri="{FF2B5EF4-FFF2-40B4-BE49-F238E27FC236}">
              <a16:creationId xmlns:a16="http://schemas.microsoft.com/office/drawing/2014/main" id="{5198304C-9220-F64B-8B55-D10E777F12E1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140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1"/>
    <xdr:sp macro="" textlink="">
      <xdr:nvSpPr>
        <xdr:cNvPr id="276" name="AutoShape 1825" descr="note-add">
          <a:extLst>
            <a:ext uri="{FF2B5EF4-FFF2-40B4-BE49-F238E27FC236}">
              <a16:creationId xmlns:a16="http://schemas.microsoft.com/office/drawing/2014/main" id="{5F8CE69D-5829-BE46-96C7-696F29B5E8E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</xdr:row>
      <xdr:rowOff>0</xdr:rowOff>
    </xdr:from>
    <xdr:ext cx="304800" cy="304801"/>
    <xdr:sp macro="" textlink="">
      <xdr:nvSpPr>
        <xdr:cNvPr id="277" name="AutoShape 1826" descr="alert toggle">
          <a:extLst>
            <a:ext uri="{FF2B5EF4-FFF2-40B4-BE49-F238E27FC236}">
              <a16:creationId xmlns:a16="http://schemas.microsoft.com/office/drawing/2014/main" id="{A5E614AE-6803-3044-90FD-72E63468097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3566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</xdr:row>
      <xdr:rowOff>0</xdr:rowOff>
    </xdr:from>
    <xdr:ext cx="304800" cy="304800"/>
    <xdr:sp macro="" textlink="">
      <xdr:nvSpPr>
        <xdr:cNvPr id="278" name="AutoShape 1829" descr="note-add">
          <a:extLst>
            <a:ext uri="{FF2B5EF4-FFF2-40B4-BE49-F238E27FC236}">
              <a16:creationId xmlns:a16="http://schemas.microsoft.com/office/drawing/2014/main" id="{65488111-413C-0444-B301-E0762A9EA201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3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41</xdr:row>
      <xdr:rowOff>0</xdr:rowOff>
    </xdr:from>
    <xdr:ext cx="304800" cy="304801"/>
    <xdr:sp macro="" textlink="">
      <xdr:nvSpPr>
        <xdr:cNvPr id="279" name="AutoShape 1833" descr="note-add">
          <a:extLst>
            <a:ext uri="{FF2B5EF4-FFF2-40B4-BE49-F238E27FC236}">
              <a16:creationId xmlns:a16="http://schemas.microsoft.com/office/drawing/2014/main" id="{CF7FC48F-1FA2-C942-8E13-207B4DF67EF1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572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42</xdr:row>
      <xdr:rowOff>0</xdr:rowOff>
    </xdr:from>
    <xdr:ext cx="304800" cy="304800"/>
    <xdr:sp macro="" textlink="">
      <xdr:nvSpPr>
        <xdr:cNvPr id="280" name="AutoShape 1837" descr="note-add">
          <a:extLst>
            <a:ext uri="{FF2B5EF4-FFF2-40B4-BE49-F238E27FC236}">
              <a16:creationId xmlns:a16="http://schemas.microsoft.com/office/drawing/2014/main" id="{EFACB393-BBDD-B94A-BFBF-4F32250BA6D7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42</xdr:row>
      <xdr:rowOff>0</xdr:rowOff>
    </xdr:from>
    <xdr:ext cx="304800" cy="304800"/>
    <xdr:sp macro="" textlink="">
      <xdr:nvSpPr>
        <xdr:cNvPr id="281" name="AutoShape 1838" descr="alert toggle">
          <a:extLst>
            <a:ext uri="{FF2B5EF4-FFF2-40B4-BE49-F238E27FC236}">
              <a16:creationId xmlns:a16="http://schemas.microsoft.com/office/drawing/2014/main" id="{C832E36D-56FD-EB4C-9A42-8105D064EDAD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8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43</xdr:row>
      <xdr:rowOff>0</xdr:rowOff>
    </xdr:from>
    <xdr:ext cx="304800" cy="304801"/>
    <xdr:sp macro="" textlink="">
      <xdr:nvSpPr>
        <xdr:cNvPr id="282" name="AutoShape 1841" descr="note-add">
          <a:extLst>
            <a:ext uri="{FF2B5EF4-FFF2-40B4-BE49-F238E27FC236}">
              <a16:creationId xmlns:a16="http://schemas.microsoft.com/office/drawing/2014/main" id="{ADB5ED3C-4210-564A-ADA2-E88C340CA1F9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43</xdr:row>
      <xdr:rowOff>0</xdr:rowOff>
    </xdr:from>
    <xdr:ext cx="304800" cy="304801"/>
    <xdr:sp macro="" textlink="">
      <xdr:nvSpPr>
        <xdr:cNvPr id="283" name="AutoShape 1842" descr="alert toggle">
          <a:extLst>
            <a:ext uri="{FF2B5EF4-FFF2-40B4-BE49-F238E27FC236}">
              <a16:creationId xmlns:a16="http://schemas.microsoft.com/office/drawing/2014/main" id="{B73A06E5-6124-E945-B125-53B126E61B3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0043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284" name="AutoShape 1845" descr="note-add">
          <a:extLst>
            <a:ext uri="{FF2B5EF4-FFF2-40B4-BE49-F238E27FC236}">
              <a16:creationId xmlns:a16="http://schemas.microsoft.com/office/drawing/2014/main" id="{31CA12AD-6E7C-D247-BD46-6932F97056BE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285" name="AutoShape 1846" descr="alert toggle">
          <a:extLst>
            <a:ext uri="{FF2B5EF4-FFF2-40B4-BE49-F238E27FC236}">
              <a16:creationId xmlns:a16="http://schemas.microsoft.com/office/drawing/2014/main" id="{10052D4E-BDF7-E148-84EA-B94D2A05188D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44</xdr:row>
      <xdr:rowOff>0</xdr:rowOff>
    </xdr:from>
    <xdr:ext cx="304800" cy="304800"/>
    <xdr:sp macro="" textlink="">
      <xdr:nvSpPr>
        <xdr:cNvPr id="286" name="AutoShape 1849" descr="note-add">
          <a:extLst>
            <a:ext uri="{FF2B5EF4-FFF2-40B4-BE49-F238E27FC236}">
              <a16:creationId xmlns:a16="http://schemas.microsoft.com/office/drawing/2014/main" id="{187FC524-FC67-754D-985F-320469EDD90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44</xdr:row>
      <xdr:rowOff>0</xdr:rowOff>
    </xdr:from>
    <xdr:ext cx="304800" cy="304800"/>
    <xdr:sp macro="" textlink="">
      <xdr:nvSpPr>
        <xdr:cNvPr id="287" name="AutoShape 1850" descr="alert toggle">
          <a:extLst>
            <a:ext uri="{FF2B5EF4-FFF2-40B4-BE49-F238E27FC236}">
              <a16:creationId xmlns:a16="http://schemas.microsoft.com/office/drawing/2014/main" id="{511B76D9-6D72-DE4E-B06A-678C683816D4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22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288" name="AutoShape 1853" descr="note-add">
          <a:extLst>
            <a:ext uri="{FF2B5EF4-FFF2-40B4-BE49-F238E27FC236}">
              <a16:creationId xmlns:a16="http://schemas.microsoft.com/office/drawing/2014/main" id="{8BB04CA3-E32A-5C4C-BE83-B5B33469FBA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289" name="AutoShape 1854" descr="alert toggle">
          <a:extLst>
            <a:ext uri="{FF2B5EF4-FFF2-40B4-BE49-F238E27FC236}">
              <a16:creationId xmlns:a16="http://schemas.microsoft.com/office/drawing/2014/main" id="{F2E8FDBC-E7F5-334B-8B5D-17A1948DDAD0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46</xdr:row>
      <xdr:rowOff>0</xdr:rowOff>
    </xdr:from>
    <xdr:ext cx="304800" cy="304800"/>
    <xdr:sp macro="" textlink="">
      <xdr:nvSpPr>
        <xdr:cNvPr id="290" name="AutoShape 1857" descr="note-add">
          <a:extLst>
            <a:ext uri="{FF2B5EF4-FFF2-40B4-BE49-F238E27FC236}">
              <a16:creationId xmlns:a16="http://schemas.microsoft.com/office/drawing/2014/main" id="{67D570AD-F7FD-C848-8B5A-36276A12405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46</xdr:row>
      <xdr:rowOff>0</xdr:rowOff>
    </xdr:from>
    <xdr:ext cx="304800" cy="304800"/>
    <xdr:sp macro="" textlink="">
      <xdr:nvSpPr>
        <xdr:cNvPr id="291" name="AutoShape 1858" descr="alert toggle">
          <a:extLst>
            <a:ext uri="{FF2B5EF4-FFF2-40B4-BE49-F238E27FC236}">
              <a16:creationId xmlns:a16="http://schemas.microsoft.com/office/drawing/2014/main" id="{3BFE3C15-B4DC-1140-A932-107D029EDE9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96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48</xdr:row>
      <xdr:rowOff>0</xdr:rowOff>
    </xdr:from>
    <xdr:ext cx="304800" cy="304800"/>
    <xdr:sp macro="" textlink="">
      <xdr:nvSpPr>
        <xdr:cNvPr id="292" name="AutoShape 1861" descr="note-add">
          <a:extLst>
            <a:ext uri="{FF2B5EF4-FFF2-40B4-BE49-F238E27FC236}">
              <a16:creationId xmlns:a16="http://schemas.microsoft.com/office/drawing/2014/main" id="{F8AD0848-DC96-4D40-B4BB-D28281D75AD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48</xdr:row>
      <xdr:rowOff>0</xdr:rowOff>
    </xdr:from>
    <xdr:ext cx="304800" cy="304800"/>
    <xdr:sp macro="" textlink="">
      <xdr:nvSpPr>
        <xdr:cNvPr id="293" name="AutoShape 1862" descr="alert toggle">
          <a:extLst>
            <a:ext uri="{FF2B5EF4-FFF2-40B4-BE49-F238E27FC236}">
              <a16:creationId xmlns:a16="http://schemas.microsoft.com/office/drawing/2014/main" id="{C020D031-0706-5546-A517-004A31919682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0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304800"/>
    <xdr:sp macro="" textlink="">
      <xdr:nvSpPr>
        <xdr:cNvPr id="294" name="AutoShape 1865" descr="note-add">
          <a:extLst>
            <a:ext uri="{FF2B5EF4-FFF2-40B4-BE49-F238E27FC236}">
              <a16:creationId xmlns:a16="http://schemas.microsoft.com/office/drawing/2014/main" id="{3F2BC8A1-439A-C24B-9E73-664E7C4145E7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</xdr:row>
      <xdr:rowOff>0</xdr:rowOff>
    </xdr:from>
    <xdr:ext cx="304800" cy="304800"/>
    <xdr:sp macro="" textlink="">
      <xdr:nvSpPr>
        <xdr:cNvPr id="295" name="AutoShape 1866" descr="alert toggle">
          <a:extLst>
            <a:ext uri="{FF2B5EF4-FFF2-40B4-BE49-F238E27FC236}">
              <a16:creationId xmlns:a16="http://schemas.microsoft.com/office/drawing/2014/main" id="{981F105A-9BA5-2840-9643-0356D699E8DE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304800"/>
    <xdr:sp macro="" textlink="">
      <xdr:nvSpPr>
        <xdr:cNvPr id="296" name="AutoShape 1869" descr="note-add">
          <a:extLst>
            <a:ext uri="{FF2B5EF4-FFF2-40B4-BE49-F238E27FC236}">
              <a16:creationId xmlns:a16="http://schemas.microsoft.com/office/drawing/2014/main" id="{969F0D49-E50A-A044-89B1-E20A12C5ABD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374</xdr:row>
      <xdr:rowOff>0</xdr:rowOff>
    </xdr:from>
    <xdr:ext cx="304800" cy="279400"/>
    <xdr:sp macro="" textlink="">
      <xdr:nvSpPr>
        <xdr:cNvPr id="297" name="AutoShape 2167" descr="note-add">
          <a:extLst>
            <a:ext uri="{FF2B5EF4-FFF2-40B4-BE49-F238E27FC236}">
              <a16:creationId xmlns:a16="http://schemas.microsoft.com/office/drawing/2014/main" id="{11EA3DAC-BC04-B242-8E32-7EED039CD6DB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979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374</xdr:row>
      <xdr:rowOff>0</xdr:rowOff>
    </xdr:from>
    <xdr:ext cx="304800" cy="279400"/>
    <xdr:sp macro="" textlink="">
      <xdr:nvSpPr>
        <xdr:cNvPr id="298" name="AutoShape 2168" descr="alert toggle">
          <a:extLst>
            <a:ext uri="{FF2B5EF4-FFF2-40B4-BE49-F238E27FC236}">
              <a16:creationId xmlns:a16="http://schemas.microsoft.com/office/drawing/2014/main" id="{4A5EE926-1783-494A-BCA4-95935722898D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979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279400"/>
    <xdr:sp macro="" textlink="">
      <xdr:nvSpPr>
        <xdr:cNvPr id="299" name="AutoShape 2171" descr="note-add">
          <a:extLst>
            <a:ext uri="{FF2B5EF4-FFF2-40B4-BE49-F238E27FC236}">
              <a16:creationId xmlns:a16="http://schemas.microsoft.com/office/drawing/2014/main" id="{CD73FB2D-7BEC-9A4D-97BE-78FF1AB2523F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999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375</xdr:row>
      <xdr:rowOff>0</xdr:rowOff>
    </xdr:from>
    <xdr:ext cx="304800" cy="279400"/>
    <xdr:sp macro="" textlink="">
      <xdr:nvSpPr>
        <xdr:cNvPr id="300" name="AutoShape 2172" descr="alert toggle">
          <a:extLst>
            <a:ext uri="{FF2B5EF4-FFF2-40B4-BE49-F238E27FC236}">
              <a16:creationId xmlns:a16="http://schemas.microsoft.com/office/drawing/2014/main" id="{DB94B3CB-BE1B-A44F-9D9E-22D18C8B8AD4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999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379</xdr:row>
      <xdr:rowOff>0</xdr:rowOff>
    </xdr:from>
    <xdr:ext cx="304800" cy="279400"/>
    <xdr:sp macro="" textlink="">
      <xdr:nvSpPr>
        <xdr:cNvPr id="301" name="AutoShape 2175" descr="note-add">
          <a:extLst>
            <a:ext uri="{FF2B5EF4-FFF2-40B4-BE49-F238E27FC236}">
              <a16:creationId xmlns:a16="http://schemas.microsoft.com/office/drawing/2014/main" id="{E3ED2D54-F646-714F-8A7A-EC9D5E06D9E5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086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379</xdr:row>
      <xdr:rowOff>0</xdr:rowOff>
    </xdr:from>
    <xdr:ext cx="304800" cy="279400"/>
    <xdr:sp macro="" textlink="">
      <xdr:nvSpPr>
        <xdr:cNvPr id="302" name="AutoShape 2176" descr="alert toggle">
          <a:extLst>
            <a:ext uri="{FF2B5EF4-FFF2-40B4-BE49-F238E27FC236}">
              <a16:creationId xmlns:a16="http://schemas.microsoft.com/office/drawing/2014/main" id="{2AE4C553-B659-954D-8789-8A9D513E0D9B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086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380</xdr:row>
      <xdr:rowOff>0</xdr:rowOff>
    </xdr:from>
    <xdr:ext cx="304800" cy="279400"/>
    <xdr:sp macro="" textlink="">
      <xdr:nvSpPr>
        <xdr:cNvPr id="303" name="AutoShape 2179" descr="note-add">
          <a:extLst>
            <a:ext uri="{FF2B5EF4-FFF2-40B4-BE49-F238E27FC236}">
              <a16:creationId xmlns:a16="http://schemas.microsoft.com/office/drawing/2014/main" id="{3E8BB8F9-BF8D-124A-B403-91C5CD20F8B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1076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380</xdr:row>
      <xdr:rowOff>0</xdr:rowOff>
    </xdr:from>
    <xdr:ext cx="304800" cy="279400"/>
    <xdr:sp macro="" textlink="">
      <xdr:nvSpPr>
        <xdr:cNvPr id="304" name="AutoShape 2180" descr="alert toggle">
          <a:extLst>
            <a:ext uri="{FF2B5EF4-FFF2-40B4-BE49-F238E27FC236}">
              <a16:creationId xmlns:a16="http://schemas.microsoft.com/office/drawing/2014/main" id="{9C795149-B148-1543-9E76-3442D6DB2C48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1076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382</xdr:row>
      <xdr:rowOff>0</xdr:rowOff>
    </xdr:from>
    <xdr:ext cx="304800" cy="279400"/>
    <xdr:sp macro="" textlink="">
      <xdr:nvSpPr>
        <xdr:cNvPr id="305" name="AutoShape 2183" descr="note-add">
          <a:extLst>
            <a:ext uri="{FF2B5EF4-FFF2-40B4-BE49-F238E27FC236}">
              <a16:creationId xmlns:a16="http://schemas.microsoft.com/office/drawing/2014/main" id="{635B8372-B526-D64D-B19D-0FF7D18B1BFB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1534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382</xdr:row>
      <xdr:rowOff>0</xdr:rowOff>
    </xdr:from>
    <xdr:ext cx="304800" cy="279400"/>
    <xdr:sp macro="" textlink="">
      <xdr:nvSpPr>
        <xdr:cNvPr id="306" name="AutoShape 2184" descr="alert toggle">
          <a:extLst>
            <a:ext uri="{FF2B5EF4-FFF2-40B4-BE49-F238E27FC236}">
              <a16:creationId xmlns:a16="http://schemas.microsoft.com/office/drawing/2014/main" id="{211D60D1-A7D8-754F-98C2-2637D1086F60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1534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385</xdr:row>
      <xdr:rowOff>0</xdr:rowOff>
    </xdr:from>
    <xdr:ext cx="304800" cy="279400"/>
    <xdr:sp macro="" textlink="">
      <xdr:nvSpPr>
        <xdr:cNvPr id="307" name="AutoShape 2187" descr="note-add">
          <a:extLst>
            <a:ext uri="{FF2B5EF4-FFF2-40B4-BE49-F238E27FC236}">
              <a16:creationId xmlns:a16="http://schemas.microsoft.com/office/drawing/2014/main" id="{10C14449-2B5C-6844-8A15-E5A3B68F3840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221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385</xdr:row>
      <xdr:rowOff>0</xdr:rowOff>
    </xdr:from>
    <xdr:ext cx="304800" cy="279400"/>
    <xdr:sp macro="" textlink="">
      <xdr:nvSpPr>
        <xdr:cNvPr id="308" name="AutoShape 2188" descr="alert toggle">
          <a:extLst>
            <a:ext uri="{FF2B5EF4-FFF2-40B4-BE49-F238E27FC236}">
              <a16:creationId xmlns:a16="http://schemas.microsoft.com/office/drawing/2014/main" id="{7E23D51E-D95B-004F-8E4D-9C30035151A0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221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386</xdr:row>
      <xdr:rowOff>0</xdr:rowOff>
    </xdr:from>
    <xdr:ext cx="304800" cy="279400"/>
    <xdr:sp macro="" textlink="">
      <xdr:nvSpPr>
        <xdr:cNvPr id="309" name="AutoShape 2191" descr="note-add">
          <a:extLst>
            <a:ext uri="{FF2B5EF4-FFF2-40B4-BE49-F238E27FC236}">
              <a16:creationId xmlns:a16="http://schemas.microsoft.com/office/drawing/2014/main" id="{187BA0E4-C3DE-2D46-9595-86D8C6F78E4A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244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386</xdr:row>
      <xdr:rowOff>0</xdr:rowOff>
    </xdr:from>
    <xdr:ext cx="304800" cy="279400"/>
    <xdr:sp macro="" textlink="">
      <xdr:nvSpPr>
        <xdr:cNvPr id="310" name="AutoShape 2192" descr="alert toggle">
          <a:extLst>
            <a:ext uri="{FF2B5EF4-FFF2-40B4-BE49-F238E27FC236}">
              <a16:creationId xmlns:a16="http://schemas.microsoft.com/office/drawing/2014/main" id="{EFFC7564-BFAB-0B4C-8D15-1988ECB88C93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244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389</xdr:row>
      <xdr:rowOff>0</xdr:rowOff>
    </xdr:from>
    <xdr:ext cx="304800" cy="279400"/>
    <xdr:sp macro="" textlink="">
      <xdr:nvSpPr>
        <xdr:cNvPr id="311" name="AutoShape 2195" descr="note-add">
          <a:extLst>
            <a:ext uri="{FF2B5EF4-FFF2-40B4-BE49-F238E27FC236}">
              <a16:creationId xmlns:a16="http://schemas.microsoft.com/office/drawing/2014/main" id="{25B32B12-C525-3648-8A3E-DFF4349FA39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307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389</xdr:row>
      <xdr:rowOff>0</xdr:rowOff>
    </xdr:from>
    <xdr:ext cx="304800" cy="279400"/>
    <xdr:sp macro="" textlink="">
      <xdr:nvSpPr>
        <xdr:cNvPr id="312" name="AutoShape 2196" descr="alert toggle">
          <a:extLst>
            <a:ext uri="{FF2B5EF4-FFF2-40B4-BE49-F238E27FC236}">
              <a16:creationId xmlns:a16="http://schemas.microsoft.com/office/drawing/2014/main" id="{B23CE4B9-C1C9-7B42-A28C-EDE6A232B630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307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390</xdr:row>
      <xdr:rowOff>0</xdr:rowOff>
    </xdr:from>
    <xdr:ext cx="304800" cy="279400"/>
    <xdr:sp macro="" textlink="">
      <xdr:nvSpPr>
        <xdr:cNvPr id="313" name="AutoShape 2199" descr="note-add">
          <a:extLst>
            <a:ext uri="{FF2B5EF4-FFF2-40B4-BE49-F238E27FC236}">
              <a16:creationId xmlns:a16="http://schemas.microsoft.com/office/drawing/2014/main" id="{8A7023F4-F095-1C4D-9172-CF2ADAF0A0B8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3273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390</xdr:row>
      <xdr:rowOff>0</xdr:rowOff>
    </xdr:from>
    <xdr:ext cx="304800" cy="279400"/>
    <xdr:sp macro="" textlink="">
      <xdr:nvSpPr>
        <xdr:cNvPr id="314" name="AutoShape 2200" descr="alert toggle">
          <a:extLst>
            <a:ext uri="{FF2B5EF4-FFF2-40B4-BE49-F238E27FC236}">
              <a16:creationId xmlns:a16="http://schemas.microsoft.com/office/drawing/2014/main" id="{F686E2A2-77E0-3948-A3F2-14000A48D8E9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3273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279400"/>
    <xdr:sp macro="" textlink="">
      <xdr:nvSpPr>
        <xdr:cNvPr id="315" name="AutoShape 2203" descr="note-add">
          <a:extLst>
            <a:ext uri="{FF2B5EF4-FFF2-40B4-BE49-F238E27FC236}">
              <a16:creationId xmlns:a16="http://schemas.microsoft.com/office/drawing/2014/main" id="{F767CAE8-7184-5B48-8DEF-5574F001E131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1762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383</xdr:row>
      <xdr:rowOff>0</xdr:rowOff>
    </xdr:from>
    <xdr:ext cx="304800" cy="279400"/>
    <xdr:sp macro="" textlink="">
      <xdr:nvSpPr>
        <xdr:cNvPr id="316" name="AutoShape 2204" descr="alert toggle">
          <a:extLst>
            <a:ext uri="{FF2B5EF4-FFF2-40B4-BE49-F238E27FC236}">
              <a16:creationId xmlns:a16="http://schemas.microsoft.com/office/drawing/2014/main" id="{5C91E596-45CF-7645-B034-0C9C6639B3E3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1762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385</xdr:row>
      <xdr:rowOff>0</xdr:rowOff>
    </xdr:from>
    <xdr:ext cx="304800" cy="279400"/>
    <xdr:sp macro="" textlink="">
      <xdr:nvSpPr>
        <xdr:cNvPr id="317" name="AutoShape 2207" descr="note-add">
          <a:extLst>
            <a:ext uri="{FF2B5EF4-FFF2-40B4-BE49-F238E27FC236}">
              <a16:creationId xmlns:a16="http://schemas.microsoft.com/office/drawing/2014/main" id="{E2AF7033-B196-3948-B782-F9E3DCBCA1D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221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385</xdr:row>
      <xdr:rowOff>0</xdr:rowOff>
    </xdr:from>
    <xdr:ext cx="304800" cy="279400"/>
    <xdr:sp macro="" textlink="">
      <xdr:nvSpPr>
        <xdr:cNvPr id="318" name="AutoShape 2208" descr="alert toggle">
          <a:extLst>
            <a:ext uri="{FF2B5EF4-FFF2-40B4-BE49-F238E27FC236}">
              <a16:creationId xmlns:a16="http://schemas.microsoft.com/office/drawing/2014/main" id="{354B1773-9CBC-F34A-9776-5C58D017FFD0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221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390</xdr:row>
      <xdr:rowOff>0</xdr:rowOff>
    </xdr:from>
    <xdr:ext cx="304800" cy="279400"/>
    <xdr:sp macro="" textlink="">
      <xdr:nvSpPr>
        <xdr:cNvPr id="319" name="AutoShape 2211" descr="note-add">
          <a:extLst>
            <a:ext uri="{FF2B5EF4-FFF2-40B4-BE49-F238E27FC236}">
              <a16:creationId xmlns:a16="http://schemas.microsoft.com/office/drawing/2014/main" id="{F6C53208-DD22-E744-8739-DFECA69DD3D8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3273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390</xdr:row>
      <xdr:rowOff>0</xdr:rowOff>
    </xdr:from>
    <xdr:ext cx="304800" cy="279400"/>
    <xdr:sp macro="" textlink="">
      <xdr:nvSpPr>
        <xdr:cNvPr id="320" name="AutoShape 2212" descr="alert toggle">
          <a:extLst>
            <a:ext uri="{FF2B5EF4-FFF2-40B4-BE49-F238E27FC236}">
              <a16:creationId xmlns:a16="http://schemas.microsoft.com/office/drawing/2014/main" id="{A153F417-F625-B04B-9116-AE4F9E7549C7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3273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390</xdr:row>
      <xdr:rowOff>0</xdr:rowOff>
    </xdr:from>
    <xdr:ext cx="304800" cy="304799"/>
    <xdr:sp macro="" textlink="">
      <xdr:nvSpPr>
        <xdr:cNvPr id="321" name="AutoShape 2215" descr="note-add">
          <a:extLst>
            <a:ext uri="{FF2B5EF4-FFF2-40B4-BE49-F238E27FC236}">
              <a16:creationId xmlns:a16="http://schemas.microsoft.com/office/drawing/2014/main" id="{C8D03AAD-A3F7-2349-9238-D800D9081F79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327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390</xdr:row>
      <xdr:rowOff>0</xdr:rowOff>
    </xdr:from>
    <xdr:ext cx="304800" cy="304799"/>
    <xdr:sp macro="" textlink="">
      <xdr:nvSpPr>
        <xdr:cNvPr id="322" name="AutoShape 2216" descr="alert toggle">
          <a:extLst>
            <a:ext uri="{FF2B5EF4-FFF2-40B4-BE49-F238E27FC236}">
              <a16:creationId xmlns:a16="http://schemas.microsoft.com/office/drawing/2014/main" id="{F0921152-D452-0647-AC73-4D525AD667FE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3273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49</xdr:row>
      <xdr:rowOff>0</xdr:rowOff>
    </xdr:from>
    <xdr:ext cx="304800" cy="279400"/>
    <xdr:sp macro="" textlink="">
      <xdr:nvSpPr>
        <xdr:cNvPr id="323" name="AutoShape 2509" descr="note-add">
          <a:extLst>
            <a:ext uri="{FF2B5EF4-FFF2-40B4-BE49-F238E27FC236}">
              <a16:creationId xmlns:a16="http://schemas.microsoft.com/office/drawing/2014/main" id="{642B379B-F6A5-9145-B18D-8E1541AE365B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29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49</xdr:row>
      <xdr:rowOff>0</xdr:rowOff>
    </xdr:from>
    <xdr:ext cx="304800" cy="279400"/>
    <xdr:sp macro="" textlink="">
      <xdr:nvSpPr>
        <xdr:cNvPr id="324" name="AutoShape 2510" descr="alert toggle">
          <a:extLst>
            <a:ext uri="{FF2B5EF4-FFF2-40B4-BE49-F238E27FC236}">
              <a16:creationId xmlns:a16="http://schemas.microsoft.com/office/drawing/2014/main" id="{C2AF7A2D-E4AF-EB44-93CE-3D397EBF4642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29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51</xdr:row>
      <xdr:rowOff>0</xdr:rowOff>
    </xdr:from>
    <xdr:ext cx="304800" cy="279400"/>
    <xdr:sp macro="" textlink="">
      <xdr:nvSpPr>
        <xdr:cNvPr id="325" name="AutoShape 2513" descr="note-add">
          <a:extLst>
            <a:ext uri="{FF2B5EF4-FFF2-40B4-BE49-F238E27FC236}">
              <a16:creationId xmlns:a16="http://schemas.microsoft.com/office/drawing/2014/main" id="{D72ADECC-65A1-4043-8E09-F949BFA86E48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731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51</xdr:row>
      <xdr:rowOff>0</xdr:rowOff>
    </xdr:from>
    <xdr:ext cx="304800" cy="279400"/>
    <xdr:sp macro="" textlink="">
      <xdr:nvSpPr>
        <xdr:cNvPr id="326" name="AutoShape 2514" descr="alert toggle">
          <a:extLst>
            <a:ext uri="{FF2B5EF4-FFF2-40B4-BE49-F238E27FC236}">
              <a16:creationId xmlns:a16="http://schemas.microsoft.com/office/drawing/2014/main" id="{A861B958-F800-CD4E-8958-138C557DDF7D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731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52</xdr:row>
      <xdr:rowOff>0</xdr:rowOff>
    </xdr:from>
    <xdr:ext cx="304800" cy="279400"/>
    <xdr:sp macro="" textlink="">
      <xdr:nvSpPr>
        <xdr:cNvPr id="327" name="AutoShape 2517" descr="note-add">
          <a:extLst>
            <a:ext uri="{FF2B5EF4-FFF2-40B4-BE49-F238E27FC236}">
              <a16:creationId xmlns:a16="http://schemas.microsoft.com/office/drawing/2014/main" id="{B80DCC13-B5A0-4646-A3DB-F9383B43A88A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94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52</xdr:row>
      <xdr:rowOff>0</xdr:rowOff>
    </xdr:from>
    <xdr:ext cx="304800" cy="279400"/>
    <xdr:sp macro="" textlink="">
      <xdr:nvSpPr>
        <xdr:cNvPr id="328" name="AutoShape 2518" descr="alert toggle">
          <a:extLst>
            <a:ext uri="{FF2B5EF4-FFF2-40B4-BE49-F238E27FC236}">
              <a16:creationId xmlns:a16="http://schemas.microsoft.com/office/drawing/2014/main" id="{713AA980-C783-5F43-BB11-5EBE7C757D50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94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52</xdr:row>
      <xdr:rowOff>0</xdr:rowOff>
    </xdr:from>
    <xdr:ext cx="304800" cy="279400"/>
    <xdr:sp macro="" textlink="">
      <xdr:nvSpPr>
        <xdr:cNvPr id="329" name="AutoShape 2521" descr="note-add">
          <a:extLst>
            <a:ext uri="{FF2B5EF4-FFF2-40B4-BE49-F238E27FC236}">
              <a16:creationId xmlns:a16="http://schemas.microsoft.com/office/drawing/2014/main" id="{CF0DEC1C-AC54-3E48-BFB1-F3D2EA81C57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094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52</xdr:row>
      <xdr:rowOff>0</xdr:rowOff>
    </xdr:from>
    <xdr:ext cx="304800" cy="279400"/>
    <xdr:sp macro="" textlink="">
      <xdr:nvSpPr>
        <xdr:cNvPr id="330" name="AutoShape 2522" descr="alert toggle">
          <a:extLst>
            <a:ext uri="{FF2B5EF4-FFF2-40B4-BE49-F238E27FC236}">
              <a16:creationId xmlns:a16="http://schemas.microsoft.com/office/drawing/2014/main" id="{81DEBE45-780B-FC47-8677-DC1B2AAB068F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0947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53</xdr:row>
      <xdr:rowOff>0</xdr:rowOff>
    </xdr:from>
    <xdr:ext cx="304800" cy="279400"/>
    <xdr:sp macro="" textlink="">
      <xdr:nvSpPr>
        <xdr:cNvPr id="331" name="AutoShape 2525" descr="note-add">
          <a:extLst>
            <a:ext uri="{FF2B5EF4-FFF2-40B4-BE49-F238E27FC236}">
              <a16:creationId xmlns:a16="http://schemas.microsoft.com/office/drawing/2014/main" id="{6013FA8E-FD3C-CD4C-B353-FE092ABE825A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1163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53</xdr:row>
      <xdr:rowOff>0</xdr:rowOff>
    </xdr:from>
    <xdr:ext cx="304800" cy="279400"/>
    <xdr:sp macro="" textlink="">
      <xdr:nvSpPr>
        <xdr:cNvPr id="332" name="AutoShape 2526" descr="alert toggle">
          <a:extLst>
            <a:ext uri="{FF2B5EF4-FFF2-40B4-BE49-F238E27FC236}">
              <a16:creationId xmlns:a16="http://schemas.microsoft.com/office/drawing/2014/main" id="{172FE520-FB16-A54C-B2EC-6E84AA71FA8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1163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54</xdr:row>
      <xdr:rowOff>0</xdr:rowOff>
    </xdr:from>
    <xdr:ext cx="304800" cy="279400"/>
    <xdr:sp macro="" textlink="">
      <xdr:nvSpPr>
        <xdr:cNvPr id="333" name="AutoShape 2529" descr="note-add">
          <a:extLst>
            <a:ext uri="{FF2B5EF4-FFF2-40B4-BE49-F238E27FC236}">
              <a16:creationId xmlns:a16="http://schemas.microsoft.com/office/drawing/2014/main" id="{9B0BB1BD-573C-2C49-B97C-B3FF735F8850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137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54</xdr:row>
      <xdr:rowOff>0</xdr:rowOff>
    </xdr:from>
    <xdr:ext cx="304800" cy="279400"/>
    <xdr:sp macro="" textlink="">
      <xdr:nvSpPr>
        <xdr:cNvPr id="334" name="AutoShape 2530" descr="alert toggle">
          <a:extLst>
            <a:ext uri="{FF2B5EF4-FFF2-40B4-BE49-F238E27FC236}">
              <a16:creationId xmlns:a16="http://schemas.microsoft.com/office/drawing/2014/main" id="{67651492-95AF-EA4D-B3C9-93A2A237777F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1379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55</xdr:row>
      <xdr:rowOff>0</xdr:rowOff>
    </xdr:from>
    <xdr:ext cx="304800" cy="279400"/>
    <xdr:sp macro="" textlink="">
      <xdr:nvSpPr>
        <xdr:cNvPr id="335" name="AutoShape 2533" descr="note-add">
          <a:extLst>
            <a:ext uri="{FF2B5EF4-FFF2-40B4-BE49-F238E27FC236}">
              <a16:creationId xmlns:a16="http://schemas.microsoft.com/office/drawing/2014/main" id="{E507CF74-964A-AC46-95F3-0222C6FACB0D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158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55</xdr:row>
      <xdr:rowOff>0</xdr:rowOff>
    </xdr:from>
    <xdr:ext cx="304800" cy="279400"/>
    <xdr:sp macro="" textlink="">
      <xdr:nvSpPr>
        <xdr:cNvPr id="336" name="AutoShape 2534" descr="alert toggle">
          <a:extLst>
            <a:ext uri="{FF2B5EF4-FFF2-40B4-BE49-F238E27FC236}">
              <a16:creationId xmlns:a16="http://schemas.microsoft.com/office/drawing/2014/main" id="{978EAA3C-D8AB-B648-912B-82CB4CF9E684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1582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56</xdr:row>
      <xdr:rowOff>0</xdr:rowOff>
    </xdr:from>
    <xdr:ext cx="304800" cy="279400"/>
    <xdr:sp macro="" textlink="">
      <xdr:nvSpPr>
        <xdr:cNvPr id="337" name="AutoShape 2537" descr="note-add">
          <a:extLst>
            <a:ext uri="{FF2B5EF4-FFF2-40B4-BE49-F238E27FC236}">
              <a16:creationId xmlns:a16="http://schemas.microsoft.com/office/drawing/2014/main" id="{93125E62-90D4-B34F-983C-8DA9BC3B8ED2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178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56</xdr:row>
      <xdr:rowOff>0</xdr:rowOff>
    </xdr:from>
    <xdr:ext cx="304800" cy="279400"/>
    <xdr:sp macro="" textlink="">
      <xdr:nvSpPr>
        <xdr:cNvPr id="338" name="AutoShape 2538" descr="alert toggle">
          <a:extLst>
            <a:ext uri="{FF2B5EF4-FFF2-40B4-BE49-F238E27FC236}">
              <a16:creationId xmlns:a16="http://schemas.microsoft.com/office/drawing/2014/main" id="{27B77826-2427-BC4F-894A-01C573165A19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1785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57</xdr:row>
      <xdr:rowOff>0</xdr:rowOff>
    </xdr:from>
    <xdr:ext cx="304800" cy="279400"/>
    <xdr:sp macro="" textlink="">
      <xdr:nvSpPr>
        <xdr:cNvPr id="339" name="AutoShape 2541" descr="note-add">
          <a:extLst>
            <a:ext uri="{FF2B5EF4-FFF2-40B4-BE49-F238E27FC236}">
              <a16:creationId xmlns:a16="http://schemas.microsoft.com/office/drawing/2014/main" id="{15178E8D-B410-2E44-9686-E85E95D43EBE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198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57</xdr:row>
      <xdr:rowOff>0</xdr:rowOff>
    </xdr:from>
    <xdr:ext cx="304800" cy="279400"/>
    <xdr:sp macro="" textlink="">
      <xdr:nvSpPr>
        <xdr:cNvPr id="340" name="AutoShape 2542" descr="alert toggle">
          <a:extLst>
            <a:ext uri="{FF2B5EF4-FFF2-40B4-BE49-F238E27FC236}">
              <a16:creationId xmlns:a16="http://schemas.microsoft.com/office/drawing/2014/main" id="{1B2EB89A-5120-754F-BB05-822988BDAB3D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198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57</xdr:row>
      <xdr:rowOff>0</xdr:rowOff>
    </xdr:from>
    <xdr:ext cx="304800" cy="279400"/>
    <xdr:sp macro="" textlink="">
      <xdr:nvSpPr>
        <xdr:cNvPr id="341" name="AutoShape 2545" descr="note-add">
          <a:extLst>
            <a:ext uri="{FF2B5EF4-FFF2-40B4-BE49-F238E27FC236}">
              <a16:creationId xmlns:a16="http://schemas.microsoft.com/office/drawing/2014/main" id="{48ABD106-8AEF-ED4D-B9C5-CEE28B3D2971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198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57</xdr:row>
      <xdr:rowOff>0</xdr:rowOff>
    </xdr:from>
    <xdr:ext cx="304800" cy="279400"/>
    <xdr:sp macro="" textlink="">
      <xdr:nvSpPr>
        <xdr:cNvPr id="342" name="AutoShape 2546" descr="alert toggle">
          <a:extLst>
            <a:ext uri="{FF2B5EF4-FFF2-40B4-BE49-F238E27FC236}">
              <a16:creationId xmlns:a16="http://schemas.microsoft.com/office/drawing/2014/main" id="{2401CDBA-DA97-7B48-AA39-586D7B29016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198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58</xdr:row>
      <xdr:rowOff>0</xdr:rowOff>
    </xdr:from>
    <xdr:ext cx="304800" cy="279400"/>
    <xdr:sp macro="" textlink="">
      <xdr:nvSpPr>
        <xdr:cNvPr id="343" name="AutoShape 2549" descr="note-add">
          <a:extLst>
            <a:ext uri="{FF2B5EF4-FFF2-40B4-BE49-F238E27FC236}">
              <a16:creationId xmlns:a16="http://schemas.microsoft.com/office/drawing/2014/main" id="{0FCA7929-EAC1-864C-ABF5-7C5884C93CC3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219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58</xdr:row>
      <xdr:rowOff>0</xdr:rowOff>
    </xdr:from>
    <xdr:ext cx="304800" cy="279400"/>
    <xdr:sp macro="" textlink="">
      <xdr:nvSpPr>
        <xdr:cNvPr id="344" name="AutoShape 2550" descr="alert toggle">
          <a:extLst>
            <a:ext uri="{FF2B5EF4-FFF2-40B4-BE49-F238E27FC236}">
              <a16:creationId xmlns:a16="http://schemas.microsoft.com/office/drawing/2014/main" id="{620C5D0F-E985-9A4A-9B4D-8293B5ED0763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219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59</xdr:row>
      <xdr:rowOff>0</xdr:rowOff>
    </xdr:from>
    <xdr:ext cx="304800" cy="279400"/>
    <xdr:sp macro="" textlink="">
      <xdr:nvSpPr>
        <xdr:cNvPr id="345" name="AutoShape 2553" descr="note-add">
          <a:extLst>
            <a:ext uri="{FF2B5EF4-FFF2-40B4-BE49-F238E27FC236}">
              <a16:creationId xmlns:a16="http://schemas.microsoft.com/office/drawing/2014/main" id="{3D1E4F8F-030E-6745-A9CF-FAE1D37EC8C0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239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59</xdr:row>
      <xdr:rowOff>0</xdr:rowOff>
    </xdr:from>
    <xdr:ext cx="304800" cy="279400"/>
    <xdr:sp macro="" textlink="">
      <xdr:nvSpPr>
        <xdr:cNvPr id="346" name="AutoShape 2554" descr="alert toggle">
          <a:extLst>
            <a:ext uri="{FF2B5EF4-FFF2-40B4-BE49-F238E27FC236}">
              <a16:creationId xmlns:a16="http://schemas.microsoft.com/office/drawing/2014/main" id="{B58B96D8-F318-DB49-BC62-E6D0F60B8F7F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2395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60</xdr:row>
      <xdr:rowOff>0</xdr:rowOff>
    </xdr:from>
    <xdr:ext cx="304800" cy="279400"/>
    <xdr:sp macro="" textlink="">
      <xdr:nvSpPr>
        <xdr:cNvPr id="347" name="AutoShape 2557" descr="note-add">
          <a:extLst>
            <a:ext uri="{FF2B5EF4-FFF2-40B4-BE49-F238E27FC236}">
              <a16:creationId xmlns:a16="http://schemas.microsoft.com/office/drawing/2014/main" id="{2EDFB7CF-2381-B646-93E4-E7035B592B16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261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60</xdr:row>
      <xdr:rowOff>0</xdr:rowOff>
    </xdr:from>
    <xdr:ext cx="304800" cy="279400"/>
    <xdr:sp macro="" textlink="">
      <xdr:nvSpPr>
        <xdr:cNvPr id="348" name="AutoShape 2558" descr="alert toggle">
          <a:extLst>
            <a:ext uri="{FF2B5EF4-FFF2-40B4-BE49-F238E27FC236}">
              <a16:creationId xmlns:a16="http://schemas.microsoft.com/office/drawing/2014/main" id="{C3D0B130-5856-4241-9383-D8219EDD08DB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2611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61</xdr:row>
      <xdr:rowOff>0</xdr:rowOff>
    </xdr:from>
    <xdr:ext cx="304800" cy="292101"/>
    <xdr:sp macro="" textlink="">
      <xdr:nvSpPr>
        <xdr:cNvPr id="349" name="AutoShape 2561" descr="note-add">
          <a:extLst>
            <a:ext uri="{FF2B5EF4-FFF2-40B4-BE49-F238E27FC236}">
              <a16:creationId xmlns:a16="http://schemas.microsoft.com/office/drawing/2014/main" id="{ED53E44D-89A4-4F40-9D44-E74959ABD568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28397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61</xdr:row>
      <xdr:rowOff>0</xdr:rowOff>
    </xdr:from>
    <xdr:ext cx="304800" cy="292101"/>
    <xdr:sp macro="" textlink="">
      <xdr:nvSpPr>
        <xdr:cNvPr id="350" name="AutoShape 2562" descr="alert toggle">
          <a:extLst>
            <a:ext uri="{FF2B5EF4-FFF2-40B4-BE49-F238E27FC236}">
              <a16:creationId xmlns:a16="http://schemas.microsoft.com/office/drawing/2014/main" id="{FDB2CA79-E2F4-CE42-9D52-D287A50A5E84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28397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62</xdr:row>
      <xdr:rowOff>0</xdr:rowOff>
    </xdr:from>
    <xdr:ext cx="304800" cy="292101"/>
    <xdr:sp macro="" textlink="">
      <xdr:nvSpPr>
        <xdr:cNvPr id="351" name="AutoShape 2565" descr="note-add">
          <a:extLst>
            <a:ext uri="{FF2B5EF4-FFF2-40B4-BE49-F238E27FC236}">
              <a16:creationId xmlns:a16="http://schemas.microsoft.com/office/drawing/2014/main" id="{3FE04B29-223B-764D-BA54-8C8B59ECFAEC}"/>
            </a:ext>
          </a:extLst>
        </xdr:cNvPr>
        <xdr:cNvSpPr>
          <a:spLocks noChangeAspect="1" noChangeArrowheads="1"/>
        </xdr:cNvSpPr>
      </xdr:nvSpPr>
      <xdr:spPr bwMode="auto">
        <a:xfrm>
          <a:off x="28854400" y="130556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62</xdr:row>
      <xdr:rowOff>0</xdr:rowOff>
    </xdr:from>
    <xdr:ext cx="304800" cy="292101"/>
    <xdr:sp macro="" textlink="">
      <xdr:nvSpPr>
        <xdr:cNvPr id="352" name="AutoShape 2566" descr="alert toggle">
          <a:extLst>
            <a:ext uri="{FF2B5EF4-FFF2-40B4-BE49-F238E27FC236}">
              <a16:creationId xmlns:a16="http://schemas.microsoft.com/office/drawing/2014/main" id="{46C9A216-04AD-204E-8398-21C608CF52A6}"/>
            </a:ext>
          </a:extLst>
        </xdr:cNvPr>
        <xdr:cNvSpPr>
          <a:spLocks noChangeAspect="1" noChangeArrowheads="1"/>
        </xdr:cNvSpPr>
      </xdr:nvSpPr>
      <xdr:spPr bwMode="auto">
        <a:xfrm>
          <a:off x="29171900" y="13055600"/>
          <a:ext cx="304800" cy="292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129</xdr:row>
      <xdr:rowOff>0</xdr:rowOff>
    </xdr:from>
    <xdr:ext cx="304800" cy="279400"/>
    <xdr:sp macro="" textlink="">
      <xdr:nvSpPr>
        <xdr:cNvPr id="353" name="AutoShape 3101" descr="note-add">
          <a:extLst>
            <a:ext uri="{FF2B5EF4-FFF2-40B4-BE49-F238E27FC236}">
              <a16:creationId xmlns:a16="http://schemas.microsoft.com/office/drawing/2014/main" id="{F643C693-BD7B-FF47-8228-60EA8F823104}"/>
            </a:ext>
          </a:extLst>
        </xdr:cNvPr>
        <xdr:cNvSpPr>
          <a:spLocks noChangeAspect="1" noChangeArrowheads="1"/>
        </xdr:cNvSpPr>
      </xdr:nvSpPr>
      <xdr:spPr bwMode="auto">
        <a:xfrm>
          <a:off x="43916600" y="2736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129</xdr:row>
      <xdr:rowOff>0</xdr:rowOff>
    </xdr:from>
    <xdr:ext cx="304800" cy="279400"/>
    <xdr:sp macro="" textlink="">
      <xdr:nvSpPr>
        <xdr:cNvPr id="354" name="AutoShape 3102" descr="alert toggle">
          <a:extLst>
            <a:ext uri="{FF2B5EF4-FFF2-40B4-BE49-F238E27FC236}">
              <a16:creationId xmlns:a16="http://schemas.microsoft.com/office/drawing/2014/main" id="{685484D6-BDE9-E647-85E9-FD463C756B31}"/>
            </a:ext>
          </a:extLst>
        </xdr:cNvPr>
        <xdr:cNvSpPr>
          <a:spLocks noChangeAspect="1" noChangeArrowheads="1"/>
        </xdr:cNvSpPr>
      </xdr:nvSpPr>
      <xdr:spPr bwMode="auto">
        <a:xfrm>
          <a:off x="44234100" y="2736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132</xdr:row>
      <xdr:rowOff>0</xdr:rowOff>
    </xdr:from>
    <xdr:ext cx="304800" cy="279400"/>
    <xdr:sp macro="" textlink="">
      <xdr:nvSpPr>
        <xdr:cNvPr id="355" name="AutoShape 3278" descr="note-add">
          <a:extLst>
            <a:ext uri="{FF2B5EF4-FFF2-40B4-BE49-F238E27FC236}">
              <a16:creationId xmlns:a16="http://schemas.microsoft.com/office/drawing/2014/main" id="{C72FD97B-7882-4C44-9443-387F57A16F32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8016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132</xdr:row>
      <xdr:rowOff>0</xdr:rowOff>
    </xdr:from>
    <xdr:ext cx="304800" cy="279400"/>
    <xdr:sp macro="" textlink="">
      <xdr:nvSpPr>
        <xdr:cNvPr id="356" name="AutoShape 3279" descr="alert toggle">
          <a:extLst>
            <a:ext uri="{FF2B5EF4-FFF2-40B4-BE49-F238E27FC236}">
              <a16:creationId xmlns:a16="http://schemas.microsoft.com/office/drawing/2014/main" id="{30D23FF2-9902-D84A-A5E2-A027278C9976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8016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279400"/>
    <xdr:sp macro="" textlink="">
      <xdr:nvSpPr>
        <xdr:cNvPr id="357" name="AutoShape 3282" descr="note-add">
          <a:extLst>
            <a:ext uri="{FF2B5EF4-FFF2-40B4-BE49-F238E27FC236}">
              <a16:creationId xmlns:a16="http://schemas.microsoft.com/office/drawing/2014/main" id="{3768CA4E-7E2D-5B42-9E72-E0A75CF99816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844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134</xdr:row>
      <xdr:rowOff>0</xdr:rowOff>
    </xdr:from>
    <xdr:ext cx="304800" cy="279400"/>
    <xdr:sp macro="" textlink="">
      <xdr:nvSpPr>
        <xdr:cNvPr id="358" name="AutoShape 3286" descr="note-add">
          <a:extLst>
            <a:ext uri="{FF2B5EF4-FFF2-40B4-BE49-F238E27FC236}">
              <a16:creationId xmlns:a16="http://schemas.microsoft.com/office/drawing/2014/main" id="{55F43344-727F-0044-83B3-A0576A40D565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844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134</xdr:row>
      <xdr:rowOff>0</xdr:rowOff>
    </xdr:from>
    <xdr:ext cx="304800" cy="279400"/>
    <xdr:sp macro="" textlink="">
      <xdr:nvSpPr>
        <xdr:cNvPr id="359" name="AutoShape 3287" descr="alert toggle">
          <a:extLst>
            <a:ext uri="{FF2B5EF4-FFF2-40B4-BE49-F238E27FC236}">
              <a16:creationId xmlns:a16="http://schemas.microsoft.com/office/drawing/2014/main" id="{528677A8-12AD-5442-8307-CE5FD2C0E630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8448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135</xdr:row>
      <xdr:rowOff>0</xdr:rowOff>
    </xdr:from>
    <xdr:ext cx="304800" cy="279400"/>
    <xdr:sp macro="" textlink="">
      <xdr:nvSpPr>
        <xdr:cNvPr id="360" name="AutoShape 3290" descr="note-add">
          <a:extLst>
            <a:ext uri="{FF2B5EF4-FFF2-40B4-BE49-F238E27FC236}">
              <a16:creationId xmlns:a16="http://schemas.microsoft.com/office/drawing/2014/main" id="{431683EF-3878-AB45-9D54-E8A4986E4578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8663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135</xdr:row>
      <xdr:rowOff>0</xdr:rowOff>
    </xdr:from>
    <xdr:ext cx="304800" cy="279400"/>
    <xdr:sp macro="" textlink="">
      <xdr:nvSpPr>
        <xdr:cNvPr id="361" name="AutoShape 3291" descr="alert toggle">
          <a:extLst>
            <a:ext uri="{FF2B5EF4-FFF2-40B4-BE49-F238E27FC236}">
              <a16:creationId xmlns:a16="http://schemas.microsoft.com/office/drawing/2014/main" id="{5375B55F-6206-C04F-8101-1E03DD50642B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8663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136</xdr:row>
      <xdr:rowOff>0</xdr:rowOff>
    </xdr:from>
    <xdr:ext cx="304800" cy="279400"/>
    <xdr:sp macro="" textlink="">
      <xdr:nvSpPr>
        <xdr:cNvPr id="362" name="AutoShape 3294" descr="note-add">
          <a:extLst>
            <a:ext uri="{FF2B5EF4-FFF2-40B4-BE49-F238E27FC236}">
              <a16:creationId xmlns:a16="http://schemas.microsoft.com/office/drawing/2014/main" id="{F76CBA3B-2035-864C-B4FB-F978D2DF0559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887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136</xdr:row>
      <xdr:rowOff>0</xdr:rowOff>
    </xdr:from>
    <xdr:ext cx="304800" cy="279400"/>
    <xdr:sp macro="" textlink="">
      <xdr:nvSpPr>
        <xdr:cNvPr id="363" name="AutoShape 3295" descr="alert toggle">
          <a:extLst>
            <a:ext uri="{FF2B5EF4-FFF2-40B4-BE49-F238E27FC236}">
              <a16:creationId xmlns:a16="http://schemas.microsoft.com/office/drawing/2014/main" id="{633849CE-5FE7-4E4A-8106-BA04B2F6ED4A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887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137</xdr:row>
      <xdr:rowOff>0</xdr:rowOff>
    </xdr:from>
    <xdr:ext cx="304800" cy="279400"/>
    <xdr:sp macro="" textlink="">
      <xdr:nvSpPr>
        <xdr:cNvPr id="364" name="AutoShape 3298" descr="note-add">
          <a:extLst>
            <a:ext uri="{FF2B5EF4-FFF2-40B4-BE49-F238E27FC236}">
              <a16:creationId xmlns:a16="http://schemas.microsoft.com/office/drawing/2014/main" id="{9E52C2B3-0113-2B4A-A3D7-583219CA097B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9095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137</xdr:row>
      <xdr:rowOff>0</xdr:rowOff>
    </xdr:from>
    <xdr:ext cx="304800" cy="279400"/>
    <xdr:sp macro="" textlink="">
      <xdr:nvSpPr>
        <xdr:cNvPr id="365" name="AutoShape 3299" descr="alert toggle">
          <a:extLst>
            <a:ext uri="{FF2B5EF4-FFF2-40B4-BE49-F238E27FC236}">
              <a16:creationId xmlns:a16="http://schemas.microsoft.com/office/drawing/2014/main" id="{4302C06C-EEB0-1641-A1D6-4FA0636CAE10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9095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138</xdr:row>
      <xdr:rowOff>0</xdr:rowOff>
    </xdr:from>
    <xdr:ext cx="304800" cy="279400"/>
    <xdr:sp macro="" textlink="">
      <xdr:nvSpPr>
        <xdr:cNvPr id="366" name="AutoShape 3302" descr="note-add">
          <a:extLst>
            <a:ext uri="{FF2B5EF4-FFF2-40B4-BE49-F238E27FC236}">
              <a16:creationId xmlns:a16="http://schemas.microsoft.com/office/drawing/2014/main" id="{641FB680-82C8-4345-A273-C40DA177F9FA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9311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138</xdr:row>
      <xdr:rowOff>0</xdr:rowOff>
    </xdr:from>
    <xdr:ext cx="304800" cy="279400"/>
    <xdr:sp macro="" textlink="">
      <xdr:nvSpPr>
        <xdr:cNvPr id="367" name="AutoShape 3303" descr="alert toggle">
          <a:extLst>
            <a:ext uri="{FF2B5EF4-FFF2-40B4-BE49-F238E27FC236}">
              <a16:creationId xmlns:a16="http://schemas.microsoft.com/office/drawing/2014/main" id="{874001BB-F4A1-054A-AD82-2F090DB0872B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9311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139</xdr:row>
      <xdr:rowOff>0</xdr:rowOff>
    </xdr:from>
    <xdr:ext cx="304800" cy="279400"/>
    <xdr:sp macro="" textlink="">
      <xdr:nvSpPr>
        <xdr:cNvPr id="368" name="AutoShape 3306" descr="note-add">
          <a:extLst>
            <a:ext uri="{FF2B5EF4-FFF2-40B4-BE49-F238E27FC236}">
              <a16:creationId xmlns:a16="http://schemas.microsoft.com/office/drawing/2014/main" id="{808820E3-65F8-4744-81F9-BD7E51B43231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95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139</xdr:row>
      <xdr:rowOff>0</xdr:rowOff>
    </xdr:from>
    <xdr:ext cx="304800" cy="279400"/>
    <xdr:sp macro="" textlink="">
      <xdr:nvSpPr>
        <xdr:cNvPr id="369" name="AutoShape 3307" descr="alert toggle">
          <a:extLst>
            <a:ext uri="{FF2B5EF4-FFF2-40B4-BE49-F238E27FC236}">
              <a16:creationId xmlns:a16="http://schemas.microsoft.com/office/drawing/2014/main" id="{61F7523C-0281-4946-A0C0-7BFE73B50482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95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139</xdr:row>
      <xdr:rowOff>0</xdr:rowOff>
    </xdr:from>
    <xdr:ext cx="304800" cy="279400"/>
    <xdr:sp macro="" textlink="">
      <xdr:nvSpPr>
        <xdr:cNvPr id="370" name="AutoShape 3310" descr="note-add">
          <a:extLst>
            <a:ext uri="{FF2B5EF4-FFF2-40B4-BE49-F238E27FC236}">
              <a16:creationId xmlns:a16="http://schemas.microsoft.com/office/drawing/2014/main" id="{FCD46693-F140-D441-AAC5-BF7D24E7E3E0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95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139</xdr:row>
      <xdr:rowOff>0</xdr:rowOff>
    </xdr:from>
    <xdr:ext cx="304800" cy="279400"/>
    <xdr:sp macro="" textlink="">
      <xdr:nvSpPr>
        <xdr:cNvPr id="371" name="AutoShape 3311" descr="alert toggle">
          <a:extLst>
            <a:ext uri="{FF2B5EF4-FFF2-40B4-BE49-F238E27FC236}">
              <a16:creationId xmlns:a16="http://schemas.microsoft.com/office/drawing/2014/main" id="{80C6C38A-188B-844C-B354-7187180A64F7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9514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140</xdr:row>
      <xdr:rowOff>0</xdr:rowOff>
    </xdr:from>
    <xdr:ext cx="304800" cy="279400"/>
    <xdr:sp macro="" textlink="">
      <xdr:nvSpPr>
        <xdr:cNvPr id="372" name="AutoShape 3314" descr="note-add">
          <a:extLst>
            <a:ext uri="{FF2B5EF4-FFF2-40B4-BE49-F238E27FC236}">
              <a16:creationId xmlns:a16="http://schemas.microsoft.com/office/drawing/2014/main" id="{A8CEA058-5DEC-4541-A7CB-782281FFC927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2974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140</xdr:row>
      <xdr:rowOff>0</xdr:rowOff>
    </xdr:from>
    <xdr:ext cx="304800" cy="279400"/>
    <xdr:sp macro="" textlink="">
      <xdr:nvSpPr>
        <xdr:cNvPr id="373" name="AutoShape 3315" descr="alert toggle">
          <a:extLst>
            <a:ext uri="{FF2B5EF4-FFF2-40B4-BE49-F238E27FC236}">
              <a16:creationId xmlns:a16="http://schemas.microsoft.com/office/drawing/2014/main" id="{67A0218B-A014-3142-AC70-1188290903E3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29743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142</xdr:row>
      <xdr:rowOff>0</xdr:rowOff>
    </xdr:from>
    <xdr:ext cx="304800" cy="279400"/>
    <xdr:sp macro="" textlink="">
      <xdr:nvSpPr>
        <xdr:cNvPr id="374" name="AutoShape 3318" descr="note-add">
          <a:extLst>
            <a:ext uri="{FF2B5EF4-FFF2-40B4-BE49-F238E27FC236}">
              <a16:creationId xmlns:a16="http://schemas.microsoft.com/office/drawing/2014/main" id="{4DEDDEE7-54A0-6741-9EE3-459E24351967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142</xdr:row>
      <xdr:rowOff>0</xdr:rowOff>
    </xdr:from>
    <xdr:ext cx="304800" cy="279400"/>
    <xdr:sp macro="" textlink="">
      <xdr:nvSpPr>
        <xdr:cNvPr id="375" name="AutoShape 3319" descr="alert toggle">
          <a:extLst>
            <a:ext uri="{FF2B5EF4-FFF2-40B4-BE49-F238E27FC236}">
              <a16:creationId xmlns:a16="http://schemas.microsoft.com/office/drawing/2014/main" id="{C6C58E0C-800D-064E-88B9-04BCB0D9D72B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142</xdr:row>
      <xdr:rowOff>0</xdr:rowOff>
    </xdr:from>
    <xdr:ext cx="304800" cy="279400"/>
    <xdr:sp macro="" textlink="">
      <xdr:nvSpPr>
        <xdr:cNvPr id="376" name="AutoShape 3322" descr="note-add">
          <a:extLst>
            <a:ext uri="{FF2B5EF4-FFF2-40B4-BE49-F238E27FC236}">
              <a16:creationId xmlns:a16="http://schemas.microsoft.com/office/drawing/2014/main" id="{9F5CAE94-F82A-534A-AF84-1B8C3DCC00FA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142</xdr:row>
      <xdr:rowOff>0</xdr:rowOff>
    </xdr:from>
    <xdr:ext cx="304800" cy="279400"/>
    <xdr:sp macro="" textlink="">
      <xdr:nvSpPr>
        <xdr:cNvPr id="377" name="AutoShape 3323" descr="alert toggle">
          <a:extLst>
            <a:ext uri="{FF2B5EF4-FFF2-40B4-BE49-F238E27FC236}">
              <a16:creationId xmlns:a16="http://schemas.microsoft.com/office/drawing/2014/main" id="{926EEEB4-F41F-BB45-BB0F-53461DA1ABAB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150</xdr:row>
      <xdr:rowOff>0</xdr:rowOff>
    </xdr:from>
    <xdr:ext cx="304800" cy="279400"/>
    <xdr:sp macro="" textlink="">
      <xdr:nvSpPr>
        <xdr:cNvPr id="378" name="AutoShape 3326" descr="note-add">
          <a:extLst>
            <a:ext uri="{FF2B5EF4-FFF2-40B4-BE49-F238E27FC236}">
              <a16:creationId xmlns:a16="http://schemas.microsoft.com/office/drawing/2014/main" id="{D0D8A147-A158-9648-93C9-BC541D4F80BC}"/>
            </a:ext>
          </a:extLst>
        </xdr:cNvPr>
        <xdr:cNvSpPr>
          <a:spLocks noChangeAspect="1" noChangeArrowheads="1"/>
        </xdr:cNvSpPr>
      </xdr:nvSpPr>
      <xdr:spPr bwMode="auto">
        <a:xfrm>
          <a:off x="33477200" y="32029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142</xdr:row>
      <xdr:rowOff>0</xdr:rowOff>
    </xdr:from>
    <xdr:ext cx="304800" cy="279400"/>
    <xdr:sp macro="" textlink="">
      <xdr:nvSpPr>
        <xdr:cNvPr id="379" name="AutoShape 3330" descr="note-add">
          <a:extLst>
            <a:ext uri="{FF2B5EF4-FFF2-40B4-BE49-F238E27FC236}">
              <a16:creationId xmlns:a16="http://schemas.microsoft.com/office/drawing/2014/main" id="{4B562661-3E8C-E54B-8268-5E9AAABA9CF1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142</xdr:row>
      <xdr:rowOff>0</xdr:rowOff>
    </xdr:from>
    <xdr:ext cx="304800" cy="279400"/>
    <xdr:sp macro="" textlink="">
      <xdr:nvSpPr>
        <xdr:cNvPr id="380" name="AutoShape 3331" descr="alert toggle">
          <a:extLst>
            <a:ext uri="{FF2B5EF4-FFF2-40B4-BE49-F238E27FC236}">
              <a16:creationId xmlns:a16="http://schemas.microsoft.com/office/drawing/2014/main" id="{9B8AD78A-6E9B-8F4A-90C0-DF7AD477BAC9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142</xdr:row>
      <xdr:rowOff>0</xdr:rowOff>
    </xdr:from>
    <xdr:ext cx="304800" cy="279400"/>
    <xdr:sp macro="" textlink="">
      <xdr:nvSpPr>
        <xdr:cNvPr id="381" name="AutoShape 3334" descr="note-add">
          <a:extLst>
            <a:ext uri="{FF2B5EF4-FFF2-40B4-BE49-F238E27FC236}">
              <a16:creationId xmlns:a16="http://schemas.microsoft.com/office/drawing/2014/main" id="{56DC0AE8-E9DD-504F-B016-1907AA3DED55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142</xdr:row>
      <xdr:rowOff>0</xdr:rowOff>
    </xdr:from>
    <xdr:ext cx="304800" cy="279400"/>
    <xdr:sp macro="" textlink="">
      <xdr:nvSpPr>
        <xdr:cNvPr id="382" name="AutoShape 3335" descr="alert toggle">
          <a:extLst>
            <a:ext uri="{FF2B5EF4-FFF2-40B4-BE49-F238E27FC236}">
              <a16:creationId xmlns:a16="http://schemas.microsoft.com/office/drawing/2014/main" id="{1CD54FB4-7D89-9E44-880E-EFC8B9E15D7C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30200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374</xdr:row>
      <xdr:rowOff>0</xdr:rowOff>
    </xdr:from>
    <xdr:ext cx="304800" cy="279400"/>
    <xdr:sp macro="" textlink="">
      <xdr:nvSpPr>
        <xdr:cNvPr id="383" name="AutoShape 3852" descr="note-add">
          <a:extLst>
            <a:ext uri="{FF2B5EF4-FFF2-40B4-BE49-F238E27FC236}">
              <a16:creationId xmlns:a16="http://schemas.microsoft.com/office/drawing/2014/main" id="{6E5AA3CA-C7BD-994E-9021-C70843EABBC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979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374</xdr:row>
      <xdr:rowOff>0</xdr:rowOff>
    </xdr:from>
    <xdr:ext cx="304800" cy="279400"/>
    <xdr:sp macro="" textlink="">
      <xdr:nvSpPr>
        <xdr:cNvPr id="384" name="AutoShape 3853" descr="alert toggle">
          <a:extLst>
            <a:ext uri="{FF2B5EF4-FFF2-40B4-BE49-F238E27FC236}">
              <a16:creationId xmlns:a16="http://schemas.microsoft.com/office/drawing/2014/main" id="{BF589B31-B801-DD47-9633-C012452BDEF4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9794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375</xdr:row>
      <xdr:rowOff>0</xdr:rowOff>
    </xdr:from>
    <xdr:ext cx="304800" cy="279400"/>
    <xdr:sp macro="" textlink="">
      <xdr:nvSpPr>
        <xdr:cNvPr id="385" name="AutoShape 3856" descr="note-add">
          <a:extLst>
            <a:ext uri="{FF2B5EF4-FFF2-40B4-BE49-F238E27FC236}">
              <a16:creationId xmlns:a16="http://schemas.microsoft.com/office/drawing/2014/main" id="{8ECC1EDD-DF1A-3E49-B5A8-67B7690841F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999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375</xdr:row>
      <xdr:rowOff>0</xdr:rowOff>
    </xdr:from>
    <xdr:ext cx="304800" cy="279400"/>
    <xdr:sp macro="" textlink="">
      <xdr:nvSpPr>
        <xdr:cNvPr id="386" name="AutoShape 3857" descr="alert toggle">
          <a:extLst>
            <a:ext uri="{FF2B5EF4-FFF2-40B4-BE49-F238E27FC236}">
              <a16:creationId xmlns:a16="http://schemas.microsoft.com/office/drawing/2014/main" id="{ABA18AB7-9BD5-3847-B482-BF0488CA174B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99973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377</xdr:row>
      <xdr:rowOff>0</xdr:rowOff>
    </xdr:from>
    <xdr:ext cx="304800" cy="279400"/>
    <xdr:sp macro="" textlink="">
      <xdr:nvSpPr>
        <xdr:cNvPr id="387" name="AutoShape 3860" descr="note-add">
          <a:extLst>
            <a:ext uri="{FF2B5EF4-FFF2-40B4-BE49-F238E27FC236}">
              <a16:creationId xmlns:a16="http://schemas.microsoft.com/office/drawing/2014/main" id="{80B7DD35-EEBA-B045-91D4-CE68611666B8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0416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377</xdr:row>
      <xdr:rowOff>0</xdr:rowOff>
    </xdr:from>
    <xdr:ext cx="304800" cy="279400"/>
    <xdr:sp macro="" textlink="">
      <xdr:nvSpPr>
        <xdr:cNvPr id="388" name="AutoShape 3861" descr="alert toggle">
          <a:extLst>
            <a:ext uri="{FF2B5EF4-FFF2-40B4-BE49-F238E27FC236}">
              <a16:creationId xmlns:a16="http://schemas.microsoft.com/office/drawing/2014/main" id="{A21C19DC-30B6-5048-A356-C3EA4AFCE8AC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0416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378</xdr:row>
      <xdr:rowOff>0</xdr:rowOff>
    </xdr:from>
    <xdr:ext cx="304800" cy="279400"/>
    <xdr:sp macro="" textlink="">
      <xdr:nvSpPr>
        <xdr:cNvPr id="389" name="AutoShape 3864" descr="note-add">
          <a:extLst>
            <a:ext uri="{FF2B5EF4-FFF2-40B4-BE49-F238E27FC236}">
              <a16:creationId xmlns:a16="http://schemas.microsoft.com/office/drawing/2014/main" id="{202AB2B2-7BA7-8846-84DC-BF5FA3BDE4B1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064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378</xdr:row>
      <xdr:rowOff>0</xdr:rowOff>
    </xdr:from>
    <xdr:ext cx="304800" cy="279400"/>
    <xdr:sp macro="" textlink="">
      <xdr:nvSpPr>
        <xdr:cNvPr id="390" name="AutoShape 3865" descr="alert toggle">
          <a:extLst>
            <a:ext uri="{FF2B5EF4-FFF2-40B4-BE49-F238E27FC236}">
              <a16:creationId xmlns:a16="http://schemas.microsoft.com/office/drawing/2014/main" id="{EBF4D1ED-ACF9-0345-B49B-D2CE2C42431A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0645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379</xdr:row>
      <xdr:rowOff>0</xdr:rowOff>
    </xdr:from>
    <xdr:ext cx="304800" cy="279400"/>
    <xdr:sp macro="" textlink="">
      <xdr:nvSpPr>
        <xdr:cNvPr id="391" name="AutoShape 3868" descr="note-add">
          <a:extLst>
            <a:ext uri="{FF2B5EF4-FFF2-40B4-BE49-F238E27FC236}">
              <a16:creationId xmlns:a16="http://schemas.microsoft.com/office/drawing/2014/main" id="{1DF237DD-9B44-C841-9499-3BDA6AF26629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086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379</xdr:row>
      <xdr:rowOff>0</xdr:rowOff>
    </xdr:from>
    <xdr:ext cx="304800" cy="279400"/>
    <xdr:sp macro="" textlink="">
      <xdr:nvSpPr>
        <xdr:cNvPr id="392" name="AutoShape 3869" descr="alert toggle">
          <a:extLst>
            <a:ext uri="{FF2B5EF4-FFF2-40B4-BE49-F238E27FC236}">
              <a16:creationId xmlns:a16="http://schemas.microsoft.com/office/drawing/2014/main" id="{3C06B31B-7EF9-7045-A544-2F1966FBE0B0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0860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380</xdr:row>
      <xdr:rowOff>0</xdr:rowOff>
    </xdr:from>
    <xdr:ext cx="304800" cy="279400"/>
    <xdr:sp macro="" textlink="">
      <xdr:nvSpPr>
        <xdr:cNvPr id="393" name="AutoShape 3872" descr="note-add">
          <a:extLst>
            <a:ext uri="{FF2B5EF4-FFF2-40B4-BE49-F238E27FC236}">
              <a16:creationId xmlns:a16="http://schemas.microsoft.com/office/drawing/2014/main" id="{F94E64CA-7F9D-464F-B374-2ADB1991C0C5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1076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380</xdr:row>
      <xdr:rowOff>0</xdr:rowOff>
    </xdr:from>
    <xdr:ext cx="304800" cy="279400"/>
    <xdr:sp macro="" textlink="">
      <xdr:nvSpPr>
        <xdr:cNvPr id="394" name="AutoShape 3873" descr="alert toggle">
          <a:extLst>
            <a:ext uri="{FF2B5EF4-FFF2-40B4-BE49-F238E27FC236}">
              <a16:creationId xmlns:a16="http://schemas.microsoft.com/office/drawing/2014/main" id="{EEBDF866-A5BA-D743-8485-A6D0E4299AAA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1076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381</xdr:row>
      <xdr:rowOff>0</xdr:rowOff>
    </xdr:from>
    <xdr:ext cx="304800" cy="279400"/>
    <xdr:sp macro="" textlink="">
      <xdr:nvSpPr>
        <xdr:cNvPr id="395" name="AutoShape 3876" descr="note-add">
          <a:extLst>
            <a:ext uri="{FF2B5EF4-FFF2-40B4-BE49-F238E27FC236}">
              <a16:creationId xmlns:a16="http://schemas.microsoft.com/office/drawing/2014/main" id="{2AD18ADF-9D5B-C44C-B497-6C659AEB8F98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1305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381</xdr:row>
      <xdr:rowOff>0</xdr:rowOff>
    </xdr:from>
    <xdr:ext cx="304800" cy="279400"/>
    <xdr:sp macro="" textlink="">
      <xdr:nvSpPr>
        <xdr:cNvPr id="396" name="AutoShape 3877" descr="alert toggle">
          <a:extLst>
            <a:ext uri="{FF2B5EF4-FFF2-40B4-BE49-F238E27FC236}">
              <a16:creationId xmlns:a16="http://schemas.microsoft.com/office/drawing/2014/main" id="{6DA27CD9-B0B3-C34E-9DE4-DDC4785AD78D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1305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382</xdr:row>
      <xdr:rowOff>0</xdr:rowOff>
    </xdr:from>
    <xdr:ext cx="304800" cy="279400"/>
    <xdr:sp macro="" textlink="">
      <xdr:nvSpPr>
        <xdr:cNvPr id="397" name="AutoShape 3880" descr="note-add">
          <a:extLst>
            <a:ext uri="{FF2B5EF4-FFF2-40B4-BE49-F238E27FC236}">
              <a16:creationId xmlns:a16="http://schemas.microsoft.com/office/drawing/2014/main" id="{64396DC8-1E2F-944A-8EEB-07C78AB4D95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1534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382</xdr:row>
      <xdr:rowOff>0</xdr:rowOff>
    </xdr:from>
    <xdr:ext cx="304800" cy="279400"/>
    <xdr:sp macro="" textlink="">
      <xdr:nvSpPr>
        <xdr:cNvPr id="398" name="AutoShape 3881" descr="alert toggle">
          <a:extLst>
            <a:ext uri="{FF2B5EF4-FFF2-40B4-BE49-F238E27FC236}">
              <a16:creationId xmlns:a16="http://schemas.microsoft.com/office/drawing/2014/main" id="{AEFC9FCF-5EEF-CF40-9280-EBF793240EE6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1534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383</xdr:row>
      <xdr:rowOff>0</xdr:rowOff>
    </xdr:from>
    <xdr:ext cx="304800" cy="279400"/>
    <xdr:sp macro="" textlink="">
      <xdr:nvSpPr>
        <xdr:cNvPr id="399" name="AutoShape 3884" descr="note-add">
          <a:extLst>
            <a:ext uri="{FF2B5EF4-FFF2-40B4-BE49-F238E27FC236}">
              <a16:creationId xmlns:a16="http://schemas.microsoft.com/office/drawing/2014/main" id="{DA061C7C-02AD-5344-AC34-B8850785155F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1762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383</xdr:row>
      <xdr:rowOff>0</xdr:rowOff>
    </xdr:from>
    <xdr:ext cx="304800" cy="279400"/>
    <xdr:sp macro="" textlink="">
      <xdr:nvSpPr>
        <xdr:cNvPr id="400" name="AutoShape 3885" descr="alert toggle">
          <a:extLst>
            <a:ext uri="{FF2B5EF4-FFF2-40B4-BE49-F238E27FC236}">
              <a16:creationId xmlns:a16="http://schemas.microsoft.com/office/drawing/2014/main" id="{5F8189F7-EC4E-2944-BF7C-5EA7084C11D8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1762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385</xdr:row>
      <xdr:rowOff>0</xdr:rowOff>
    </xdr:from>
    <xdr:ext cx="304800" cy="279400"/>
    <xdr:sp macro="" textlink="">
      <xdr:nvSpPr>
        <xdr:cNvPr id="401" name="AutoShape 3888" descr="note-add">
          <a:extLst>
            <a:ext uri="{FF2B5EF4-FFF2-40B4-BE49-F238E27FC236}">
              <a16:creationId xmlns:a16="http://schemas.microsoft.com/office/drawing/2014/main" id="{A2B69593-8304-4C41-B0FD-2B0A60EA1059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221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385</xdr:row>
      <xdr:rowOff>0</xdr:rowOff>
    </xdr:from>
    <xdr:ext cx="304800" cy="279400"/>
    <xdr:sp macro="" textlink="">
      <xdr:nvSpPr>
        <xdr:cNvPr id="402" name="AutoShape 3889" descr="alert toggle">
          <a:extLst>
            <a:ext uri="{FF2B5EF4-FFF2-40B4-BE49-F238E27FC236}">
              <a16:creationId xmlns:a16="http://schemas.microsoft.com/office/drawing/2014/main" id="{EA6A1EC7-45A0-014F-88A3-E902F346AE52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2219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386</xdr:row>
      <xdr:rowOff>0</xdr:rowOff>
    </xdr:from>
    <xdr:ext cx="304800" cy="279400"/>
    <xdr:sp macro="" textlink="">
      <xdr:nvSpPr>
        <xdr:cNvPr id="403" name="AutoShape 3892" descr="note-add">
          <a:extLst>
            <a:ext uri="{FF2B5EF4-FFF2-40B4-BE49-F238E27FC236}">
              <a16:creationId xmlns:a16="http://schemas.microsoft.com/office/drawing/2014/main" id="{818B5666-FD9F-0B42-8806-4806C69C0179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244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386</xdr:row>
      <xdr:rowOff>0</xdr:rowOff>
    </xdr:from>
    <xdr:ext cx="304800" cy="279400"/>
    <xdr:sp macro="" textlink="">
      <xdr:nvSpPr>
        <xdr:cNvPr id="404" name="AutoShape 3893" descr="alert toggle">
          <a:extLst>
            <a:ext uri="{FF2B5EF4-FFF2-40B4-BE49-F238E27FC236}">
              <a16:creationId xmlns:a16="http://schemas.microsoft.com/office/drawing/2014/main" id="{934B1A2F-95E2-214D-A6AF-6540245D0783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24484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388</xdr:row>
      <xdr:rowOff>0</xdr:rowOff>
    </xdr:from>
    <xdr:ext cx="304800" cy="279400"/>
    <xdr:sp macro="" textlink="">
      <xdr:nvSpPr>
        <xdr:cNvPr id="405" name="AutoShape 3896" descr="note-add">
          <a:extLst>
            <a:ext uri="{FF2B5EF4-FFF2-40B4-BE49-F238E27FC236}">
              <a16:creationId xmlns:a16="http://schemas.microsoft.com/office/drawing/2014/main" id="{5CCE920E-3834-E042-AE36-3D7EC5C12FBA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286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388</xdr:row>
      <xdr:rowOff>0</xdr:rowOff>
    </xdr:from>
    <xdr:ext cx="304800" cy="279400"/>
    <xdr:sp macro="" textlink="">
      <xdr:nvSpPr>
        <xdr:cNvPr id="406" name="AutoShape 3897" descr="alert toggle">
          <a:extLst>
            <a:ext uri="{FF2B5EF4-FFF2-40B4-BE49-F238E27FC236}">
              <a16:creationId xmlns:a16="http://schemas.microsoft.com/office/drawing/2014/main" id="{D7A08132-1F19-B049-BE44-BF2F07B5D7E9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2867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389</xdr:row>
      <xdr:rowOff>0</xdr:rowOff>
    </xdr:from>
    <xdr:ext cx="304800" cy="279400"/>
    <xdr:sp macro="" textlink="">
      <xdr:nvSpPr>
        <xdr:cNvPr id="407" name="AutoShape 3900" descr="note-add">
          <a:extLst>
            <a:ext uri="{FF2B5EF4-FFF2-40B4-BE49-F238E27FC236}">
              <a16:creationId xmlns:a16="http://schemas.microsoft.com/office/drawing/2014/main" id="{9D2D2590-7AD4-9646-96F7-A0E27E3D828E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3070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390</xdr:row>
      <xdr:rowOff>0</xdr:rowOff>
    </xdr:from>
    <xdr:ext cx="304800" cy="279400"/>
    <xdr:sp macro="" textlink="">
      <xdr:nvSpPr>
        <xdr:cNvPr id="408" name="AutoShape 3904" descr="note-add">
          <a:extLst>
            <a:ext uri="{FF2B5EF4-FFF2-40B4-BE49-F238E27FC236}">
              <a16:creationId xmlns:a16="http://schemas.microsoft.com/office/drawing/2014/main" id="{A89B3E50-D046-3647-821C-70F1E59FB93A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3273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</xdr:row>
      <xdr:rowOff>0</xdr:rowOff>
    </xdr:from>
    <xdr:ext cx="304800" cy="304801"/>
    <xdr:sp macro="" textlink="">
      <xdr:nvSpPr>
        <xdr:cNvPr id="409" name="AutoShape 4473" descr="note-add">
          <a:extLst>
            <a:ext uri="{FF2B5EF4-FFF2-40B4-BE49-F238E27FC236}">
              <a16:creationId xmlns:a16="http://schemas.microsoft.com/office/drawing/2014/main" id="{0BE73003-26CE-DE4F-A7A5-499A21F9AEC4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292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1</xdr:row>
      <xdr:rowOff>0</xdr:rowOff>
    </xdr:from>
    <xdr:ext cx="304800" cy="304801"/>
    <xdr:sp macro="" textlink="">
      <xdr:nvSpPr>
        <xdr:cNvPr id="410" name="AutoShape 4474" descr="alert toggle">
          <a:extLst>
            <a:ext uri="{FF2B5EF4-FFF2-40B4-BE49-F238E27FC236}">
              <a16:creationId xmlns:a16="http://schemas.microsoft.com/office/drawing/2014/main" id="{91D764A6-E385-4144-A203-575873C1FD40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2921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799"/>
    <xdr:sp macro="" textlink="">
      <xdr:nvSpPr>
        <xdr:cNvPr id="411" name="AutoShape 4477" descr="note-add">
          <a:extLst>
            <a:ext uri="{FF2B5EF4-FFF2-40B4-BE49-F238E27FC236}">
              <a16:creationId xmlns:a16="http://schemas.microsoft.com/office/drawing/2014/main" id="{E989CD11-0B7D-F942-B4B6-88E37D697B5F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212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10</xdr:row>
      <xdr:rowOff>0</xdr:rowOff>
    </xdr:from>
    <xdr:ext cx="304800" cy="304799"/>
    <xdr:sp macro="" textlink="">
      <xdr:nvSpPr>
        <xdr:cNvPr id="412" name="AutoShape 4478" descr="alert toggle">
          <a:extLst>
            <a:ext uri="{FF2B5EF4-FFF2-40B4-BE49-F238E27FC236}">
              <a16:creationId xmlns:a16="http://schemas.microsoft.com/office/drawing/2014/main" id="{BE6F6F83-4B2D-6940-A562-0A078EE93651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21209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</xdr:row>
      <xdr:rowOff>0</xdr:rowOff>
    </xdr:from>
    <xdr:ext cx="304800" cy="304799"/>
    <xdr:sp macro="" textlink="">
      <xdr:nvSpPr>
        <xdr:cNvPr id="413" name="AutoShape 4481" descr="note-add">
          <a:extLst>
            <a:ext uri="{FF2B5EF4-FFF2-40B4-BE49-F238E27FC236}">
              <a16:creationId xmlns:a16="http://schemas.microsoft.com/office/drawing/2014/main" id="{6F58BA86-4238-034E-8626-FFD38E400944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23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11</xdr:row>
      <xdr:rowOff>0</xdr:rowOff>
    </xdr:from>
    <xdr:ext cx="304800" cy="304799"/>
    <xdr:sp macro="" textlink="">
      <xdr:nvSpPr>
        <xdr:cNvPr id="414" name="AutoShape 4482" descr="alert toggle">
          <a:extLst>
            <a:ext uri="{FF2B5EF4-FFF2-40B4-BE49-F238E27FC236}">
              <a16:creationId xmlns:a16="http://schemas.microsoft.com/office/drawing/2014/main" id="{B90C8515-11B1-DC45-898B-DE83E2299EB4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23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1"/>
    <xdr:sp macro="" textlink="">
      <xdr:nvSpPr>
        <xdr:cNvPr id="415" name="AutoShape 4485" descr="note-add">
          <a:extLst>
            <a:ext uri="{FF2B5EF4-FFF2-40B4-BE49-F238E27FC236}">
              <a16:creationId xmlns:a16="http://schemas.microsoft.com/office/drawing/2014/main" id="{A19D4D3F-C4BB-6E4F-92CF-FAE60A12184C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1714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8</xdr:row>
      <xdr:rowOff>0</xdr:rowOff>
    </xdr:from>
    <xdr:ext cx="304800" cy="304801"/>
    <xdr:sp macro="" textlink="">
      <xdr:nvSpPr>
        <xdr:cNvPr id="416" name="AutoShape 4486" descr="alert toggle">
          <a:extLst>
            <a:ext uri="{FF2B5EF4-FFF2-40B4-BE49-F238E27FC236}">
              <a16:creationId xmlns:a16="http://schemas.microsoft.com/office/drawing/2014/main" id="{8CC966FB-1916-6847-BE08-66682CAB9B40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17145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417" name="AutoShape 4489" descr="note-add">
          <a:extLst>
            <a:ext uri="{FF2B5EF4-FFF2-40B4-BE49-F238E27FC236}">
              <a16:creationId xmlns:a16="http://schemas.microsoft.com/office/drawing/2014/main" id="{B1577D93-EF8A-3B45-8400-A1C181110CA1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8</xdr:row>
      <xdr:rowOff>0</xdr:rowOff>
    </xdr:from>
    <xdr:ext cx="304800" cy="304800"/>
    <xdr:sp macro="" textlink="">
      <xdr:nvSpPr>
        <xdr:cNvPr id="418" name="AutoShape 4490" descr="alert toggle">
          <a:extLst>
            <a:ext uri="{FF2B5EF4-FFF2-40B4-BE49-F238E27FC236}">
              <a16:creationId xmlns:a16="http://schemas.microsoft.com/office/drawing/2014/main" id="{6DC1B0A4-F0A9-2C4D-88A0-FE08A25E23CA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419" name="AutoShape 4493" descr="note-add">
          <a:extLst>
            <a:ext uri="{FF2B5EF4-FFF2-40B4-BE49-F238E27FC236}">
              <a16:creationId xmlns:a16="http://schemas.microsoft.com/office/drawing/2014/main" id="{3E62FEF4-0B77-4E4B-9CE3-4FCC05CC0BFA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21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</xdr:row>
      <xdr:rowOff>0</xdr:rowOff>
    </xdr:from>
    <xdr:ext cx="304800" cy="304799"/>
    <xdr:sp macro="" textlink="">
      <xdr:nvSpPr>
        <xdr:cNvPr id="420" name="AutoShape 4497" descr="note-add">
          <a:extLst>
            <a:ext uri="{FF2B5EF4-FFF2-40B4-BE49-F238E27FC236}">
              <a16:creationId xmlns:a16="http://schemas.microsoft.com/office/drawing/2014/main" id="{50DB97B4-13F4-5548-AE6B-33325B65CE51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23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11</xdr:row>
      <xdr:rowOff>0</xdr:rowOff>
    </xdr:from>
    <xdr:ext cx="304800" cy="304799"/>
    <xdr:sp macro="" textlink="">
      <xdr:nvSpPr>
        <xdr:cNvPr id="421" name="AutoShape 4498" descr="alert toggle">
          <a:extLst>
            <a:ext uri="{FF2B5EF4-FFF2-40B4-BE49-F238E27FC236}">
              <a16:creationId xmlns:a16="http://schemas.microsoft.com/office/drawing/2014/main" id="{1DE5CB9B-13ED-D94A-A0EA-07CF95C8B7E5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23241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422" name="AutoShape 4501" descr="note-add">
          <a:extLst>
            <a:ext uri="{FF2B5EF4-FFF2-40B4-BE49-F238E27FC236}">
              <a16:creationId xmlns:a16="http://schemas.microsoft.com/office/drawing/2014/main" id="{6B928BE6-672E-E147-933C-1A087979D72E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8</xdr:row>
      <xdr:rowOff>0</xdr:rowOff>
    </xdr:from>
    <xdr:ext cx="304800" cy="304800"/>
    <xdr:sp macro="" textlink="">
      <xdr:nvSpPr>
        <xdr:cNvPr id="423" name="AutoShape 4502" descr="alert toggle">
          <a:extLst>
            <a:ext uri="{FF2B5EF4-FFF2-40B4-BE49-F238E27FC236}">
              <a16:creationId xmlns:a16="http://schemas.microsoft.com/office/drawing/2014/main" id="{B05EFE35-DA1B-7141-A1BB-DA02C9C01CE2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398</xdr:row>
      <xdr:rowOff>0</xdr:rowOff>
    </xdr:from>
    <xdr:ext cx="304800" cy="279400"/>
    <xdr:sp macro="" textlink="">
      <xdr:nvSpPr>
        <xdr:cNvPr id="424" name="AutoShape 3906" descr="note-add">
          <a:extLst>
            <a:ext uri="{FF2B5EF4-FFF2-40B4-BE49-F238E27FC236}">
              <a16:creationId xmlns:a16="http://schemas.microsoft.com/office/drawing/2014/main" id="{E2CC73D8-F0E4-7041-8DBD-BD16CFDE569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492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398</xdr:row>
      <xdr:rowOff>0</xdr:rowOff>
    </xdr:from>
    <xdr:ext cx="304800" cy="279400"/>
    <xdr:sp macro="" textlink="">
      <xdr:nvSpPr>
        <xdr:cNvPr id="425" name="AutoShape 3907" descr="alert toggle">
          <a:extLst>
            <a:ext uri="{FF2B5EF4-FFF2-40B4-BE49-F238E27FC236}">
              <a16:creationId xmlns:a16="http://schemas.microsoft.com/office/drawing/2014/main" id="{66A7E14D-D111-1E4C-B239-116D9F79483A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4924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399</xdr:row>
      <xdr:rowOff>0</xdr:rowOff>
    </xdr:from>
    <xdr:ext cx="304800" cy="279400"/>
    <xdr:sp macro="" textlink="">
      <xdr:nvSpPr>
        <xdr:cNvPr id="426" name="AutoShape 3910" descr="note-add">
          <a:extLst>
            <a:ext uri="{FF2B5EF4-FFF2-40B4-BE49-F238E27FC236}">
              <a16:creationId xmlns:a16="http://schemas.microsoft.com/office/drawing/2014/main" id="{12470E5A-5622-2143-8B22-B19780E9939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512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399</xdr:row>
      <xdr:rowOff>0</xdr:rowOff>
    </xdr:from>
    <xdr:ext cx="304800" cy="279400"/>
    <xdr:sp macro="" textlink="">
      <xdr:nvSpPr>
        <xdr:cNvPr id="427" name="AutoShape 3911" descr="alert toggle">
          <a:extLst>
            <a:ext uri="{FF2B5EF4-FFF2-40B4-BE49-F238E27FC236}">
              <a16:creationId xmlns:a16="http://schemas.microsoft.com/office/drawing/2014/main" id="{52EE5EC1-D0F7-5E48-AE96-3890CDDD1D89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51281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396</xdr:row>
      <xdr:rowOff>0</xdr:rowOff>
    </xdr:from>
    <xdr:ext cx="304800" cy="279400"/>
    <xdr:sp macro="" textlink="">
      <xdr:nvSpPr>
        <xdr:cNvPr id="428" name="AutoShape 3914" descr="note-add">
          <a:extLst>
            <a:ext uri="{FF2B5EF4-FFF2-40B4-BE49-F238E27FC236}">
              <a16:creationId xmlns:a16="http://schemas.microsoft.com/office/drawing/2014/main" id="{6DDC316C-8EDD-4349-8EE0-5E1D5D10CB41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451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396</xdr:row>
      <xdr:rowOff>0</xdr:rowOff>
    </xdr:from>
    <xdr:ext cx="304800" cy="279400"/>
    <xdr:sp macro="" textlink="">
      <xdr:nvSpPr>
        <xdr:cNvPr id="429" name="AutoShape 3915" descr="alert toggle">
          <a:extLst>
            <a:ext uri="{FF2B5EF4-FFF2-40B4-BE49-F238E27FC236}">
              <a16:creationId xmlns:a16="http://schemas.microsoft.com/office/drawing/2014/main" id="{11C5EB71-FD60-2F4E-9667-E7908CBB5559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4518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406</xdr:row>
      <xdr:rowOff>0</xdr:rowOff>
    </xdr:from>
    <xdr:ext cx="304800" cy="279400"/>
    <xdr:sp macro="" textlink="">
      <xdr:nvSpPr>
        <xdr:cNvPr id="430" name="AutoShape 3918" descr="note-add">
          <a:extLst>
            <a:ext uri="{FF2B5EF4-FFF2-40B4-BE49-F238E27FC236}">
              <a16:creationId xmlns:a16="http://schemas.microsoft.com/office/drawing/2014/main" id="{F6DD99E5-B95B-2D4F-9A0F-D56B2B5A5445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86614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406</xdr:row>
      <xdr:rowOff>0</xdr:rowOff>
    </xdr:from>
    <xdr:ext cx="304800" cy="279400"/>
    <xdr:sp macro="" textlink="">
      <xdr:nvSpPr>
        <xdr:cNvPr id="431" name="AutoShape 3919" descr="alert toggle">
          <a:extLst>
            <a:ext uri="{FF2B5EF4-FFF2-40B4-BE49-F238E27FC236}">
              <a16:creationId xmlns:a16="http://schemas.microsoft.com/office/drawing/2014/main" id="{D9206DB1-9172-6147-9482-E5DA6280E2CD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86614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312</xdr:row>
      <xdr:rowOff>0</xdr:rowOff>
    </xdr:from>
    <xdr:ext cx="304800" cy="279400"/>
    <xdr:sp macro="" textlink="">
      <xdr:nvSpPr>
        <xdr:cNvPr id="432" name="AutoShape 3946" descr="note-add">
          <a:extLst>
            <a:ext uri="{FF2B5EF4-FFF2-40B4-BE49-F238E27FC236}">
              <a16:creationId xmlns:a16="http://schemas.microsoft.com/office/drawing/2014/main" id="{614E88B8-961D-3040-B4A3-A8B1E7F6BB42}"/>
            </a:ext>
          </a:extLst>
        </xdr:cNvPr>
        <xdr:cNvSpPr>
          <a:spLocks noChangeAspect="1" noChangeArrowheads="1"/>
        </xdr:cNvSpPr>
      </xdr:nvSpPr>
      <xdr:spPr bwMode="auto">
        <a:xfrm>
          <a:off x="47447200" y="6659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312</xdr:row>
      <xdr:rowOff>0</xdr:rowOff>
    </xdr:from>
    <xdr:ext cx="304800" cy="279400"/>
    <xdr:sp macro="" textlink="">
      <xdr:nvSpPr>
        <xdr:cNvPr id="433" name="AutoShape 3947" descr="alert toggle">
          <a:extLst>
            <a:ext uri="{FF2B5EF4-FFF2-40B4-BE49-F238E27FC236}">
              <a16:creationId xmlns:a16="http://schemas.microsoft.com/office/drawing/2014/main" id="{F4EE1970-7BC5-E148-A82B-0748BF7FAF33}"/>
            </a:ext>
          </a:extLst>
        </xdr:cNvPr>
        <xdr:cNvSpPr>
          <a:spLocks noChangeAspect="1" noChangeArrowheads="1"/>
        </xdr:cNvSpPr>
      </xdr:nvSpPr>
      <xdr:spPr bwMode="auto">
        <a:xfrm>
          <a:off x="47764700" y="66598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232</xdr:row>
      <xdr:rowOff>0</xdr:rowOff>
    </xdr:from>
    <xdr:ext cx="304800" cy="279400"/>
    <xdr:sp macro="" textlink="">
      <xdr:nvSpPr>
        <xdr:cNvPr id="434" name="AutoShape 3962" descr="note-add">
          <a:extLst>
            <a:ext uri="{FF2B5EF4-FFF2-40B4-BE49-F238E27FC236}">
              <a16:creationId xmlns:a16="http://schemas.microsoft.com/office/drawing/2014/main" id="{1F936D3F-19B8-A549-84A8-4B89583D2986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50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232</xdr:row>
      <xdr:rowOff>0</xdr:rowOff>
    </xdr:from>
    <xdr:ext cx="304800" cy="279400"/>
    <xdr:sp macro="" textlink="">
      <xdr:nvSpPr>
        <xdr:cNvPr id="435" name="AutoShape 3963" descr="alert toggle">
          <a:extLst>
            <a:ext uri="{FF2B5EF4-FFF2-40B4-BE49-F238E27FC236}">
              <a16:creationId xmlns:a16="http://schemas.microsoft.com/office/drawing/2014/main" id="{50EDE0BB-510B-2A41-ADD4-B84C7E0327F6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495046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234</xdr:row>
      <xdr:rowOff>0</xdr:rowOff>
    </xdr:from>
    <xdr:ext cx="304800" cy="279400"/>
    <xdr:sp macro="" textlink="">
      <xdr:nvSpPr>
        <xdr:cNvPr id="436" name="AutoShape 3966" descr="note-add">
          <a:extLst>
            <a:ext uri="{FF2B5EF4-FFF2-40B4-BE49-F238E27FC236}">
              <a16:creationId xmlns:a16="http://schemas.microsoft.com/office/drawing/2014/main" id="{4C3E3004-85BC-3C45-AFF9-6847196311C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91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234</xdr:row>
      <xdr:rowOff>0</xdr:rowOff>
    </xdr:from>
    <xdr:ext cx="304800" cy="279400"/>
    <xdr:sp macro="" textlink="">
      <xdr:nvSpPr>
        <xdr:cNvPr id="437" name="AutoShape 3967" descr="alert toggle">
          <a:extLst>
            <a:ext uri="{FF2B5EF4-FFF2-40B4-BE49-F238E27FC236}">
              <a16:creationId xmlns:a16="http://schemas.microsoft.com/office/drawing/2014/main" id="{E9597C49-9022-FB40-A734-4881409EB4A6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4991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234</xdr:row>
      <xdr:rowOff>0</xdr:rowOff>
    </xdr:from>
    <xdr:ext cx="304800" cy="279400"/>
    <xdr:sp macro="" textlink="">
      <xdr:nvSpPr>
        <xdr:cNvPr id="438" name="AutoShape 3970" descr="note-add">
          <a:extLst>
            <a:ext uri="{FF2B5EF4-FFF2-40B4-BE49-F238E27FC236}">
              <a16:creationId xmlns:a16="http://schemas.microsoft.com/office/drawing/2014/main" id="{95D6EBA5-998B-8348-B5A2-E5B627620836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4991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234</xdr:row>
      <xdr:rowOff>0</xdr:rowOff>
    </xdr:from>
    <xdr:ext cx="304800" cy="279400"/>
    <xdr:sp macro="" textlink="">
      <xdr:nvSpPr>
        <xdr:cNvPr id="439" name="AutoShape 3971" descr="alert toggle">
          <a:extLst>
            <a:ext uri="{FF2B5EF4-FFF2-40B4-BE49-F238E27FC236}">
              <a16:creationId xmlns:a16="http://schemas.microsoft.com/office/drawing/2014/main" id="{9B68B342-6E0F-8746-A026-B057B656E1E0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49911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74</xdr:row>
      <xdr:rowOff>0</xdr:rowOff>
    </xdr:from>
    <xdr:ext cx="304800" cy="279400"/>
    <xdr:sp macro="" textlink="">
      <xdr:nvSpPr>
        <xdr:cNvPr id="440" name="AutoShape 3986" descr="note-add">
          <a:extLst>
            <a:ext uri="{FF2B5EF4-FFF2-40B4-BE49-F238E27FC236}">
              <a16:creationId xmlns:a16="http://schemas.microsoft.com/office/drawing/2014/main" id="{906AA4A0-7BA1-D940-B55B-F5BCDD19ADAE}"/>
            </a:ext>
          </a:extLst>
        </xdr:cNvPr>
        <xdr:cNvSpPr>
          <a:spLocks noChangeAspect="1" noChangeArrowheads="1"/>
        </xdr:cNvSpPr>
      </xdr:nvSpPr>
      <xdr:spPr bwMode="auto">
        <a:xfrm>
          <a:off x="39255700" y="15671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74</xdr:row>
      <xdr:rowOff>0</xdr:rowOff>
    </xdr:from>
    <xdr:ext cx="304800" cy="279400"/>
    <xdr:sp macro="" textlink="">
      <xdr:nvSpPr>
        <xdr:cNvPr id="441" name="AutoShape 3987" descr="alert toggle">
          <a:extLst>
            <a:ext uri="{FF2B5EF4-FFF2-40B4-BE49-F238E27FC236}">
              <a16:creationId xmlns:a16="http://schemas.microsoft.com/office/drawing/2014/main" id="{E0E1F7EA-96F3-3247-A3AA-B8AD021E044E}"/>
            </a:ext>
          </a:extLst>
        </xdr:cNvPr>
        <xdr:cNvSpPr>
          <a:spLocks noChangeAspect="1" noChangeArrowheads="1"/>
        </xdr:cNvSpPr>
      </xdr:nvSpPr>
      <xdr:spPr bwMode="auto">
        <a:xfrm>
          <a:off x="39573200" y="15671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27</xdr:row>
      <xdr:rowOff>0</xdr:rowOff>
    </xdr:from>
    <xdr:to>
      <xdr:col>13</xdr:col>
      <xdr:colOff>304800</xdr:colOff>
      <xdr:row>28</xdr:row>
      <xdr:rowOff>114299</xdr:rowOff>
    </xdr:to>
    <xdr:sp macro="" textlink="">
      <xdr:nvSpPr>
        <xdr:cNvPr id="442" name="AutoShape 4098" descr="note-add">
          <a:extLst>
            <a:ext uri="{FF2B5EF4-FFF2-40B4-BE49-F238E27FC236}">
              <a16:creationId xmlns:a16="http://schemas.microsoft.com/office/drawing/2014/main" id="{FE2352F1-88CB-2D46-8BEA-72DA24EF1D18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5600700"/>
          <a:ext cx="304800" cy="317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346</xdr:row>
      <xdr:rowOff>0</xdr:rowOff>
    </xdr:from>
    <xdr:ext cx="304800" cy="279400"/>
    <xdr:sp macro="" textlink="">
      <xdr:nvSpPr>
        <xdr:cNvPr id="443" name="AutoShape 4181" descr="note-add">
          <a:extLst>
            <a:ext uri="{FF2B5EF4-FFF2-40B4-BE49-F238E27FC236}">
              <a16:creationId xmlns:a16="http://schemas.microsoft.com/office/drawing/2014/main" id="{F73485CC-6ACB-A844-B413-14F7D83AE4AF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379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346</xdr:row>
      <xdr:rowOff>0</xdr:rowOff>
    </xdr:from>
    <xdr:ext cx="304800" cy="279400"/>
    <xdr:sp macro="" textlink="">
      <xdr:nvSpPr>
        <xdr:cNvPr id="444" name="AutoShape 4182" descr="alert toggle">
          <a:extLst>
            <a:ext uri="{FF2B5EF4-FFF2-40B4-BE49-F238E27FC236}">
              <a16:creationId xmlns:a16="http://schemas.microsoft.com/office/drawing/2014/main" id="{BC911918-8B77-D04E-BBFE-88B316C2415A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379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345</xdr:row>
      <xdr:rowOff>0</xdr:rowOff>
    </xdr:from>
    <xdr:ext cx="304800" cy="279400"/>
    <xdr:sp macro="" textlink="">
      <xdr:nvSpPr>
        <xdr:cNvPr id="445" name="AutoShape 4185" descr="note-add">
          <a:extLst>
            <a:ext uri="{FF2B5EF4-FFF2-40B4-BE49-F238E27FC236}">
              <a16:creationId xmlns:a16="http://schemas.microsoft.com/office/drawing/2014/main" id="{97A1F064-4CB4-2549-B6DA-BFB2894A683B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3583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345</xdr:row>
      <xdr:rowOff>0</xdr:rowOff>
    </xdr:from>
    <xdr:ext cx="304800" cy="279400"/>
    <xdr:sp macro="" textlink="">
      <xdr:nvSpPr>
        <xdr:cNvPr id="446" name="AutoShape 4186" descr="alert toggle">
          <a:extLst>
            <a:ext uri="{FF2B5EF4-FFF2-40B4-BE49-F238E27FC236}">
              <a16:creationId xmlns:a16="http://schemas.microsoft.com/office/drawing/2014/main" id="{2FD90D36-F5CA-3D47-9813-AE9367CB144D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35838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341</xdr:row>
      <xdr:rowOff>0</xdr:rowOff>
    </xdr:from>
    <xdr:ext cx="304800" cy="279400"/>
    <xdr:sp macro="" textlink="">
      <xdr:nvSpPr>
        <xdr:cNvPr id="447" name="AutoShape 4189" descr="note-add">
          <a:extLst>
            <a:ext uri="{FF2B5EF4-FFF2-40B4-BE49-F238E27FC236}">
              <a16:creationId xmlns:a16="http://schemas.microsoft.com/office/drawing/2014/main" id="{1C781C3A-540A-EB48-A65B-B92DC5FE4EA9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2720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341</xdr:row>
      <xdr:rowOff>0</xdr:rowOff>
    </xdr:from>
    <xdr:ext cx="304800" cy="279400"/>
    <xdr:sp macro="" textlink="">
      <xdr:nvSpPr>
        <xdr:cNvPr id="448" name="AutoShape 4190" descr="alert toggle">
          <a:extLst>
            <a:ext uri="{FF2B5EF4-FFF2-40B4-BE49-F238E27FC236}">
              <a16:creationId xmlns:a16="http://schemas.microsoft.com/office/drawing/2014/main" id="{E25FB5D7-8A58-9143-A54E-4E77FE56DB5A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27202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352</xdr:row>
      <xdr:rowOff>0</xdr:rowOff>
    </xdr:from>
    <xdr:ext cx="304800" cy="279400"/>
    <xdr:sp macro="" textlink="">
      <xdr:nvSpPr>
        <xdr:cNvPr id="449" name="AutoShape 4193" descr="note-add">
          <a:extLst>
            <a:ext uri="{FF2B5EF4-FFF2-40B4-BE49-F238E27FC236}">
              <a16:creationId xmlns:a16="http://schemas.microsoft.com/office/drawing/2014/main" id="{B1FD5D2E-8D51-7040-9EDD-FD921394B239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506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352</xdr:row>
      <xdr:rowOff>0</xdr:rowOff>
    </xdr:from>
    <xdr:ext cx="304800" cy="279400"/>
    <xdr:sp macro="" textlink="">
      <xdr:nvSpPr>
        <xdr:cNvPr id="450" name="AutoShape 4194" descr="alert toggle">
          <a:extLst>
            <a:ext uri="{FF2B5EF4-FFF2-40B4-BE49-F238E27FC236}">
              <a16:creationId xmlns:a16="http://schemas.microsoft.com/office/drawing/2014/main" id="{6D2546F2-B355-1244-AA6A-B8F4E103B666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5069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343</xdr:row>
      <xdr:rowOff>0</xdr:rowOff>
    </xdr:from>
    <xdr:ext cx="304800" cy="279400"/>
    <xdr:sp macro="" textlink="">
      <xdr:nvSpPr>
        <xdr:cNvPr id="451" name="AutoShape 4197" descr="note-add">
          <a:extLst>
            <a:ext uri="{FF2B5EF4-FFF2-40B4-BE49-F238E27FC236}">
              <a16:creationId xmlns:a16="http://schemas.microsoft.com/office/drawing/2014/main" id="{F1BDE0B1-CCBE-2C48-B96A-96F9FF28D7A8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315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343</xdr:row>
      <xdr:rowOff>0</xdr:rowOff>
    </xdr:from>
    <xdr:ext cx="304800" cy="279400"/>
    <xdr:sp macro="" textlink="">
      <xdr:nvSpPr>
        <xdr:cNvPr id="452" name="AutoShape 4198" descr="alert toggle">
          <a:extLst>
            <a:ext uri="{FF2B5EF4-FFF2-40B4-BE49-F238E27FC236}">
              <a16:creationId xmlns:a16="http://schemas.microsoft.com/office/drawing/2014/main" id="{E3BF84BF-4AD9-144A-98DA-63E0BE46CC72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31520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344</xdr:row>
      <xdr:rowOff>0</xdr:rowOff>
    </xdr:from>
    <xdr:ext cx="304800" cy="279400"/>
    <xdr:sp macro="" textlink="">
      <xdr:nvSpPr>
        <xdr:cNvPr id="453" name="AutoShape 4201" descr="note-add">
          <a:extLst>
            <a:ext uri="{FF2B5EF4-FFF2-40B4-BE49-F238E27FC236}">
              <a16:creationId xmlns:a16="http://schemas.microsoft.com/office/drawing/2014/main" id="{C1FD92D2-580B-D14B-AB66-B5E78A20B051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73367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344</xdr:row>
      <xdr:rowOff>0</xdr:rowOff>
    </xdr:from>
    <xdr:ext cx="304800" cy="279400"/>
    <xdr:sp macro="" textlink="">
      <xdr:nvSpPr>
        <xdr:cNvPr id="454" name="AutoShape 4202" descr="alert toggle">
          <a:extLst>
            <a:ext uri="{FF2B5EF4-FFF2-40B4-BE49-F238E27FC236}">
              <a16:creationId xmlns:a16="http://schemas.microsoft.com/office/drawing/2014/main" id="{FBD9E764-404A-AF43-AA10-48E75A094975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73367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244</xdr:row>
      <xdr:rowOff>0</xdr:rowOff>
    </xdr:from>
    <xdr:ext cx="304800" cy="279400"/>
    <xdr:sp macro="" textlink="">
      <xdr:nvSpPr>
        <xdr:cNvPr id="455" name="AutoShape 4371" descr="note-add">
          <a:extLst>
            <a:ext uri="{FF2B5EF4-FFF2-40B4-BE49-F238E27FC236}">
              <a16:creationId xmlns:a16="http://schemas.microsoft.com/office/drawing/2014/main" id="{66C37419-A360-E645-A024-F4FAF4C3B7AD}"/>
            </a:ext>
          </a:extLst>
        </xdr:cNvPr>
        <xdr:cNvSpPr>
          <a:spLocks noChangeAspect="1" noChangeArrowheads="1"/>
        </xdr:cNvSpPr>
      </xdr:nvSpPr>
      <xdr:spPr bwMode="auto">
        <a:xfrm>
          <a:off x="35991800" y="5200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244</xdr:row>
      <xdr:rowOff>0</xdr:rowOff>
    </xdr:from>
    <xdr:ext cx="304800" cy="279400"/>
    <xdr:sp macro="" textlink="">
      <xdr:nvSpPr>
        <xdr:cNvPr id="456" name="AutoShape 4372" descr="alert toggle">
          <a:extLst>
            <a:ext uri="{FF2B5EF4-FFF2-40B4-BE49-F238E27FC236}">
              <a16:creationId xmlns:a16="http://schemas.microsoft.com/office/drawing/2014/main" id="{01E72CEA-B0B6-6B43-960C-76A55DF6239A}"/>
            </a:ext>
          </a:extLst>
        </xdr:cNvPr>
        <xdr:cNvSpPr>
          <a:spLocks noChangeAspect="1" noChangeArrowheads="1"/>
        </xdr:cNvSpPr>
      </xdr:nvSpPr>
      <xdr:spPr bwMode="auto">
        <a:xfrm>
          <a:off x="36309300" y="520065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80</xdr:row>
      <xdr:rowOff>0</xdr:rowOff>
    </xdr:from>
    <xdr:ext cx="304800" cy="304800"/>
    <xdr:sp macro="" textlink="">
      <xdr:nvSpPr>
        <xdr:cNvPr id="457" name="AutoShape 4405" descr="note-add">
          <a:extLst>
            <a:ext uri="{FF2B5EF4-FFF2-40B4-BE49-F238E27FC236}">
              <a16:creationId xmlns:a16="http://schemas.microsoft.com/office/drawing/2014/main" id="{10053988-C30F-7045-A651-131FD0AF9CEE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80</xdr:row>
      <xdr:rowOff>0</xdr:rowOff>
    </xdr:from>
    <xdr:ext cx="304800" cy="304800"/>
    <xdr:sp macro="" textlink="">
      <xdr:nvSpPr>
        <xdr:cNvPr id="458" name="AutoShape 4406" descr="alert toggle">
          <a:extLst>
            <a:ext uri="{FF2B5EF4-FFF2-40B4-BE49-F238E27FC236}">
              <a16:creationId xmlns:a16="http://schemas.microsoft.com/office/drawing/2014/main" id="{26BD1AB4-5B9B-8E4B-905C-BA595AEB29F5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69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90</xdr:row>
      <xdr:rowOff>0</xdr:rowOff>
    </xdr:from>
    <xdr:ext cx="304800" cy="279400"/>
    <xdr:sp macro="" textlink="">
      <xdr:nvSpPr>
        <xdr:cNvPr id="459" name="AutoShape 4409" descr="note-add">
          <a:extLst>
            <a:ext uri="{FF2B5EF4-FFF2-40B4-BE49-F238E27FC236}">
              <a16:creationId xmlns:a16="http://schemas.microsoft.com/office/drawing/2014/main" id="{9BD04454-3E6C-AE4E-A810-E1F5F786F9EB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90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90</xdr:row>
      <xdr:rowOff>0</xdr:rowOff>
    </xdr:from>
    <xdr:ext cx="304800" cy="279400"/>
    <xdr:sp macro="" textlink="">
      <xdr:nvSpPr>
        <xdr:cNvPr id="460" name="AutoShape 4410" descr="alert toggle">
          <a:extLst>
            <a:ext uri="{FF2B5EF4-FFF2-40B4-BE49-F238E27FC236}">
              <a16:creationId xmlns:a16="http://schemas.microsoft.com/office/drawing/2014/main" id="{5CC68087-A3C6-FE4E-8626-C8540BEC1E2B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90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87</xdr:row>
      <xdr:rowOff>0</xdr:rowOff>
    </xdr:from>
    <xdr:ext cx="304800" cy="279399"/>
    <xdr:sp macro="" textlink="">
      <xdr:nvSpPr>
        <xdr:cNvPr id="461" name="AutoShape 4413" descr="note-add">
          <a:extLst>
            <a:ext uri="{FF2B5EF4-FFF2-40B4-BE49-F238E27FC236}">
              <a16:creationId xmlns:a16="http://schemas.microsoft.com/office/drawing/2014/main" id="{FE4C200F-975F-8C43-B7AF-BDBCB3C13DA6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83896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87</xdr:row>
      <xdr:rowOff>0</xdr:rowOff>
    </xdr:from>
    <xdr:ext cx="304800" cy="279399"/>
    <xdr:sp macro="" textlink="">
      <xdr:nvSpPr>
        <xdr:cNvPr id="462" name="AutoShape 4414" descr="alert toggle">
          <a:extLst>
            <a:ext uri="{FF2B5EF4-FFF2-40B4-BE49-F238E27FC236}">
              <a16:creationId xmlns:a16="http://schemas.microsoft.com/office/drawing/2014/main" id="{85AAB66A-2A4F-D54A-A6F3-06DB44B3F574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83896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88</xdr:row>
      <xdr:rowOff>0</xdr:rowOff>
    </xdr:from>
    <xdr:ext cx="304800" cy="279399"/>
    <xdr:sp macro="" textlink="">
      <xdr:nvSpPr>
        <xdr:cNvPr id="463" name="AutoShape 4417" descr="note-add">
          <a:extLst>
            <a:ext uri="{FF2B5EF4-FFF2-40B4-BE49-F238E27FC236}">
              <a16:creationId xmlns:a16="http://schemas.microsoft.com/office/drawing/2014/main" id="{C9E4D5A5-09C3-5944-AC5D-9CAA79A26A3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85928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88</xdr:row>
      <xdr:rowOff>0</xdr:rowOff>
    </xdr:from>
    <xdr:ext cx="304800" cy="279399"/>
    <xdr:sp macro="" textlink="">
      <xdr:nvSpPr>
        <xdr:cNvPr id="464" name="AutoShape 4418" descr="alert toggle">
          <a:extLst>
            <a:ext uri="{FF2B5EF4-FFF2-40B4-BE49-F238E27FC236}">
              <a16:creationId xmlns:a16="http://schemas.microsoft.com/office/drawing/2014/main" id="{B9966250-0DBF-E440-82B1-C451EA7C67FD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85928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89</xdr:row>
      <xdr:rowOff>0</xdr:rowOff>
    </xdr:from>
    <xdr:ext cx="304800" cy="279399"/>
    <xdr:sp macro="" textlink="">
      <xdr:nvSpPr>
        <xdr:cNvPr id="465" name="AutoShape 4421" descr="note-add">
          <a:extLst>
            <a:ext uri="{FF2B5EF4-FFF2-40B4-BE49-F238E27FC236}">
              <a16:creationId xmlns:a16="http://schemas.microsoft.com/office/drawing/2014/main" id="{4BBF716C-3C7E-A842-85F0-908BD06ACCA4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8808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89</xdr:row>
      <xdr:rowOff>0</xdr:rowOff>
    </xdr:from>
    <xdr:ext cx="304800" cy="279399"/>
    <xdr:sp macro="" textlink="">
      <xdr:nvSpPr>
        <xdr:cNvPr id="466" name="AutoShape 4422" descr="alert toggle">
          <a:extLst>
            <a:ext uri="{FF2B5EF4-FFF2-40B4-BE49-F238E27FC236}">
              <a16:creationId xmlns:a16="http://schemas.microsoft.com/office/drawing/2014/main" id="{A6277994-4181-FC41-B027-EAA3E9CACEC4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8808700"/>
          <a:ext cx="304800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90</xdr:row>
      <xdr:rowOff>0</xdr:rowOff>
    </xdr:from>
    <xdr:ext cx="304800" cy="279400"/>
    <xdr:sp macro="" textlink="">
      <xdr:nvSpPr>
        <xdr:cNvPr id="467" name="AutoShape 4425" descr="note-add">
          <a:extLst>
            <a:ext uri="{FF2B5EF4-FFF2-40B4-BE49-F238E27FC236}">
              <a16:creationId xmlns:a16="http://schemas.microsoft.com/office/drawing/2014/main" id="{635F5EB5-9701-3941-84FD-2A52D1766E83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90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90</xdr:row>
      <xdr:rowOff>0</xdr:rowOff>
    </xdr:from>
    <xdr:ext cx="304800" cy="279400"/>
    <xdr:sp macro="" textlink="">
      <xdr:nvSpPr>
        <xdr:cNvPr id="468" name="AutoShape 4426" descr="alert toggle">
          <a:extLst>
            <a:ext uri="{FF2B5EF4-FFF2-40B4-BE49-F238E27FC236}">
              <a16:creationId xmlns:a16="http://schemas.microsoft.com/office/drawing/2014/main" id="{3A221DDF-16F5-1D40-810E-6B1A1CFDFD0B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90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90</xdr:row>
      <xdr:rowOff>0</xdr:rowOff>
    </xdr:from>
    <xdr:ext cx="304800" cy="279400"/>
    <xdr:sp macro="" textlink="">
      <xdr:nvSpPr>
        <xdr:cNvPr id="469" name="AutoShape 4429" descr="note-add">
          <a:extLst>
            <a:ext uri="{FF2B5EF4-FFF2-40B4-BE49-F238E27FC236}">
              <a16:creationId xmlns:a16="http://schemas.microsoft.com/office/drawing/2014/main" id="{3B2A9605-BE53-9349-ADE1-20C2B44813AB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90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90</xdr:row>
      <xdr:rowOff>0</xdr:rowOff>
    </xdr:from>
    <xdr:ext cx="304800" cy="279400"/>
    <xdr:sp macro="" textlink="">
      <xdr:nvSpPr>
        <xdr:cNvPr id="470" name="AutoShape 4430" descr="alert toggle">
          <a:extLst>
            <a:ext uri="{FF2B5EF4-FFF2-40B4-BE49-F238E27FC236}">
              <a16:creationId xmlns:a16="http://schemas.microsoft.com/office/drawing/2014/main" id="{384DAEFD-7514-7545-B066-CD6118FC81B2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90119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92</xdr:row>
      <xdr:rowOff>0</xdr:rowOff>
    </xdr:from>
    <xdr:ext cx="304800" cy="279400"/>
    <xdr:sp macro="" textlink="">
      <xdr:nvSpPr>
        <xdr:cNvPr id="471" name="AutoShape 4433" descr="note-add">
          <a:extLst>
            <a:ext uri="{FF2B5EF4-FFF2-40B4-BE49-F238E27FC236}">
              <a16:creationId xmlns:a16="http://schemas.microsoft.com/office/drawing/2014/main" id="{E60A4544-2FB5-5D47-8CD2-1F0D8ACF27A2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944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92</xdr:row>
      <xdr:rowOff>0</xdr:rowOff>
    </xdr:from>
    <xdr:ext cx="304800" cy="279400"/>
    <xdr:sp macro="" textlink="">
      <xdr:nvSpPr>
        <xdr:cNvPr id="472" name="AutoShape 4434" descr="alert toggle">
          <a:extLst>
            <a:ext uri="{FF2B5EF4-FFF2-40B4-BE49-F238E27FC236}">
              <a16:creationId xmlns:a16="http://schemas.microsoft.com/office/drawing/2014/main" id="{40B5E016-AA8E-8541-B0CC-511B964EC950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944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92</xdr:row>
      <xdr:rowOff>0</xdr:rowOff>
    </xdr:from>
    <xdr:ext cx="304800" cy="279400"/>
    <xdr:sp macro="" textlink="">
      <xdr:nvSpPr>
        <xdr:cNvPr id="473" name="AutoShape 4437" descr="note-add">
          <a:extLst>
            <a:ext uri="{FF2B5EF4-FFF2-40B4-BE49-F238E27FC236}">
              <a16:creationId xmlns:a16="http://schemas.microsoft.com/office/drawing/2014/main" id="{A1E26E6B-DD47-7A49-B485-CFB13A9CB450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1944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92</xdr:row>
      <xdr:rowOff>0</xdr:rowOff>
    </xdr:from>
    <xdr:ext cx="304800" cy="279400"/>
    <xdr:sp macro="" textlink="">
      <xdr:nvSpPr>
        <xdr:cNvPr id="474" name="AutoShape 4438" descr="alert toggle">
          <a:extLst>
            <a:ext uri="{FF2B5EF4-FFF2-40B4-BE49-F238E27FC236}">
              <a16:creationId xmlns:a16="http://schemas.microsoft.com/office/drawing/2014/main" id="{8737B5A6-2587-3D41-9ED2-6F3803B9AFA2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19443700"/>
          <a:ext cx="3048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111</xdr:row>
      <xdr:rowOff>0</xdr:rowOff>
    </xdr:from>
    <xdr:ext cx="304800" cy="305547"/>
    <xdr:sp macro="" textlink="">
      <xdr:nvSpPr>
        <xdr:cNvPr id="475" name="AutoShape 979" descr="note-add">
          <a:extLst>
            <a:ext uri="{FF2B5EF4-FFF2-40B4-BE49-F238E27FC236}">
              <a16:creationId xmlns:a16="http://schemas.microsoft.com/office/drawing/2014/main" id="{755AAC45-72C6-8C47-8F32-357D41E0D304}"/>
            </a:ext>
          </a:extLst>
        </xdr:cNvPr>
        <xdr:cNvSpPr>
          <a:spLocks noChangeAspect="1" noChangeArrowheads="1"/>
        </xdr:cNvSpPr>
      </xdr:nvSpPr>
      <xdr:spPr bwMode="auto">
        <a:xfrm>
          <a:off x="33477200" y="235458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111</xdr:row>
      <xdr:rowOff>0</xdr:rowOff>
    </xdr:from>
    <xdr:ext cx="304800" cy="305547"/>
    <xdr:sp macro="" textlink="">
      <xdr:nvSpPr>
        <xdr:cNvPr id="476" name="AutoShape 980" descr="alert toggle">
          <a:extLst>
            <a:ext uri="{FF2B5EF4-FFF2-40B4-BE49-F238E27FC236}">
              <a16:creationId xmlns:a16="http://schemas.microsoft.com/office/drawing/2014/main" id="{1A19E90F-342B-974A-8077-D2A582DF420A}"/>
            </a:ext>
          </a:extLst>
        </xdr:cNvPr>
        <xdr:cNvSpPr>
          <a:spLocks noChangeAspect="1" noChangeArrowheads="1"/>
        </xdr:cNvSpPr>
      </xdr:nvSpPr>
      <xdr:spPr bwMode="auto">
        <a:xfrm>
          <a:off x="33794700" y="23545800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277534"/>
    <xdr:sp macro="" textlink="">
      <xdr:nvSpPr>
        <xdr:cNvPr id="477" name="AutoShape 4405" descr="note-add">
          <a:extLst>
            <a:ext uri="{FF2B5EF4-FFF2-40B4-BE49-F238E27FC236}">
              <a16:creationId xmlns:a16="http://schemas.microsoft.com/office/drawing/2014/main" id="{DCDC21D1-21E2-DE47-9E5A-8486E64DCED4}"/>
            </a:ext>
          </a:extLst>
        </xdr:cNvPr>
        <xdr:cNvSpPr>
          <a:spLocks noChangeAspect="1" noChangeArrowheads="1"/>
        </xdr:cNvSpPr>
      </xdr:nvSpPr>
      <xdr:spPr bwMode="auto">
        <a:xfrm>
          <a:off x="39255700" y="292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</xdr:row>
      <xdr:rowOff>0</xdr:rowOff>
    </xdr:from>
    <xdr:ext cx="304800" cy="277534"/>
    <xdr:sp macro="" textlink="">
      <xdr:nvSpPr>
        <xdr:cNvPr id="478" name="AutoShape 4406" descr="alert toggle">
          <a:extLst>
            <a:ext uri="{FF2B5EF4-FFF2-40B4-BE49-F238E27FC236}">
              <a16:creationId xmlns:a16="http://schemas.microsoft.com/office/drawing/2014/main" id="{2321F9FA-1B98-FC40-8C4D-F0A9177904EB}"/>
            </a:ext>
          </a:extLst>
        </xdr:cNvPr>
        <xdr:cNvSpPr>
          <a:spLocks noChangeAspect="1" noChangeArrowheads="1"/>
        </xdr:cNvSpPr>
      </xdr:nvSpPr>
      <xdr:spPr bwMode="auto">
        <a:xfrm>
          <a:off x="39573200" y="292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</xdr:row>
      <xdr:rowOff>0</xdr:rowOff>
    </xdr:from>
    <xdr:ext cx="304800" cy="277534"/>
    <xdr:sp macro="" textlink="">
      <xdr:nvSpPr>
        <xdr:cNvPr id="479" name="AutoShape 4405" descr="note-add">
          <a:extLst>
            <a:ext uri="{FF2B5EF4-FFF2-40B4-BE49-F238E27FC236}">
              <a16:creationId xmlns:a16="http://schemas.microsoft.com/office/drawing/2014/main" id="{02B1A33B-6A4A-ED46-91F5-677F93D78833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292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1</xdr:row>
      <xdr:rowOff>0</xdr:rowOff>
    </xdr:from>
    <xdr:ext cx="304800" cy="277534"/>
    <xdr:sp macro="" textlink="">
      <xdr:nvSpPr>
        <xdr:cNvPr id="480" name="AutoShape 4406" descr="alert toggle">
          <a:extLst>
            <a:ext uri="{FF2B5EF4-FFF2-40B4-BE49-F238E27FC236}">
              <a16:creationId xmlns:a16="http://schemas.microsoft.com/office/drawing/2014/main" id="{E593CC3E-CBA6-BF49-B662-F8573CDA29E7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292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</xdr:row>
      <xdr:rowOff>0</xdr:rowOff>
    </xdr:from>
    <xdr:ext cx="304800" cy="277534"/>
    <xdr:sp macro="" textlink="">
      <xdr:nvSpPr>
        <xdr:cNvPr id="481" name="AutoShape 4405" descr="note-add">
          <a:extLst>
            <a:ext uri="{FF2B5EF4-FFF2-40B4-BE49-F238E27FC236}">
              <a16:creationId xmlns:a16="http://schemas.microsoft.com/office/drawing/2014/main" id="{C4633674-B701-1848-97E7-91B058F99FA6}"/>
            </a:ext>
          </a:extLst>
        </xdr:cNvPr>
        <xdr:cNvSpPr>
          <a:spLocks noChangeAspect="1" noChangeArrowheads="1"/>
        </xdr:cNvSpPr>
      </xdr:nvSpPr>
      <xdr:spPr bwMode="auto">
        <a:xfrm>
          <a:off x="26466800" y="292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1</xdr:row>
      <xdr:rowOff>0</xdr:rowOff>
    </xdr:from>
    <xdr:ext cx="304800" cy="277534"/>
    <xdr:sp macro="" textlink="">
      <xdr:nvSpPr>
        <xdr:cNvPr id="482" name="AutoShape 4406" descr="alert toggle">
          <a:extLst>
            <a:ext uri="{FF2B5EF4-FFF2-40B4-BE49-F238E27FC236}">
              <a16:creationId xmlns:a16="http://schemas.microsoft.com/office/drawing/2014/main" id="{43EA1F5E-61D1-FE49-8420-24ECE6CFB8B2}"/>
            </a:ext>
          </a:extLst>
        </xdr:cNvPr>
        <xdr:cNvSpPr>
          <a:spLocks noChangeAspect="1" noChangeArrowheads="1"/>
        </xdr:cNvSpPr>
      </xdr:nvSpPr>
      <xdr:spPr bwMode="auto">
        <a:xfrm>
          <a:off x="26784300" y="292100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</xdr:row>
      <xdr:rowOff>0</xdr:rowOff>
    </xdr:from>
    <xdr:ext cx="304800" cy="277532"/>
    <xdr:sp macro="" textlink="">
      <xdr:nvSpPr>
        <xdr:cNvPr id="483" name="AutoShape 1051" descr="note-add">
          <a:extLst>
            <a:ext uri="{FF2B5EF4-FFF2-40B4-BE49-F238E27FC236}">
              <a16:creationId xmlns:a16="http://schemas.microsoft.com/office/drawing/2014/main" id="{D3EDB845-7D8F-834C-93E4-1FAF908B229E}"/>
            </a:ext>
          </a:extLst>
        </xdr:cNvPr>
        <xdr:cNvSpPr>
          <a:spLocks noChangeAspect="1" noChangeArrowheads="1"/>
        </xdr:cNvSpPr>
      </xdr:nvSpPr>
      <xdr:spPr bwMode="auto">
        <a:xfrm>
          <a:off x="24295100" y="2921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317500</xdr:colOff>
      <xdr:row>1</xdr:row>
      <xdr:rowOff>0</xdr:rowOff>
    </xdr:from>
    <xdr:ext cx="304800" cy="277532"/>
    <xdr:sp macro="" textlink="">
      <xdr:nvSpPr>
        <xdr:cNvPr id="484" name="AutoShape 1052" descr="alert toggle">
          <a:extLst>
            <a:ext uri="{FF2B5EF4-FFF2-40B4-BE49-F238E27FC236}">
              <a16:creationId xmlns:a16="http://schemas.microsoft.com/office/drawing/2014/main" id="{D67133DE-F02D-AB44-A711-A604A083EAD8}"/>
            </a:ext>
          </a:extLst>
        </xdr:cNvPr>
        <xdr:cNvSpPr>
          <a:spLocks noChangeAspect="1" noChangeArrowheads="1"/>
        </xdr:cNvSpPr>
      </xdr:nvSpPr>
      <xdr:spPr bwMode="auto">
        <a:xfrm>
          <a:off x="24612600" y="292100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247</xdr:row>
      <xdr:rowOff>0</xdr:rowOff>
    </xdr:from>
    <xdr:ext cx="304800" cy="304800"/>
    <xdr:sp macro="" textlink="">
      <xdr:nvSpPr>
        <xdr:cNvPr id="1062" name="AutoShape 38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1E0726-8368-9869-BA3F-3D02DE3BF66F}"/>
            </a:ext>
          </a:extLst>
        </xdr:cNvPr>
        <xdr:cNvSpPr>
          <a:spLocks noChangeAspect="1" noChangeArrowheads="1"/>
        </xdr:cNvSpPr>
      </xdr:nvSpPr>
      <xdr:spPr bwMode="auto">
        <a:xfrm>
          <a:off x="18376900" y="38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222</xdr:row>
      <xdr:rowOff>0</xdr:rowOff>
    </xdr:from>
    <xdr:ext cx="304800" cy="304800"/>
    <xdr:sp macro="" textlink="">
      <xdr:nvSpPr>
        <xdr:cNvPr id="1064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C24403-CA9D-8AE6-376C-D184ECB7A95A}"/>
            </a:ext>
          </a:extLst>
        </xdr:cNvPr>
        <xdr:cNvSpPr>
          <a:spLocks noChangeAspect="1" noChangeArrowheads="1"/>
        </xdr:cNvSpPr>
      </xdr:nvSpPr>
      <xdr:spPr bwMode="auto">
        <a:xfrm>
          <a:off x="18376900" y="728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222</xdr:row>
      <xdr:rowOff>0</xdr:rowOff>
    </xdr:from>
    <xdr:ext cx="304800" cy="313267"/>
    <xdr:sp macro="" textlink="">
      <xdr:nvSpPr>
        <xdr:cNvPr id="46" name="AutoShape 40" descr="Sky Sports Channel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75325-27B8-2545-92EC-153DEB7668EC}"/>
            </a:ext>
          </a:extLst>
        </xdr:cNvPr>
        <xdr:cNvSpPr>
          <a:spLocks noChangeAspect="1" noChangeArrowheads="1"/>
        </xdr:cNvSpPr>
      </xdr:nvSpPr>
      <xdr:spPr bwMode="auto">
        <a:xfrm>
          <a:off x="18457333" y="75082400"/>
          <a:ext cx="304800" cy="313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192</xdr:row>
      <xdr:rowOff>0</xdr:rowOff>
    </xdr:from>
    <xdr:ext cx="304800" cy="304800"/>
    <xdr:sp macro="" textlink="">
      <xdr:nvSpPr>
        <xdr:cNvPr id="1802" name="AutoShape 778" descr="note-add">
          <a:extLst>
            <a:ext uri="{FF2B5EF4-FFF2-40B4-BE49-F238E27FC236}">
              <a16:creationId xmlns:a16="http://schemas.microsoft.com/office/drawing/2014/main" id="{993A8461-A483-F928-89B2-5BD0AC42DABC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56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192</xdr:row>
      <xdr:rowOff>0</xdr:rowOff>
    </xdr:from>
    <xdr:ext cx="304800" cy="304800"/>
    <xdr:sp macro="" textlink="">
      <xdr:nvSpPr>
        <xdr:cNvPr id="1803" name="AutoShape 779" descr="alert toggle">
          <a:extLst>
            <a:ext uri="{FF2B5EF4-FFF2-40B4-BE49-F238E27FC236}">
              <a16:creationId xmlns:a16="http://schemas.microsoft.com/office/drawing/2014/main" id="{0494429E-A951-B111-C6C0-BB8861DE100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6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23</xdr:col>
      <xdr:colOff>0</xdr:colOff>
      <xdr:row>199</xdr:row>
      <xdr:rowOff>0</xdr:rowOff>
    </xdr:from>
    <xdr:to>
      <xdr:col>23</xdr:col>
      <xdr:colOff>304800</xdr:colOff>
      <xdr:row>200</xdr:row>
      <xdr:rowOff>127001</xdr:rowOff>
    </xdr:to>
    <xdr:sp macro="" textlink="">
      <xdr:nvSpPr>
        <xdr:cNvPr id="1806" name="AutoShape 782" descr="note-add">
          <a:extLst>
            <a:ext uri="{FF2B5EF4-FFF2-40B4-BE49-F238E27FC236}">
              <a16:creationId xmlns:a16="http://schemas.microsoft.com/office/drawing/2014/main" id="{6AA97B00-31FA-1C70-797E-C879708E94D8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69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199</xdr:row>
      <xdr:rowOff>0</xdr:rowOff>
    </xdr:from>
    <xdr:to>
      <xdr:col>23</xdr:col>
      <xdr:colOff>622300</xdr:colOff>
      <xdr:row>200</xdr:row>
      <xdr:rowOff>127001</xdr:rowOff>
    </xdr:to>
    <xdr:sp macro="" textlink="">
      <xdr:nvSpPr>
        <xdr:cNvPr id="1807" name="AutoShape 783" descr="alert toggle">
          <a:extLst>
            <a:ext uri="{FF2B5EF4-FFF2-40B4-BE49-F238E27FC236}">
              <a16:creationId xmlns:a16="http://schemas.microsoft.com/office/drawing/2014/main" id="{81ACD59C-DEB0-33F2-720C-1459D80998BD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69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199</xdr:row>
      <xdr:rowOff>0</xdr:rowOff>
    </xdr:from>
    <xdr:to>
      <xdr:col>23</xdr:col>
      <xdr:colOff>304800</xdr:colOff>
      <xdr:row>200</xdr:row>
      <xdr:rowOff>126999</xdr:rowOff>
    </xdr:to>
    <xdr:sp macro="" textlink="">
      <xdr:nvSpPr>
        <xdr:cNvPr id="1810" name="AutoShape 786" descr="note-add">
          <a:extLst>
            <a:ext uri="{FF2B5EF4-FFF2-40B4-BE49-F238E27FC236}">
              <a16:creationId xmlns:a16="http://schemas.microsoft.com/office/drawing/2014/main" id="{FF287772-EBAD-68E6-26B6-E7C2C578F95C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72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199</xdr:row>
      <xdr:rowOff>0</xdr:rowOff>
    </xdr:from>
    <xdr:to>
      <xdr:col>23</xdr:col>
      <xdr:colOff>622300</xdr:colOff>
      <xdr:row>200</xdr:row>
      <xdr:rowOff>126999</xdr:rowOff>
    </xdr:to>
    <xdr:sp macro="" textlink="">
      <xdr:nvSpPr>
        <xdr:cNvPr id="1811" name="AutoShape 787" descr="alert toggle">
          <a:extLst>
            <a:ext uri="{FF2B5EF4-FFF2-40B4-BE49-F238E27FC236}">
              <a16:creationId xmlns:a16="http://schemas.microsoft.com/office/drawing/2014/main" id="{255C382F-F5DD-DF9D-3D65-E01A97349E08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72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197</xdr:row>
      <xdr:rowOff>0</xdr:rowOff>
    </xdr:from>
    <xdr:to>
      <xdr:col>23</xdr:col>
      <xdr:colOff>304800</xdr:colOff>
      <xdr:row>198</xdr:row>
      <xdr:rowOff>114299</xdr:rowOff>
    </xdr:to>
    <xdr:sp macro="" textlink="">
      <xdr:nvSpPr>
        <xdr:cNvPr id="1814" name="AutoShape 790" descr="note-add">
          <a:extLst>
            <a:ext uri="{FF2B5EF4-FFF2-40B4-BE49-F238E27FC236}">
              <a16:creationId xmlns:a16="http://schemas.microsoft.com/office/drawing/2014/main" id="{D5BD4492-CD53-C2EA-AC2C-85E992C25B18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197</xdr:row>
      <xdr:rowOff>0</xdr:rowOff>
    </xdr:from>
    <xdr:to>
      <xdr:col>23</xdr:col>
      <xdr:colOff>622300</xdr:colOff>
      <xdr:row>198</xdr:row>
      <xdr:rowOff>114299</xdr:rowOff>
    </xdr:to>
    <xdr:sp macro="" textlink="">
      <xdr:nvSpPr>
        <xdr:cNvPr id="1815" name="AutoShape 791" descr="alert toggle">
          <a:extLst>
            <a:ext uri="{FF2B5EF4-FFF2-40B4-BE49-F238E27FC236}">
              <a16:creationId xmlns:a16="http://schemas.microsoft.com/office/drawing/2014/main" id="{9C6DC459-219F-09D0-032E-DD3901D86919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203</xdr:row>
      <xdr:rowOff>0</xdr:rowOff>
    </xdr:from>
    <xdr:to>
      <xdr:col>23</xdr:col>
      <xdr:colOff>304800</xdr:colOff>
      <xdr:row>204</xdr:row>
      <xdr:rowOff>114301</xdr:rowOff>
    </xdr:to>
    <xdr:sp macro="" textlink="">
      <xdr:nvSpPr>
        <xdr:cNvPr id="1818" name="AutoShape 794" descr="note-add">
          <a:extLst>
            <a:ext uri="{FF2B5EF4-FFF2-40B4-BE49-F238E27FC236}">
              <a16:creationId xmlns:a16="http://schemas.microsoft.com/office/drawing/2014/main" id="{0FF7AAC4-A79C-7859-006E-1322CE8D406A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77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203</xdr:row>
      <xdr:rowOff>0</xdr:rowOff>
    </xdr:from>
    <xdr:to>
      <xdr:col>23</xdr:col>
      <xdr:colOff>622300</xdr:colOff>
      <xdr:row>204</xdr:row>
      <xdr:rowOff>114301</xdr:rowOff>
    </xdr:to>
    <xdr:sp macro="" textlink="">
      <xdr:nvSpPr>
        <xdr:cNvPr id="1819" name="AutoShape 795" descr="alert toggle">
          <a:extLst>
            <a:ext uri="{FF2B5EF4-FFF2-40B4-BE49-F238E27FC236}">
              <a16:creationId xmlns:a16="http://schemas.microsoft.com/office/drawing/2014/main" id="{7EE461B0-7522-9DFA-1AB9-0E9D4F016B3E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77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194</xdr:row>
      <xdr:rowOff>0</xdr:rowOff>
    </xdr:from>
    <xdr:to>
      <xdr:col>23</xdr:col>
      <xdr:colOff>304800</xdr:colOff>
      <xdr:row>195</xdr:row>
      <xdr:rowOff>114300</xdr:rowOff>
    </xdr:to>
    <xdr:sp macro="" textlink="">
      <xdr:nvSpPr>
        <xdr:cNvPr id="1822" name="AutoShape 798" descr="note-add">
          <a:extLst>
            <a:ext uri="{FF2B5EF4-FFF2-40B4-BE49-F238E27FC236}">
              <a16:creationId xmlns:a16="http://schemas.microsoft.com/office/drawing/2014/main" id="{EA39379E-F03D-6AD2-FE08-309223D03248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80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194</xdr:row>
      <xdr:rowOff>0</xdr:rowOff>
    </xdr:from>
    <xdr:to>
      <xdr:col>23</xdr:col>
      <xdr:colOff>622300</xdr:colOff>
      <xdr:row>195</xdr:row>
      <xdr:rowOff>114300</xdr:rowOff>
    </xdr:to>
    <xdr:sp macro="" textlink="">
      <xdr:nvSpPr>
        <xdr:cNvPr id="1823" name="AutoShape 799" descr="alert toggle">
          <a:extLst>
            <a:ext uri="{FF2B5EF4-FFF2-40B4-BE49-F238E27FC236}">
              <a16:creationId xmlns:a16="http://schemas.microsoft.com/office/drawing/2014/main" id="{CB9FC4E2-A453-803C-510C-E7DA5C481EF2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80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204</xdr:row>
      <xdr:rowOff>0</xdr:rowOff>
    </xdr:from>
    <xdr:to>
      <xdr:col>23</xdr:col>
      <xdr:colOff>304800</xdr:colOff>
      <xdr:row>205</xdr:row>
      <xdr:rowOff>114301</xdr:rowOff>
    </xdr:to>
    <xdr:sp macro="" textlink="">
      <xdr:nvSpPr>
        <xdr:cNvPr id="1826" name="AutoShape 802" descr="note-add">
          <a:extLst>
            <a:ext uri="{FF2B5EF4-FFF2-40B4-BE49-F238E27FC236}">
              <a16:creationId xmlns:a16="http://schemas.microsoft.com/office/drawing/2014/main" id="{51C415ED-6433-BAAB-6FA0-1AEE7836EC53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83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204</xdr:row>
      <xdr:rowOff>0</xdr:rowOff>
    </xdr:from>
    <xdr:to>
      <xdr:col>23</xdr:col>
      <xdr:colOff>622300</xdr:colOff>
      <xdr:row>205</xdr:row>
      <xdr:rowOff>114301</xdr:rowOff>
    </xdr:to>
    <xdr:sp macro="" textlink="">
      <xdr:nvSpPr>
        <xdr:cNvPr id="1827" name="AutoShape 803" descr="alert toggle">
          <a:extLst>
            <a:ext uri="{FF2B5EF4-FFF2-40B4-BE49-F238E27FC236}">
              <a16:creationId xmlns:a16="http://schemas.microsoft.com/office/drawing/2014/main" id="{9EB2D2F0-DAB1-FDF3-1910-D1A95389C25C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83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199</xdr:row>
      <xdr:rowOff>0</xdr:rowOff>
    </xdr:from>
    <xdr:to>
      <xdr:col>23</xdr:col>
      <xdr:colOff>304800</xdr:colOff>
      <xdr:row>200</xdr:row>
      <xdr:rowOff>126998</xdr:rowOff>
    </xdr:to>
    <xdr:sp macro="" textlink="">
      <xdr:nvSpPr>
        <xdr:cNvPr id="1830" name="AutoShape 806" descr="note-add">
          <a:extLst>
            <a:ext uri="{FF2B5EF4-FFF2-40B4-BE49-F238E27FC236}">
              <a16:creationId xmlns:a16="http://schemas.microsoft.com/office/drawing/2014/main" id="{41AE08F4-93A2-813C-6538-5702A301639B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8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199</xdr:row>
      <xdr:rowOff>0</xdr:rowOff>
    </xdr:from>
    <xdr:to>
      <xdr:col>23</xdr:col>
      <xdr:colOff>622300</xdr:colOff>
      <xdr:row>200</xdr:row>
      <xdr:rowOff>126998</xdr:rowOff>
    </xdr:to>
    <xdr:sp macro="" textlink="">
      <xdr:nvSpPr>
        <xdr:cNvPr id="1831" name="AutoShape 807" descr="alert toggle">
          <a:extLst>
            <a:ext uri="{FF2B5EF4-FFF2-40B4-BE49-F238E27FC236}">
              <a16:creationId xmlns:a16="http://schemas.microsoft.com/office/drawing/2014/main" id="{F6422730-7C6C-BF60-E8C8-57F5E0328D20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8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198</xdr:row>
      <xdr:rowOff>0</xdr:rowOff>
    </xdr:from>
    <xdr:to>
      <xdr:col>23</xdr:col>
      <xdr:colOff>304800</xdr:colOff>
      <xdr:row>199</xdr:row>
      <xdr:rowOff>114300</xdr:rowOff>
    </xdr:to>
    <xdr:sp macro="" textlink="">
      <xdr:nvSpPr>
        <xdr:cNvPr id="1834" name="AutoShape 810" descr="note-add">
          <a:extLst>
            <a:ext uri="{FF2B5EF4-FFF2-40B4-BE49-F238E27FC236}">
              <a16:creationId xmlns:a16="http://schemas.microsoft.com/office/drawing/2014/main" id="{03987ACB-D25A-2C0D-ECA3-32BC434AE9CB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8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198</xdr:row>
      <xdr:rowOff>0</xdr:rowOff>
    </xdr:from>
    <xdr:to>
      <xdr:col>23</xdr:col>
      <xdr:colOff>622300</xdr:colOff>
      <xdr:row>199</xdr:row>
      <xdr:rowOff>114300</xdr:rowOff>
    </xdr:to>
    <xdr:sp macro="" textlink="">
      <xdr:nvSpPr>
        <xdr:cNvPr id="1835" name="AutoShape 811" descr="alert toggle">
          <a:extLst>
            <a:ext uri="{FF2B5EF4-FFF2-40B4-BE49-F238E27FC236}">
              <a16:creationId xmlns:a16="http://schemas.microsoft.com/office/drawing/2014/main" id="{79B5BA67-13A8-82B8-D53D-09A6C78FA9DB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8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200</xdr:row>
      <xdr:rowOff>0</xdr:rowOff>
    </xdr:from>
    <xdr:to>
      <xdr:col>23</xdr:col>
      <xdr:colOff>304800</xdr:colOff>
      <xdr:row>201</xdr:row>
      <xdr:rowOff>114299</xdr:rowOff>
    </xdr:to>
    <xdr:sp macro="" textlink="">
      <xdr:nvSpPr>
        <xdr:cNvPr id="1838" name="AutoShape 814" descr="note-add">
          <a:extLst>
            <a:ext uri="{FF2B5EF4-FFF2-40B4-BE49-F238E27FC236}">
              <a16:creationId xmlns:a16="http://schemas.microsoft.com/office/drawing/2014/main" id="{630194E6-CFE6-9B2E-C0AB-506114717692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91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200</xdr:row>
      <xdr:rowOff>0</xdr:rowOff>
    </xdr:from>
    <xdr:to>
      <xdr:col>23</xdr:col>
      <xdr:colOff>622300</xdr:colOff>
      <xdr:row>201</xdr:row>
      <xdr:rowOff>114299</xdr:rowOff>
    </xdr:to>
    <xdr:sp macro="" textlink="">
      <xdr:nvSpPr>
        <xdr:cNvPr id="1839" name="AutoShape 815" descr="alert toggle">
          <a:extLst>
            <a:ext uri="{FF2B5EF4-FFF2-40B4-BE49-F238E27FC236}">
              <a16:creationId xmlns:a16="http://schemas.microsoft.com/office/drawing/2014/main" id="{9BF120CD-F0FB-CFF6-5C69-B4E75F7EEA6D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91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205</xdr:row>
      <xdr:rowOff>0</xdr:rowOff>
    </xdr:from>
    <xdr:to>
      <xdr:col>23</xdr:col>
      <xdr:colOff>304800</xdr:colOff>
      <xdr:row>206</xdr:row>
      <xdr:rowOff>114299</xdr:rowOff>
    </xdr:to>
    <xdr:sp macro="" textlink="">
      <xdr:nvSpPr>
        <xdr:cNvPr id="1842" name="AutoShape 818" descr="note-add">
          <a:extLst>
            <a:ext uri="{FF2B5EF4-FFF2-40B4-BE49-F238E27FC236}">
              <a16:creationId xmlns:a16="http://schemas.microsoft.com/office/drawing/2014/main" id="{32D0309A-3EF3-B501-17AF-458F099D338C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94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205</xdr:row>
      <xdr:rowOff>0</xdr:rowOff>
    </xdr:from>
    <xdr:to>
      <xdr:col>23</xdr:col>
      <xdr:colOff>622300</xdr:colOff>
      <xdr:row>206</xdr:row>
      <xdr:rowOff>114299</xdr:rowOff>
    </xdr:to>
    <xdr:sp macro="" textlink="">
      <xdr:nvSpPr>
        <xdr:cNvPr id="1843" name="AutoShape 819" descr="alert toggle">
          <a:extLst>
            <a:ext uri="{FF2B5EF4-FFF2-40B4-BE49-F238E27FC236}">
              <a16:creationId xmlns:a16="http://schemas.microsoft.com/office/drawing/2014/main" id="{9B009162-C6FE-F667-3F95-7E4A06422CF7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94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195</xdr:row>
      <xdr:rowOff>0</xdr:rowOff>
    </xdr:from>
    <xdr:to>
      <xdr:col>23</xdr:col>
      <xdr:colOff>304800</xdr:colOff>
      <xdr:row>196</xdr:row>
      <xdr:rowOff>114302</xdr:rowOff>
    </xdr:to>
    <xdr:sp macro="" textlink="">
      <xdr:nvSpPr>
        <xdr:cNvPr id="1846" name="AutoShape 822" descr="note-add">
          <a:extLst>
            <a:ext uri="{FF2B5EF4-FFF2-40B4-BE49-F238E27FC236}">
              <a16:creationId xmlns:a16="http://schemas.microsoft.com/office/drawing/2014/main" id="{C99DFB7A-18B7-4505-7DE2-6BDEC5EFA84D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59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195</xdr:row>
      <xdr:rowOff>0</xdr:rowOff>
    </xdr:from>
    <xdr:to>
      <xdr:col>23</xdr:col>
      <xdr:colOff>622300</xdr:colOff>
      <xdr:row>196</xdr:row>
      <xdr:rowOff>114302</xdr:rowOff>
    </xdr:to>
    <xdr:sp macro="" textlink="">
      <xdr:nvSpPr>
        <xdr:cNvPr id="1847" name="AutoShape 823" descr="alert toggle">
          <a:extLst>
            <a:ext uri="{FF2B5EF4-FFF2-40B4-BE49-F238E27FC236}">
              <a16:creationId xmlns:a16="http://schemas.microsoft.com/office/drawing/2014/main" id="{E83F5790-B172-A261-F2F3-2F087E2C1D6B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59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196</xdr:row>
      <xdr:rowOff>0</xdr:rowOff>
    </xdr:from>
    <xdr:to>
      <xdr:col>23</xdr:col>
      <xdr:colOff>304800</xdr:colOff>
      <xdr:row>197</xdr:row>
      <xdr:rowOff>123825</xdr:rowOff>
    </xdr:to>
    <xdr:sp macro="" textlink="">
      <xdr:nvSpPr>
        <xdr:cNvPr id="1850" name="AutoShape 826" descr="note-add">
          <a:extLst>
            <a:ext uri="{FF2B5EF4-FFF2-40B4-BE49-F238E27FC236}">
              <a16:creationId xmlns:a16="http://schemas.microsoft.com/office/drawing/2014/main" id="{340DAF92-66B9-9D75-1C4F-34C738F818AF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196</xdr:row>
      <xdr:rowOff>0</xdr:rowOff>
    </xdr:from>
    <xdr:to>
      <xdr:col>23</xdr:col>
      <xdr:colOff>622300</xdr:colOff>
      <xdr:row>197</xdr:row>
      <xdr:rowOff>123825</xdr:rowOff>
    </xdr:to>
    <xdr:sp macro="" textlink="">
      <xdr:nvSpPr>
        <xdr:cNvPr id="1851" name="AutoShape 827" descr="alert toggle">
          <a:extLst>
            <a:ext uri="{FF2B5EF4-FFF2-40B4-BE49-F238E27FC236}">
              <a16:creationId xmlns:a16="http://schemas.microsoft.com/office/drawing/2014/main" id="{D1B12147-2390-38D8-C492-DE58ACC9BD55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202</xdr:row>
      <xdr:rowOff>0</xdr:rowOff>
    </xdr:from>
    <xdr:to>
      <xdr:col>23</xdr:col>
      <xdr:colOff>304800</xdr:colOff>
      <xdr:row>203</xdr:row>
      <xdr:rowOff>114300</xdr:rowOff>
    </xdr:to>
    <xdr:sp macro="" textlink="">
      <xdr:nvSpPr>
        <xdr:cNvPr id="1854" name="AutoShape 830" descr="note-add">
          <a:extLst>
            <a:ext uri="{FF2B5EF4-FFF2-40B4-BE49-F238E27FC236}">
              <a16:creationId xmlns:a16="http://schemas.microsoft.com/office/drawing/2014/main" id="{07E337E8-81B5-7FE6-5CB5-5810A9F44A60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602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202</xdr:row>
      <xdr:rowOff>0</xdr:rowOff>
    </xdr:from>
    <xdr:to>
      <xdr:col>23</xdr:col>
      <xdr:colOff>622300</xdr:colOff>
      <xdr:row>203</xdr:row>
      <xdr:rowOff>114300</xdr:rowOff>
    </xdr:to>
    <xdr:sp macro="" textlink="">
      <xdr:nvSpPr>
        <xdr:cNvPr id="1855" name="AutoShape 831" descr="alert toggle">
          <a:extLst>
            <a:ext uri="{FF2B5EF4-FFF2-40B4-BE49-F238E27FC236}">
              <a16:creationId xmlns:a16="http://schemas.microsoft.com/office/drawing/2014/main" id="{02340550-03BE-86AB-37B4-B0B021C69424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602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203</xdr:row>
      <xdr:rowOff>0</xdr:rowOff>
    </xdr:from>
    <xdr:to>
      <xdr:col>23</xdr:col>
      <xdr:colOff>304800</xdr:colOff>
      <xdr:row>204</xdr:row>
      <xdr:rowOff>114299</xdr:rowOff>
    </xdr:to>
    <xdr:sp macro="" textlink="">
      <xdr:nvSpPr>
        <xdr:cNvPr id="1858" name="AutoShape 834" descr="note-add">
          <a:extLst>
            <a:ext uri="{FF2B5EF4-FFF2-40B4-BE49-F238E27FC236}">
              <a16:creationId xmlns:a16="http://schemas.microsoft.com/office/drawing/2014/main" id="{1605B11C-EBAE-3D1F-9CB2-EF8A2C6C10D4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60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203</xdr:row>
      <xdr:rowOff>0</xdr:rowOff>
    </xdr:from>
    <xdr:to>
      <xdr:col>23</xdr:col>
      <xdr:colOff>622300</xdr:colOff>
      <xdr:row>204</xdr:row>
      <xdr:rowOff>114299</xdr:rowOff>
    </xdr:to>
    <xdr:sp macro="" textlink="">
      <xdr:nvSpPr>
        <xdr:cNvPr id="1859" name="AutoShape 835" descr="alert toggle">
          <a:extLst>
            <a:ext uri="{FF2B5EF4-FFF2-40B4-BE49-F238E27FC236}">
              <a16:creationId xmlns:a16="http://schemas.microsoft.com/office/drawing/2014/main" id="{D7A27580-73C3-6BB9-D9BB-C9D21A127078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60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197</xdr:row>
      <xdr:rowOff>0</xdr:rowOff>
    </xdr:from>
    <xdr:to>
      <xdr:col>23</xdr:col>
      <xdr:colOff>304800</xdr:colOff>
      <xdr:row>198</xdr:row>
      <xdr:rowOff>114301</xdr:rowOff>
    </xdr:to>
    <xdr:sp macro="" textlink="">
      <xdr:nvSpPr>
        <xdr:cNvPr id="1862" name="AutoShape 838" descr="note-add">
          <a:extLst>
            <a:ext uri="{FF2B5EF4-FFF2-40B4-BE49-F238E27FC236}">
              <a16:creationId xmlns:a16="http://schemas.microsoft.com/office/drawing/2014/main" id="{E4A2B3B2-9D3B-5E3C-6D70-FB8A8096C1BF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608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197</xdr:row>
      <xdr:rowOff>0</xdr:rowOff>
    </xdr:from>
    <xdr:to>
      <xdr:col>23</xdr:col>
      <xdr:colOff>622300</xdr:colOff>
      <xdr:row>198</xdr:row>
      <xdr:rowOff>114301</xdr:rowOff>
    </xdr:to>
    <xdr:sp macro="" textlink="">
      <xdr:nvSpPr>
        <xdr:cNvPr id="1863" name="AutoShape 839" descr="alert toggle">
          <a:extLst>
            <a:ext uri="{FF2B5EF4-FFF2-40B4-BE49-F238E27FC236}">
              <a16:creationId xmlns:a16="http://schemas.microsoft.com/office/drawing/2014/main" id="{66B41228-DE7A-D3C7-69AD-BD8125A53D43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608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201</xdr:row>
      <xdr:rowOff>0</xdr:rowOff>
    </xdr:from>
    <xdr:to>
      <xdr:col>23</xdr:col>
      <xdr:colOff>304800</xdr:colOff>
      <xdr:row>202</xdr:row>
      <xdr:rowOff>114301</xdr:rowOff>
    </xdr:to>
    <xdr:sp macro="" textlink="">
      <xdr:nvSpPr>
        <xdr:cNvPr id="1866" name="AutoShape 842" descr="note-add">
          <a:extLst>
            <a:ext uri="{FF2B5EF4-FFF2-40B4-BE49-F238E27FC236}">
              <a16:creationId xmlns:a16="http://schemas.microsoft.com/office/drawing/2014/main" id="{12A2553A-3D6D-7E91-AB83-BFDEEC0F428E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611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201</xdr:row>
      <xdr:rowOff>0</xdr:rowOff>
    </xdr:from>
    <xdr:to>
      <xdr:col>23</xdr:col>
      <xdr:colOff>622300</xdr:colOff>
      <xdr:row>202</xdr:row>
      <xdr:rowOff>114301</xdr:rowOff>
    </xdr:to>
    <xdr:sp macro="" textlink="">
      <xdr:nvSpPr>
        <xdr:cNvPr id="1867" name="AutoShape 843" descr="alert toggle">
          <a:extLst>
            <a:ext uri="{FF2B5EF4-FFF2-40B4-BE49-F238E27FC236}">
              <a16:creationId xmlns:a16="http://schemas.microsoft.com/office/drawing/2014/main" id="{30951EBB-FE0F-8A8C-6F87-98438F7602AC}"/>
            </a:ext>
          </a:extLst>
        </xdr:cNvPr>
        <xdr:cNvSpPr>
          <a:spLocks noChangeAspect="1" noChangeArrowheads="1"/>
        </xdr:cNvSpPr>
      </xdr:nvSpPr>
      <xdr:spPr bwMode="auto">
        <a:xfrm>
          <a:off x="17399000" y="611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317500</xdr:colOff>
      <xdr:row>4</xdr:row>
      <xdr:rowOff>76200</xdr:rowOff>
    </xdr:to>
    <xdr:sp macro="" textlink="">
      <xdr:nvSpPr>
        <xdr:cNvPr id="1029" name="AutoShape 5" descr="note-add">
          <a:extLst>
            <a:ext uri="{FF2B5EF4-FFF2-40B4-BE49-F238E27FC236}">
              <a16:creationId xmlns:a16="http://schemas.microsoft.com/office/drawing/2014/main" id="{133BAD27-3871-FA9B-21B8-3C2CD81F5EC3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7747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3</xdr:row>
      <xdr:rowOff>0</xdr:rowOff>
    </xdr:from>
    <xdr:to>
      <xdr:col>21</xdr:col>
      <xdr:colOff>622300</xdr:colOff>
      <xdr:row>4</xdr:row>
      <xdr:rowOff>76200</xdr:rowOff>
    </xdr:to>
    <xdr:sp macro="" textlink="">
      <xdr:nvSpPr>
        <xdr:cNvPr id="1030" name="AutoShape 6" descr="alert toggle">
          <a:extLst>
            <a:ext uri="{FF2B5EF4-FFF2-40B4-BE49-F238E27FC236}">
              <a16:creationId xmlns:a16="http://schemas.microsoft.com/office/drawing/2014/main" id="{8366F0F7-40B6-337D-2365-8681D9EEB77A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77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317500</xdr:colOff>
      <xdr:row>5</xdr:row>
      <xdr:rowOff>98099</xdr:rowOff>
    </xdr:to>
    <xdr:sp macro="" textlink="">
      <xdr:nvSpPr>
        <xdr:cNvPr id="1033" name="AutoShape 9" descr="note-add">
          <a:extLst>
            <a:ext uri="{FF2B5EF4-FFF2-40B4-BE49-F238E27FC236}">
              <a16:creationId xmlns:a16="http://schemas.microsoft.com/office/drawing/2014/main" id="{1C99FA8A-5962-A003-10D6-77D979F82B67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1054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4</xdr:row>
      <xdr:rowOff>0</xdr:rowOff>
    </xdr:from>
    <xdr:to>
      <xdr:col>21</xdr:col>
      <xdr:colOff>622300</xdr:colOff>
      <xdr:row>5</xdr:row>
      <xdr:rowOff>98099</xdr:rowOff>
    </xdr:to>
    <xdr:sp macro="" textlink="">
      <xdr:nvSpPr>
        <xdr:cNvPr id="1034" name="AutoShape 10" descr="alert toggle">
          <a:extLst>
            <a:ext uri="{FF2B5EF4-FFF2-40B4-BE49-F238E27FC236}">
              <a16:creationId xmlns:a16="http://schemas.microsoft.com/office/drawing/2014/main" id="{889852A4-14D8-C823-5483-665C5625E832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1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317500</xdr:colOff>
      <xdr:row>6</xdr:row>
      <xdr:rowOff>76200</xdr:rowOff>
    </xdr:to>
    <xdr:sp macro="" textlink="">
      <xdr:nvSpPr>
        <xdr:cNvPr id="1037" name="AutoShape 13" descr="note-add">
          <a:extLst>
            <a:ext uri="{FF2B5EF4-FFF2-40B4-BE49-F238E27FC236}">
              <a16:creationId xmlns:a16="http://schemas.microsoft.com/office/drawing/2014/main" id="{7A005E02-63BD-763D-90B5-C0208575DC46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1333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317500</xdr:colOff>
      <xdr:row>7</xdr:row>
      <xdr:rowOff>76200</xdr:rowOff>
    </xdr:to>
    <xdr:sp macro="" textlink="">
      <xdr:nvSpPr>
        <xdr:cNvPr id="1041" name="AutoShape 17" descr="note-add">
          <a:extLst>
            <a:ext uri="{FF2B5EF4-FFF2-40B4-BE49-F238E27FC236}">
              <a16:creationId xmlns:a16="http://schemas.microsoft.com/office/drawing/2014/main" id="{5B261983-283B-E8B2-3C85-F71A5031E13C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1612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317500</xdr:colOff>
      <xdr:row>8</xdr:row>
      <xdr:rowOff>76200</xdr:rowOff>
    </xdr:to>
    <xdr:sp macro="" textlink="">
      <xdr:nvSpPr>
        <xdr:cNvPr id="1045" name="AutoShape 21" descr="note-add">
          <a:extLst>
            <a:ext uri="{FF2B5EF4-FFF2-40B4-BE49-F238E27FC236}">
              <a16:creationId xmlns:a16="http://schemas.microsoft.com/office/drawing/2014/main" id="{FCB6BB4D-B8CA-CF6A-6C99-A8A22B499BBE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1892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7</xdr:row>
      <xdr:rowOff>0</xdr:rowOff>
    </xdr:from>
    <xdr:to>
      <xdr:col>21</xdr:col>
      <xdr:colOff>622300</xdr:colOff>
      <xdr:row>8</xdr:row>
      <xdr:rowOff>76200</xdr:rowOff>
    </xdr:to>
    <xdr:sp macro="" textlink="">
      <xdr:nvSpPr>
        <xdr:cNvPr id="1046" name="AutoShape 22" descr="alert toggle">
          <a:extLst>
            <a:ext uri="{FF2B5EF4-FFF2-40B4-BE49-F238E27FC236}">
              <a16:creationId xmlns:a16="http://schemas.microsoft.com/office/drawing/2014/main" id="{9B89A3A1-910F-DDC1-05D4-A21F0E757A53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317500</xdr:colOff>
      <xdr:row>9</xdr:row>
      <xdr:rowOff>76200</xdr:rowOff>
    </xdr:to>
    <xdr:sp macro="" textlink="">
      <xdr:nvSpPr>
        <xdr:cNvPr id="1049" name="AutoShape 25" descr="note-add">
          <a:extLst>
            <a:ext uri="{FF2B5EF4-FFF2-40B4-BE49-F238E27FC236}">
              <a16:creationId xmlns:a16="http://schemas.microsoft.com/office/drawing/2014/main" id="{7873CAAE-4DBD-D8B1-7426-72580C3D2FEF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2171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8</xdr:row>
      <xdr:rowOff>0</xdr:rowOff>
    </xdr:from>
    <xdr:to>
      <xdr:col>21</xdr:col>
      <xdr:colOff>622300</xdr:colOff>
      <xdr:row>9</xdr:row>
      <xdr:rowOff>76200</xdr:rowOff>
    </xdr:to>
    <xdr:sp macro="" textlink="">
      <xdr:nvSpPr>
        <xdr:cNvPr id="1050" name="AutoShape 26" descr="alert toggle">
          <a:extLst>
            <a:ext uri="{FF2B5EF4-FFF2-40B4-BE49-F238E27FC236}">
              <a16:creationId xmlns:a16="http://schemas.microsoft.com/office/drawing/2014/main" id="{6DEE24AB-0244-4E09-B38E-5E30267A8AE7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10</xdr:row>
      <xdr:rowOff>0</xdr:rowOff>
    </xdr:from>
    <xdr:to>
      <xdr:col>21</xdr:col>
      <xdr:colOff>622300</xdr:colOff>
      <xdr:row>11</xdr:row>
      <xdr:rowOff>76200</xdr:rowOff>
    </xdr:to>
    <xdr:sp macro="" textlink="">
      <xdr:nvSpPr>
        <xdr:cNvPr id="1054" name="AutoShape 30" descr="alert toggle">
          <a:extLst>
            <a:ext uri="{FF2B5EF4-FFF2-40B4-BE49-F238E27FC236}">
              <a16:creationId xmlns:a16="http://schemas.microsoft.com/office/drawing/2014/main" id="{13B6E50D-886A-B6B3-B142-F07CEFFFD645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27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317500</xdr:colOff>
      <xdr:row>12</xdr:row>
      <xdr:rowOff>76200</xdr:rowOff>
    </xdr:to>
    <xdr:sp macro="" textlink="">
      <xdr:nvSpPr>
        <xdr:cNvPr id="1057" name="AutoShape 33" descr="note-add">
          <a:extLst>
            <a:ext uri="{FF2B5EF4-FFF2-40B4-BE49-F238E27FC236}">
              <a16:creationId xmlns:a16="http://schemas.microsoft.com/office/drawing/2014/main" id="{CD4CA180-3960-35CF-006F-D358EE813AF9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3009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11</xdr:row>
      <xdr:rowOff>0</xdr:rowOff>
    </xdr:from>
    <xdr:to>
      <xdr:col>21</xdr:col>
      <xdr:colOff>622300</xdr:colOff>
      <xdr:row>12</xdr:row>
      <xdr:rowOff>76200</xdr:rowOff>
    </xdr:to>
    <xdr:sp macro="" textlink="">
      <xdr:nvSpPr>
        <xdr:cNvPr id="1058" name="AutoShape 34" descr="alert toggle">
          <a:extLst>
            <a:ext uri="{FF2B5EF4-FFF2-40B4-BE49-F238E27FC236}">
              <a16:creationId xmlns:a16="http://schemas.microsoft.com/office/drawing/2014/main" id="{DD420328-61CE-9A02-5E31-DC02847C4BC3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317500</xdr:colOff>
      <xdr:row>13</xdr:row>
      <xdr:rowOff>76200</xdr:rowOff>
    </xdr:to>
    <xdr:sp macro="" textlink="">
      <xdr:nvSpPr>
        <xdr:cNvPr id="1061" name="AutoShape 37" descr="note-add">
          <a:extLst>
            <a:ext uri="{FF2B5EF4-FFF2-40B4-BE49-F238E27FC236}">
              <a16:creationId xmlns:a16="http://schemas.microsoft.com/office/drawing/2014/main" id="{8EC1F460-BF47-31EF-FBB8-B5E2C592B824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3289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12</xdr:row>
      <xdr:rowOff>0</xdr:rowOff>
    </xdr:from>
    <xdr:to>
      <xdr:col>21</xdr:col>
      <xdr:colOff>622300</xdr:colOff>
      <xdr:row>13</xdr:row>
      <xdr:rowOff>76200</xdr:rowOff>
    </xdr:to>
    <xdr:sp macro="" textlink="">
      <xdr:nvSpPr>
        <xdr:cNvPr id="2" name="AutoShape 38" descr="alert toggle">
          <a:extLst>
            <a:ext uri="{FF2B5EF4-FFF2-40B4-BE49-F238E27FC236}">
              <a16:creationId xmlns:a16="http://schemas.microsoft.com/office/drawing/2014/main" id="{DCC6A8C8-943C-BA1F-4E81-847201C7D4B7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3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317500</xdr:colOff>
      <xdr:row>14</xdr:row>
      <xdr:rowOff>76200</xdr:rowOff>
    </xdr:to>
    <xdr:sp macro="" textlink="">
      <xdr:nvSpPr>
        <xdr:cNvPr id="1065" name="AutoShape 41" descr="note-add">
          <a:extLst>
            <a:ext uri="{FF2B5EF4-FFF2-40B4-BE49-F238E27FC236}">
              <a16:creationId xmlns:a16="http://schemas.microsoft.com/office/drawing/2014/main" id="{7803BCC1-D31D-2C04-65D7-A3B5C7DA8F33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3568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13</xdr:row>
      <xdr:rowOff>0</xdr:rowOff>
    </xdr:from>
    <xdr:to>
      <xdr:col>21</xdr:col>
      <xdr:colOff>622300</xdr:colOff>
      <xdr:row>14</xdr:row>
      <xdr:rowOff>76200</xdr:rowOff>
    </xdr:to>
    <xdr:sp macro="" textlink="">
      <xdr:nvSpPr>
        <xdr:cNvPr id="1066" name="AutoShape 42" descr="alert toggle">
          <a:extLst>
            <a:ext uri="{FF2B5EF4-FFF2-40B4-BE49-F238E27FC236}">
              <a16:creationId xmlns:a16="http://schemas.microsoft.com/office/drawing/2014/main" id="{61675D5C-B7B3-D59E-C311-9BECFFDCB1C9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3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317500</xdr:colOff>
      <xdr:row>15</xdr:row>
      <xdr:rowOff>76200</xdr:rowOff>
    </xdr:to>
    <xdr:sp macro="" textlink="">
      <xdr:nvSpPr>
        <xdr:cNvPr id="1069" name="AutoShape 45" descr="note-add">
          <a:extLst>
            <a:ext uri="{FF2B5EF4-FFF2-40B4-BE49-F238E27FC236}">
              <a16:creationId xmlns:a16="http://schemas.microsoft.com/office/drawing/2014/main" id="{3B8498BD-8D70-1E05-07E8-031708FE2F51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3848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14</xdr:row>
      <xdr:rowOff>0</xdr:rowOff>
    </xdr:from>
    <xdr:to>
      <xdr:col>21</xdr:col>
      <xdr:colOff>622300</xdr:colOff>
      <xdr:row>15</xdr:row>
      <xdr:rowOff>76200</xdr:rowOff>
    </xdr:to>
    <xdr:sp macro="" textlink="">
      <xdr:nvSpPr>
        <xdr:cNvPr id="1070" name="AutoShape 46" descr="alert toggle">
          <a:extLst>
            <a:ext uri="{FF2B5EF4-FFF2-40B4-BE49-F238E27FC236}">
              <a16:creationId xmlns:a16="http://schemas.microsoft.com/office/drawing/2014/main" id="{42985D58-E8A2-A501-2D47-E1A333FDBECE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317500</xdr:colOff>
      <xdr:row>16</xdr:row>
      <xdr:rowOff>76200</xdr:rowOff>
    </xdr:to>
    <xdr:sp macro="" textlink="">
      <xdr:nvSpPr>
        <xdr:cNvPr id="1073" name="AutoShape 49" descr="note-add">
          <a:extLst>
            <a:ext uri="{FF2B5EF4-FFF2-40B4-BE49-F238E27FC236}">
              <a16:creationId xmlns:a16="http://schemas.microsoft.com/office/drawing/2014/main" id="{E96753BB-2C32-2677-42AE-34C9B51E5377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4127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15</xdr:row>
      <xdr:rowOff>0</xdr:rowOff>
    </xdr:from>
    <xdr:to>
      <xdr:col>21</xdr:col>
      <xdr:colOff>622300</xdr:colOff>
      <xdr:row>16</xdr:row>
      <xdr:rowOff>76200</xdr:rowOff>
    </xdr:to>
    <xdr:sp macro="" textlink="">
      <xdr:nvSpPr>
        <xdr:cNvPr id="1074" name="AutoShape 50" descr="alert toggle">
          <a:extLst>
            <a:ext uri="{FF2B5EF4-FFF2-40B4-BE49-F238E27FC236}">
              <a16:creationId xmlns:a16="http://schemas.microsoft.com/office/drawing/2014/main" id="{81E9B7D6-84CF-0CF2-631E-2B29F326000B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41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317500</xdr:colOff>
      <xdr:row>17</xdr:row>
      <xdr:rowOff>76200</xdr:rowOff>
    </xdr:to>
    <xdr:sp macro="" textlink="">
      <xdr:nvSpPr>
        <xdr:cNvPr id="1077" name="AutoShape 53" descr="note-add">
          <a:extLst>
            <a:ext uri="{FF2B5EF4-FFF2-40B4-BE49-F238E27FC236}">
              <a16:creationId xmlns:a16="http://schemas.microsoft.com/office/drawing/2014/main" id="{7DA82DC3-0AAA-3CF7-2CCE-87918124A638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4406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16</xdr:row>
      <xdr:rowOff>0</xdr:rowOff>
    </xdr:from>
    <xdr:to>
      <xdr:col>21</xdr:col>
      <xdr:colOff>622300</xdr:colOff>
      <xdr:row>17</xdr:row>
      <xdr:rowOff>76200</xdr:rowOff>
    </xdr:to>
    <xdr:sp macro="" textlink="">
      <xdr:nvSpPr>
        <xdr:cNvPr id="1078" name="AutoShape 54" descr="alert toggle">
          <a:extLst>
            <a:ext uri="{FF2B5EF4-FFF2-40B4-BE49-F238E27FC236}">
              <a16:creationId xmlns:a16="http://schemas.microsoft.com/office/drawing/2014/main" id="{47E915BD-8313-50C4-6EA2-486DDB6D40BE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44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317500</xdr:colOff>
      <xdr:row>18</xdr:row>
      <xdr:rowOff>76200</xdr:rowOff>
    </xdr:to>
    <xdr:sp macro="" textlink="">
      <xdr:nvSpPr>
        <xdr:cNvPr id="1081" name="AutoShape 57" descr="note-add">
          <a:extLst>
            <a:ext uri="{FF2B5EF4-FFF2-40B4-BE49-F238E27FC236}">
              <a16:creationId xmlns:a16="http://schemas.microsoft.com/office/drawing/2014/main" id="{D3FC8E10-0B87-F70C-A5B9-1E8FC5823762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4686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17</xdr:row>
      <xdr:rowOff>0</xdr:rowOff>
    </xdr:from>
    <xdr:to>
      <xdr:col>21</xdr:col>
      <xdr:colOff>622300</xdr:colOff>
      <xdr:row>18</xdr:row>
      <xdr:rowOff>76200</xdr:rowOff>
    </xdr:to>
    <xdr:sp macro="" textlink="">
      <xdr:nvSpPr>
        <xdr:cNvPr id="1082" name="AutoShape 58" descr="alert toggle">
          <a:extLst>
            <a:ext uri="{FF2B5EF4-FFF2-40B4-BE49-F238E27FC236}">
              <a16:creationId xmlns:a16="http://schemas.microsoft.com/office/drawing/2014/main" id="{125D2F25-7D2E-3E42-A183-B8B718AF6E9E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46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317500</xdr:colOff>
      <xdr:row>19</xdr:row>
      <xdr:rowOff>76200</xdr:rowOff>
    </xdr:to>
    <xdr:sp macro="" textlink="">
      <xdr:nvSpPr>
        <xdr:cNvPr id="1085" name="AutoShape 61" descr="note-add">
          <a:extLst>
            <a:ext uri="{FF2B5EF4-FFF2-40B4-BE49-F238E27FC236}">
              <a16:creationId xmlns:a16="http://schemas.microsoft.com/office/drawing/2014/main" id="{ECB77BFE-92D6-6F5B-0F71-7BD1B24E1F7B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4965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18</xdr:row>
      <xdr:rowOff>0</xdr:rowOff>
    </xdr:from>
    <xdr:to>
      <xdr:col>21</xdr:col>
      <xdr:colOff>622300</xdr:colOff>
      <xdr:row>19</xdr:row>
      <xdr:rowOff>76200</xdr:rowOff>
    </xdr:to>
    <xdr:sp macro="" textlink="">
      <xdr:nvSpPr>
        <xdr:cNvPr id="1086" name="AutoShape 62" descr="alert toggle">
          <a:extLst>
            <a:ext uri="{FF2B5EF4-FFF2-40B4-BE49-F238E27FC236}">
              <a16:creationId xmlns:a16="http://schemas.microsoft.com/office/drawing/2014/main" id="{92F47819-177E-64C4-22E8-C43BB85B3581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49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317500</xdr:colOff>
      <xdr:row>20</xdr:row>
      <xdr:rowOff>76200</xdr:rowOff>
    </xdr:to>
    <xdr:sp macro="" textlink="">
      <xdr:nvSpPr>
        <xdr:cNvPr id="1089" name="AutoShape 65" descr="note-add">
          <a:extLst>
            <a:ext uri="{FF2B5EF4-FFF2-40B4-BE49-F238E27FC236}">
              <a16:creationId xmlns:a16="http://schemas.microsoft.com/office/drawing/2014/main" id="{BD08F2B9-C477-C438-1DCC-3E9B34170BE1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5245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19</xdr:row>
      <xdr:rowOff>0</xdr:rowOff>
    </xdr:from>
    <xdr:to>
      <xdr:col>21</xdr:col>
      <xdr:colOff>622300</xdr:colOff>
      <xdr:row>20</xdr:row>
      <xdr:rowOff>76200</xdr:rowOff>
    </xdr:to>
    <xdr:sp macro="" textlink="">
      <xdr:nvSpPr>
        <xdr:cNvPr id="1090" name="AutoShape 66" descr="alert toggle">
          <a:extLst>
            <a:ext uri="{FF2B5EF4-FFF2-40B4-BE49-F238E27FC236}">
              <a16:creationId xmlns:a16="http://schemas.microsoft.com/office/drawing/2014/main" id="{AFB4EC45-81A1-B000-3BD7-B789C271570A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5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317500</xdr:colOff>
      <xdr:row>21</xdr:row>
      <xdr:rowOff>76200</xdr:rowOff>
    </xdr:to>
    <xdr:sp macro="" textlink="">
      <xdr:nvSpPr>
        <xdr:cNvPr id="1093" name="AutoShape 69" descr="note-add">
          <a:extLst>
            <a:ext uri="{FF2B5EF4-FFF2-40B4-BE49-F238E27FC236}">
              <a16:creationId xmlns:a16="http://schemas.microsoft.com/office/drawing/2014/main" id="{2C8BB4EF-2578-C828-BC0E-1FFC304F4809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5524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20</xdr:row>
      <xdr:rowOff>0</xdr:rowOff>
    </xdr:from>
    <xdr:to>
      <xdr:col>21</xdr:col>
      <xdr:colOff>622300</xdr:colOff>
      <xdr:row>21</xdr:row>
      <xdr:rowOff>76200</xdr:rowOff>
    </xdr:to>
    <xdr:sp macro="" textlink="">
      <xdr:nvSpPr>
        <xdr:cNvPr id="1094" name="AutoShape 70" descr="alert toggle">
          <a:extLst>
            <a:ext uri="{FF2B5EF4-FFF2-40B4-BE49-F238E27FC236}">
              <a16:creationId xmlns:a16="http://schemas.microsoft.com/office/drawing/2014/main" id="{0C1BC60F-40AB-650A-BFA0-803C1B83A711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317500</xdr:colOff>
      <xdr:row>22</xdr:row>
      <xdr:rowOff>76200</xdr:rowOff>
    </xdr:to>
    <xdr:sp macro="" textlink="">
      <xdr:nvSpPr>
        <xdr:cNvPr id="1097" name="AutoShape 73" descr="note-add">
          <a:extLst>
            <a:ext uri="{FF2B5EF4-FFF2-40B4-BE49-F238E27FC236}">
              <a16:creationId xmlns:a16="http://schemas.microsoft.com/office/drawing/2014/main" id="{D2A6D7EF-29E4-6C3B-1764-43330903AF36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5803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21</xdr:col>
      <xdr:colOff>317500</xdr:colOff>
      <xdr:row>21</xdr:row>
      <xdr:rowOff>0</xdr:rowOff>
    </xdr:from>
    <xdr:to>
      <xdr:col>21</xdr:col>
      <xdr:colOff>622300</xdr:colOff>
      <xdr:row>22</xdr:row>
      <xdr:rowOff>76200</xdr:rowOff>
    </xdr:to>
    <xdr:sp macro="" textlink="">
      <xdr:nvSpPr>
        <xdr:cNvPr id="1098" name="AutoShape 74" descr="alert toggle">
          <a:extLst>
            <a:ext uri="{FF2B5EF4-FFF2-40B4-BE49-F238E27FC236}">
              <a16:creationId xmlns:a16="http://schemas.microsoft.com/office/drawing/2014/main" id="{0CAC4CDF-5DAD-A918-6099-E03AA6E037D9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58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3</xdr:row>
      <xdr:rowOff>0</xdr:rowOff>
    </xdr:from>
    <xdr:to>
      <xdr:col>20</xdr:col>
      <xdr:colOff>622300</xdr:colOff>
      <xdr:row>4</xdr:row>
      <xdr:rowOff>76200</xdr:rowOff>
    </xdr:to>
    <xdr:sp macro="" textlink="">
      <xdr:nvSpPr>
        <xdr:cNvPr id="1257" name="AutoShape 233" descr="alert toggle">
          <a:extLst>
            <a:ext uri="{FF2B5EF4-FFF2-40B4-BE49-F238E27FC236}">
              <a16:creationId xmlns:a16="http://schemas.microsoft.com/office/drawing/2014/main" id="{0C24AD26-6749-85AC-68BF-3F3ADD99B93A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77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4</xdr:row>
      <xdr:rowOff>0</xdr:rowOff>
    </xdr:from>
    <xdr:to>
      <xdr:col>20</xdr:col>
      <xdr:colOff>622300</xdr:colOff>
      <xdr:row>5</xdr:row>
      <xdr:rowOff>98099</xdr:rowOff>
    </xdr:to>
    <xdr:sp macro="" textlink="">
      <xdr:nvSpPr>
        <xdr:cNvPr id="1261" name="AutoShape 237" descr="alert toggle">
          <a:extLst>
            <a:ext uri="{FF2B5EF4-FFF2-40B4-BE49-F238E27FC236}">
              <a16:creationId xmlns:a16="http://schemas.microsoft.com/office/drawing/2014/main" id="{381F3C14-7F47-A8E8-B255-2BD131F2BBC8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1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7</xdr:row>
      <xdr:rowOff>0</xdr:rowOff>
    </xdr:from>
    <xdr:to>
      <xdr:col>20</xdr:col>
      <xdr:colOff>622300</xdr:colOff>
      <xdr:row>8</xdr:row>
      <xdr:rowOff>76200</xdr:rowOff>
    </xdr:to>
    <xdr:sp macro="" textlink="">
      <xdr:nvSpPr>
        <xdr:cNvPr id="1273" name="AutoShape 249" descr="alert toggle">
          <a:extLst>
            <a:ext uri="{FF2B5EF4-FFF2-40B4-BE49-F238E27FC236}">
              <a16:creationId xmlns:a16="http://schemas.microsoft.com/office/drawing/2014/main" id="{850548D1-FDAF-BF65-7293-C99BDE099317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8</xdr:row>
      <xdr:rowOff>0</xdr:rowOff>
    </xdr:from>
    <xdr:to>
      <xdr:col>20</xdr:col>
      <xdr:colOff>622300</xdr:colOff>
      <xdr:row>9</xdr:row>
      <xdr:rowOff>76200</xdr:rowOff>
    </xdr:to>
    <xdr:sp macro="" textlink="">
      <xdr:nvSpPr>
        <xdr:cNvPr id="1277" name="AutoShape 253" descr="alert toggle">
          <a:extLst>
            <a:ext uri="{FF2B5EF4-FFF2-40B4-BE49-F238E27FC236}">
              <a16:creationId xmlns:a16="http://schemas.microsoft.com/office/drawing/2014/main" id="{E04EE12F-50F0-1F58-A941-A6B3289505CC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</xdr:row>
      <xdr:rowOff>0</xdr:rowOff>
    </xdr:from>
    <xdr:to>
      <xdr:col>20</xdr:col>
      <xdr:colOff>622300</xdr:colOff>
      <xdr:row>11</xdr:row>
      <xdr:rowOff>76200</xdr:rowOff>
    </xdr:to>
    <xdr:sp macro="" textlink="">
      <xdr:nvSpPr>
        <xdr:cNvPr id="1281" name="AutoShape 257" descr="alert toggle">
          <a:extLst>
            <a:ext uri="{FF2B5EF4-FFF2-40B4-BE49-F238E27FC236}">
              <a16:creationId xmlns:a16="http://schemas.microsoft.com/office/drawing/2014/main" id="{70351B9E-5453-B7A7-3FE0-FCB3F9667194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27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11</xdr:row>
      <xdr:rowOff>0</xdr:rowOff>
    </xdr:from>
    <xdr:to>
      <xdr:col>20</xdr:col>
      <xdr:colOff>622300</xdr:colOff>
      <xdr:row>12</xdr:row>
      <xdr:rowOff>76200</xdr:rowOff>
    </xdr:to>
    <xdr:sp macro="" textlink="">
      <xdr:nvSpPr>
        <xdr:cNvPr id="1285" name="AutoShape 261" descr="alert toggle">
          <a:extLst>
            <a:ext uri="{FF2B5EF4-FFF2-40B4-BE49-F238E27FC236}">
              <a16:creationId xmlns:a16="http://schemas.microsoft.com/office/drawing/2014/main" id="{D7CA5E8D-B9CA-4543-DA28-D6370DCC4AB5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317500</xdr:colOff>
      <xdr:row>13</xdr:row>
      <xdr:rowOff>76200</xdr:rowOff>
    </xdr:to>
    <xdr:sp macro="" textlink="">
      <xdr:nvSpPr>
        <xdr:cNvPr id="1288" name="AutoShape 264" descr="note-add">
          <a:extLst>
            <a:ext uri="{FF2B5EF4-FFF2-40B4-BE49-F238E27FC236}">
              <a16:creationId xmlns:a16="http://schemas.microsoft.com/office/drawing/2014/main" id="{5F6D5EEB-454E-D6C3-D9DC-6846C3C24D6C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289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14</xdr:row>
      <xdr:rowOff>0</xdr:rowOff>
    </xdr:from>
    <xdr:to>
      <xdr:col>20</xdr:col>
      <xdr:colOff>622300</xdr:colOff>
      <xdr:row>15</xdr:row>
      <xdr:rowOff>76200</xdr:rowOff>
    </xdr:to>
    <xdr:sp macro="" textlink="">
      <xdr:nvSpPr>
        <xdr:cNvPr id="1297" name="AutoShape 273" descr="alert toggle">
          <a:extLst>
            <a:ext uri="{FF2B5EF4-FFF2-40B4-BE49-F238E27FC236}">
              <a16:creationId xmlns:a16="http://schemas.microsoft.com/office/drawing/2014/main" id="{9A2AE5A8-4CD2-452E-1978-F3DE4A9E5CBC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16</xdr:row>
      <xdr:rowOff>0</xdr:rowOff>
    </xdr:from>
    <xdr:to>
      <xdr:col>20</xdr:col>
      <xdr:colOff>622300</xdr:colOff>
      <xdr:row>17</xdr:row>
      <xdr:rowOff>76200</xdr:rowOff>
    </xdr:to>
    <xdr:sp macro="" textlink="">
      <xdr:nvSpPr>
        <xdr:cNvPr id="1305" name="AutoShape 281" descr="alert toggle">
          <a:extLst>
            <a:ext uri="{FF2B5EF4-FFF2-40B4-BE49-F238E27FC236}">
              <a16:creationId xmlns:a16="http://schemas.microsoft.com/office/drawing/2014/main" id="{984F6E8F-8F68-D7D4-FE2F-A06F7857C2B3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44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317500</xdr:colOff>
      <xdr:row>18</xdr:row>
      <xdr:rowOff>76200</xdr:rowOff>
    </xdr:to>
    <xdr:sp macro="" textlink="">
      <xdr:nvSpPr>
        <xdr:cNvPr id="1308" name="AutoShape 284" descr="note-add">
          <a:extLst>
            <a:ext uri="{FF2B5EF4-FFF2-40B4-BE49-F238E27FC236}">
              <a16:creationId xmlns:a16="http://schemas.microsoft.com/office/drawing/2014/main" id="{46CBD208-6A01-D155-C5C4-92BF5EDB6CAF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4686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17</xdr:row>
      <xdr:rowOff>0</xdr:rowOff>
    </xdr:from>
    <xdr:to>
      <xdr:col>20</xdr:col>
      <xdr:colOff>622300</xdr:colOff>
      <xdr:row>18</xdr:row>
      <xdr:rowOff>76200</xdr:rowOff>
    </xdr:to>
    <xdr:sp macro="" textlink="">
      <xdr:nvSpPr>
        <xdr:cNvPr id="1309" name="AutoShape 285" descr="alert toggle">
          <a:extLst>
            <a:ext uri="{FF2B5EF4-FFF2-40B4-BE49-F238E27FC236}">
              <a16:creationId xmlns:a16="http://schemas.microsoft.com/office/drawing/2014/main" id="{7DDF1C8F-0147-8CE1-1AC8-83A52C06A92F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46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317500</xdr:colOff>
      <xdr:row>19</xdr:row>
      <xdr:rowOff>76200</xdr:rowOff>
    </xdr:to>
    <xdr:sp macro="" textlink="">
      <xdr:nvSpPr>
        <xdr:cNvPr id="1312" name="AutoShape 288" descr="note-add">
          <a:extLst>
            <a:ext uri="{FF2B5EF4-FFF2-40B4-BE49-F238E27FC236}">
              <a16:creationId xmlns:a16="http://schemas.microsoft.com/office/drawing/2014/main" id="{5DE9EB94-073F-03D5-B51C-A764A9AEAF2D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4965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18</xdr:row>
      <xdr:rowOff>0</xdr:rowOff>
    </xdr:from>
    <xdr:to>
      <xdr:col>20</xdr:col>
      <xdr:colOff>622300</xdr:colOff>
      <xdr:row>19</xdr:row>
      <xdr:rowOff>76200</xdr:rowOff>
    </xdr:to>
    <xdr:sp macro="" textlink="">
      <xdr:nvSpPr>
        <xdr:cNvPr id="1313" name="AutoShape 289" descr="alert toggle">
          <a:extLst>
            <a:ext uri="{FF2B5EF4-FFF2-40B4-BE49-F238E27FC236}">
              <a16:creationId xmlns:a16="http://schemas.microsoft.com/office/drawing/2014/main" id="{D358EA4C-E7E4-4250-98B8-77DAB27ACF27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49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19</xdr:row>
      <xdr:rowOff>0</xdr:rowOff>
    </xdr:from>
    <xdr:to>
      <xdr:col>20</xdr:col>
      <xdr:colOff>622300</xdr:colOff>
      <xdr:row>20</xdr:row>
      <xdr:rowOff>76200</xdr:rowOff>
    </xdr:to>
    <xdr:sp macro="" textlink="">
      <xdr:nvSpPr>
        <xdr:cNvPr id="1317" name="AutoShape 293" descr="alert toggle">
          <a:extLst>
            <a:ext uri="{FF2B5EF4-FFF2-40B4-BE49-F238E27FC236}">
              <a16:creationId xmlns:a16="http://schemas.microsoft.com/office/drawing/2014/main" id="{C280D12D-2E32-199E-CF72-7DE5DF106E5C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5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317500</xdr:colOff>
      <xdr:row>21</xdr:row>
      <xdr:rowOff>76200</xdr:rowOff>
    </xdr:to>
    <xdr:sp macro="" textlink="">
      <xdr:nvSpPr>
        <xdr:cNvPr id="1320" name="AutoShape 296" descr="note-add">
          <a:extLst>
            <a:ext uri="{FF2B5EF4-FFF2-40B4-BE49-F238E27FC236}">
              <a16:creationId xmlns:a16="http://schemas.microsoft.com/office/drawing/2014/main" id="{87BC006F-0DCC-FFF3-DEEB-26C932AC50E5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5524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317500</xdr:colOff>
      <xdr:row>22</xdr:row>
      <xdr:rowOff>76200</xdr:rowOff>
    </xdr:to>
    <xdr:sp macro="" textlink="">
      <xdr:nvSpPr>
        <xdr:cNvPr id="1324" name="AutoShape 300" descr="note-add">
          <a:extLst>
            <a:ext uri="{FF2B5EF4-FFF2-40B4-BE49-F238E27FC236}">
              <a16:creationId xmlns:a16="http://schemas.microsoft.com/office/drawing/2014/main" id="{FB7695EF-7180-71FC-E59C-8502DAB316DB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5803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21</xdr:row>
      <xdr:rowOff>0</xdr:rowOff>
    </xdr:from>
    <xdr:to>
      <xdr:col>20</xdr:col>
      <xdr:colOff>622300</xdr:colOff>
      <xdr:row>22</xdr:row>
      <xdr:rowOff>76200</xdr:rowOff>
    </xdr:to>
    <xdr:sp macro="" textlink="">
      <xdr:nvSpPr>
        <xdr:cNvPr id="1325" name="AutoShape 301" descr="alert toggle">
          <a:extLst>
            <a:ext uri="{FF2B5EF4-FFF2-40B4-BE49-F238E27FC236}">
              <a16:creationId xmlns:a16="http://schemas.microsoft.com/office/drawing/2014/main" id="{23110C66-3D89-3F2F-7DD6-D502C53A4ED0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58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317500</xdr:colOff>
      <xdr:row>23</xdr:row>
      <xdr:rowOff>101601</xdr:rowOff>
    </xdr:to>
    <xdr:sp macro="" textlink="">
      <xdr:nvSpPr>
        <xdr:cNvPr id="1328" name="AutoShape 304" descr="note-add">
          <a:extLst>
            <a:ext uri="{FF2B5EF4-FFF2-40B4-BE49-F238E27FC236}">
              <a16:creationId xmlns:a16="http://schemas.microsoft.com/office/drawing/2014/main" id="{7E21AFE5-B4E5-4D30-4CDE-D5D0BA33D644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6083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355</xdr:row>
      <xdr:rowOff>0</xdr:rowOff>
    </xdr:from>
    <xdr:ext cx="317500" cy="279400"/>
    <xdr:sp macro="" textlink="">
      <xdr:nvSpPr>
        <xdr:cNvPr id="1488" name="AutoShape 464" descr="note-add">
          <a:extLst>
            <a:ext uri="{FF2B5EF4-FFF2-40B4-BE49-F238E27FC236}">
              <a16:creationId xmlns:a16="http://schemas.microsoft.com/office/drawing/2014/main" id="{1890A495-7D42-3AFD-556D-748E539386B6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4953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355</xdr:row>
      <xdr:rowOff>0</xdr:rowOff>
    </xdr:from>
    <xdr:ext cx="304800" cy="279400"/>
    <xdr:sp macro="" textlink="">
      <xdr:nvSpPr>
        <xdr:cNvPr id="1489" name="AutoShape 465" descr="alert toggle">
          <a:extLst>
            <a:ext uri="{FF2B5EF4-FFF2-40B4-BE49-F238E27FC236}">
              <a16:creationId xmlns:a16="http://schemas.microsoft.com/office/drawing/2014/main" id="{C1E2CC27-565C-B1AB-FB69-9262D30A35A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49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356</xdr:row>
      <xdr:rowOff>0</xdr:rowOff>
    </xdr:from>
    <xdr:ext cx="317500" cy="279400"/>
    <xdr:sp macro="" textlink="">
      <xdr:nvSpPr>
        <xdr:cNvPr id="1490" name="AutoShape 466" descr="note-add">
          <a:extLst>
            <a:ext uri="{FF2B5EF4-FFF2-40B4-BE49-F238E27FC236}">
              <a16:creationId xmlns:a16="http://schemas.microsoft.com/office/drawing/2014/main" id="{BDA2CB37-CCE7-9F60-88AC-E451AC3A4B7B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774700"/>
          <a:ext cx="3175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356</xdr:row>
      <xdr:rowOff>0</xdr:rowOff>
    </xdr:from>
    <xdr:ext cx="304800" cy="279400"/>
    <xdr:sp macro="" textlink="">
      <xdr:nvSpPr>
        <xdr:cNvPr id="1491" name="AutoShape 467" descr="alert toggle">
          <a:extLst>
            <a:ext uri="{FF2B5EF4-FFF2-40B4-BE49-F238E27FC236}">
              <a16:creationId xmlns:a16="http://schemas.microsoft.com/office/drawing/2014/main" id="{1FF659E7-D5A6-6F89-420F-1908F83A781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357</xdr:row>
      <xdr:rowOff>0</xdr:rowOff>
    </xdr:from>
    <xdr:ext cx="317500" cy="301299"/>
    <xdr:sp macro="" textlink="">
      <xdr:nvSpPr>
        <xdr:cNvPr id="1492" name="AutoShape 468" descr="note-add">
          <a:extLst>
            <a:ext uri="{FF2B5EF4-FFF2-40B4-BE49-F238E27FC236}">
              <a16:creationId xmlns:a16="http://schemas.microsoft.com/office/drawing/2014/main" id="{63306128-A768-3EE6-0BC3-A71149995893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054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357</xdr:row>
      <xdr:rowOff>0</xdr:rowOff>
    </xdr:from>
    <xdr:ext cx="304800" cy="301299"/>
    <xdr:sp macro="" textlink="">
      <xdr:nvSpPr>
        <xdr:cNvPr id="1493" name="AutoShape 469" descr="alert toggle">
          <a:extLst>
            <a:ext uri="{FF2B5EF4-FFF2-40B4-BE49-F238E27FC236}">
              <a16:creationId xmlns:a16="http://schemas.microsoft.com/office/drawing/2014/main" id="{1E1F2BB3-ECB6-8A1C-1BE9-6A9E25958C1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358</xdr:row>
      <xdr:rowOff>0</xdr:rowOff>
    </xdr:from>
    <xdr:ext cx="317500" cy="279400"/>
    <xdr:sp macro="" textlink="">
      <xdr:nvSpPr>
        <xdr:cNvPr id="1494" name="AutoShape 470" descr="note-add">
          <a:extLst>
            <a:ext uri="{FF2B5EF4-FFF2-40B4-BE49-F238E27FC236}">
              <a16:creationId xmlns:a16="http://schemas.microsoft.com/office/drawing/2014/main" id="{86358AFF-7C87-CAC3-2AA1-FE078F303E9C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333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358</xdr:row>
      <xdr:rowOff>0</xdr:rowOff>
    </xdr:from>
    <xdr:ext cx="304800" cy="279400"/>
    <xdr:sp macro="" textlink="">
      <xdr:nvSpPr>
        <xdr:cNvPr id="1495" name="AutoShape 471" descr="alert toggle">
          <a:extLst>
            <a:ext uri="{FF2B5EF4-FFF2-40B4-BE49-F238E27FC236}">
              <a16:creationId xmlns:a16="http://schemas.microsoft.com/office/drawing/2014/main" id="{6D4FF7A8-DCF7-46B2-2510-1735914491D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359</xdr:row>
      <xdr:rowOff>0</xdr:rowOff>
    </xdr:from>
    <xdr:ext cx="317500" cy="279400"/>
    <xdr:sp macro="" textlink="">
      <xdr:nvSpPr>
        <xdr:cNvPr id="1496" name="AutoShape 472" descr="note-add">
          <a:extLst>
            <a:ext uri="{FF2B5EF4-FFF2-40B4-BE49-F238E27FC236}">
              <a16:creationId xmlns:a16="http://schemas.microsoft.com/office/drawing/2014/main" id="{1B8A511C-F1E7-9114-E9A0-A73A5E7A3524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12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359</xdr:row>
      <xdr:rowOff>0</xdr:rowOff>
    </xdr:from>
    <xdr:ext cx="304800" cy="279400"/>
    <xdr:sp macro="" textlink="">
      <xdr:nvSpPr>
        <xdr:cNvPr id="1497" name="AutoShape 473" descr="alert toggle">
          <a:extLst>
            <a:ext uri="{FF2B5EF4-FFF2-40B4-BE49-F238E27FC236}">
              <a16:creationId xmlns:a16="http://schemas.microsoft.com/office/drawing/2014/main" id="{C75EB140-F180-C9E7-BF53-18F941FA7B4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6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361</xdr:row>
      <xdr:rowOff>0</xdr:rowOff>
    </xdr:from>
    <xdr:ext cx="317500" cy="279400"/>
    <xdr:sp macro="" textlink="">
      <xdr:nvSpPr>
        <xdr:cNvPr id="1498" name="AutoShape 474" descr="note-add">
          <a:extLst>
            <a:ext uri="{FF2B5EF4-FFF2-40B4-BE49-F238E27FC236}">
              <a16:creationId xmlns:a16="http://schemas.microsoft.com/office/drawing/2014/main" id="{34CBE864-2D1A-375A-F90B-44270B7184BA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171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361</xdr:row>
      <xdr:rowOff>0</xdr:rowOff>
    </xdr:from>
    <xdr:ext cx="304800" cy="279400"/>
    <xdr:sp macro="" textlink="">
      <xdr:nvSpPr>
        <xdr:cNvPr id="1499" name="AutoShape 475" descr="alert toggle">
          <a:extLst>
            <a:ext uri="{FF2B5EF4-FFF2-40B4-BE49-F238E27FC236}">
              <a16:creationId xmlns:a16="http://schemas.microsoft.com/office/drawing/2014/main" id="{C31C45F2-6434-6B77-15E8-A6D827A368B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363</xdr:row>
      <xdr:rowOff>0</xdr:rowOff>
    </xdr:from>
    <xdr:ext cx="317500" cy="279400"/>
    <xdr:sp macro="" textlink="">
      <xdr:nvSpPr>
        <xdr:cNvPr id="1500" name="AutoShape 476" descr="note-add">
          <a:extLst>
            <a:ext uri="{FF2B5EF4-FFF2-40B4-BE49-F238E27FC236}">
              <a16:creationId xmlns:a16="http://schemas.microsoft.com/office/drawing/2014/main" id="{90549A2B-C9B9-FC0E-9404-839F08B38E82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730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363</xdr:row>
      <xdr:rowOff>0</xdr:rowOff>
    </xdr:from>
    <xdr:ext cx="304800" cy="279400"/>
    <xdr:sp macro="" textlink="">
      <xdr:nvSpPr>
        <xdr:cNvPr id="1501" name="AutoShape 477" descr="alert toggle">
          <a:extLst>
            <a:ext uri="{FF2B5EF4-FFF2-40B4-BE49-F238E27FC236}">
              <a16:creationId xmlns:a16="http://schemas.microsoft.com/office/drawing/2014/main" id="{935F9A60-F0A6-12F9-C6AB-9311084FC97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7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364</xdr:row>
      <xdr:rowOff>0</xdr:rowOff>
    </xdr:from>
    <xdr:ext cx="317500" cy="279400"/>
    <xdr:sp macro="" textlink="">
      <xdr:nvSpPr>
        <xdr:cNvPr id="1502" name="AutoShape 478" descr="note-add">
          <a:extLst>
            <a:ext uri="{FF2B5EF4-FFF2-40B4-BE49-F238E27FC236}">
              <a16:creationId xmlns:a16="http://schemas.microsoft.com/office/drawing/2014/main" id="{2EAA6E11-F4C2-C58F-14C0-DC2869826565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3009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365</xdr:row>
      <xdr:rowOff>0</xdr:rowOff>
    </xdr:from>
    <xdr:ext cx="317500" cy="279400"/>
    <xdr:sp macro="" textlink="">
      <xdr:nvSpPr>
        <xdr:cNvPr id="1504" name="AutoShape 480" descr="note-add">
          <a:extLst>
            <a:ext uri="{FF2B5EF4-FFF2-40B4-BE49-F238E27FC236}">
              <a16:creationId xmlns:a16="http://schemas.microsoft.com/office/drawing/2014/main" id="{F37E0119-7B43-1AD6-5FE0-2603B5076A2E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3289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365</xdr:row>
      <xdr:rowOff>0</xdr:rowOff>
    </xdr:from>
    <xdr:ext cx="304800" cy="279400"/>
    <xdr:sp macro="" textlink="">
      <xdr:nvSpPr>
        <xdr:cNvPr id="1505" name="AutoShape 481" descr="alert toggle">
          <a:extLst>
            <a:ext uri="{FF2B5EF4-FFF2-40B4-BE49-F238E27FC236}">
              <a16:creationId xmlns:a16="http://schemas.microsoft.com/office/drawing/2014/main" id="{2D7C7353-9576-44F1-9048-D7D5D54F0FD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3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366</xdr:row>
      <xdr:rowOff>0</xdr:rowOff>
    </xdr:from>
    <xdr:ext cx="317500" cy="279400"/>
    <xdr:sp macro="" textlink="">
      <xdr:nvSpPr>
        <xdr:cNvPr id="1506" name="AutoShape 482" descr="note-add">
          <a:extLst>
            <a:ext uri="{FF2B5EF4-FFF2-40B4-BE49-F238E27FC236}">
              <a16:creationId xmlns:a16="http://schemas.microsoft.com/office/drawing/2014/main" id="{874D78AB-7617-453E-11CF-628A26FC7525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3568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366</xdr:row>
      <xdr:rowOff>0</xdr:rowOff>
    </xdr:from>
    <xdr:ext cx="304800" cy="279400"/>
    <xdr:sp macro="" textlink="">
      <xdr:nvSpPr>
        <xdr:cNvPr id="1507" name="AutoShape 483" descr="alert toggle">
          <a:extLst>
            <a:ext uri="{FF2B5EF4-FFF2-40B4-BE49-F238E27FC236}">
              <a16:creationId xmlns:a16="http://schemas.microsoft.com/office/drawing/2014/main" id="{D4DB042E-FEFC-B188-FFBD-A54AFE53107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3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367</xdr:row>
      <xdr:rowOff>0</xdr:rowOff>
    </xdr:from>
    <xdr:ext cx="317500" cy="279400"/>
    <xdr:sp macro="" textlink="">
      <xdr:nvSpPr>
        <xdr:cNvPr id="1508" name="AutoShape 484" descr="note-add">
          <a:extLst>
            <a:ext uri="{FF2B5EF4-FFF2-40B4-BE49-F238E27FC236}">
              <a16:creationId xmlns:a16="http://schemas.microsoft.com/office/drawing/2014/main" id="{78A994EC-0C57-9756-E277-7063C4501E7D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3848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367</xdr:row>
      <xdr:rowOff>0</xdr:rowOff>
    </xdr:from>
    <xdr:ext cx="304800" cy="279400"/>
    <xdr:sp macro="" textlink="">
      <xdr:nvSpPr>
        <xdr:cNvPr id="1509" name="AutoShape 485" descr="alert toggle">
          <a:extLst>
            <a:ext uri="{FF2B5EF4-FFF2-40B4-BE49-F238E27FC236}">
              <a16:creationId xmlns:a16="http://schemas.microsoft.com/office/drawing/2014/main" id="{9C62C9F5-7088-EBAF-7572-B3F34C8BB3D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368</xdr:row>
      <xdr:rowOff>0</xdr:rowOff>
    </xdr:from>
    <xdr:ext cx="317500" cy="279400"/>
    <xdr:sp macro="" textlink="">
      <xdr:nvSpPr>
        <xdr:cNvPr id="1510" name="AutoShape 486" descr="note-add">
          <a:extLst>
            <a:ext uri="{FF2B5EF4-FFF2-40B4-BE49-F238E27FC236}">
              <a16:creationId xmlns:a16="http://schemas.microsoft.com/office/drawing/2014/main" id="{777FBC3D-9C33-4D87-1F9D-A819035108B0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4127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368</xdr:row>
      <xdr:rowOff>0</xdr:rowOff>
    </xdr:from>
    <xdr:ext cx="304800" cy="279400"/>
    <xdr:sp macro="" textlink="">
      <xdr:nvSpPr>
        <xdr:cNvPr id="1511" name="AutoShape 487" descr="alert toggle">
          <a:extLst>
            <a:ext uri="{FF2B5EF4-FFF2-40B4-BE49-F238E27FC236}">
              <a16:creationId xmlns:a16="http://schemas.microsoft.com/office/drawing/2014/main" id="{EF342518-611E-DF39-09CA-F29183EEB88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41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369</xdr:row>
      <xdr:rowOff>0</xdr:rowOff>
    </xdr:from>
    <xdr:ext cx="317500" cy="279400"/>
    <xdr:sp macro="" textlink="">
      <xdr:nvSpPr>
        <xdr:cNvPr id="1512" name="AutoShape 488" descr="note-add">
          <a:extLst>
            <a:ext uri="{FF2B5EF4-FFF2-40B4-BE49-F238E27FC236}">
              <a16:creationId xmlns:a16="http://schemas.microsoft.com/office/drawing/2014/main" id="{E35C8716-7F82-19B7-F764-5D0D59A2A228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4406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369</xdr:row>
      <xdr:rowOff>0</xdr:rowOff>
    </xdr:from>
    <xdr:ext cx="304800" cy="279400"/>
    <xdr:sp macro="" textlink="">
      <xdr:nvSpPr>
        <xdr:cNvPr id="1513" name="AutoShape 489" descr="alert toggle">
          <a:extLst>
            <a:ext uri="{FF2B5EF4-FFF2-40B4-BE49-F238E27FC236}">
              <a16:creationId xmlns:a16="http://schemas.microsoft.com/office/drawing/2014/main" id="{3CAF4DF6-6959-4BC3-054F-13F7878268E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44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370</xdr:row>
      <xdr:rowOff>0</xdr:rowOff>
    </xdr:from>
    <xdr:ext cx="317500" cy="279400"/>
    <xdr:sp macro="" textlink="">
      <xdr:nvSpPr>
        <xdr:cNvPr id="1514" name="AutoShape 490" descr="note-add">
          <a:extLst>
            <a:ext uri="{FF2B5EF4-FFF2-40B4-BE49-F238E27FC236}">
              <a16:creationId xmlns:a16="http://schemas.microsoft.com/office/drawing/2014/main" id="{88D78C4E-9FE6-5266-94F7-BDE016BF98ED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46863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370</xdr:row>
      <xdr:rowOff>0</xdr:rowOff>
    </xdr:from>
    <xdr:ext cx="304800" cy="279400"/>
    <xdr:sp macro="" textlink="">
      <xdr:nvSpPr>
        <xdr:cNvPr id="1515" name="AutoShape 491" descr="alert toggle">
          <a:extLst>
            <a:ext uri="{FF2B5EF4-FFF2-40B4-BE49-F238E27FC236}">
              <a16:creationId xmlns:a16="http://schemas.microsoft.com/office/drawing/2014/main" id="{E1CB48FB-0D88-32FB-3C7B-6C4D04313F4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46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371</xdr:row>
      <xdr:rowOff>0</xdr:rowOff>
    </xdr:from>
    <xdr:ext cx="317500" cy="279400"/>
    <xdr:sp macro="" textlink="">
      <xdr:nvSpPr>
        <xdr:cNvPr id="1516" name="AutoShape 492" descr="note-add">
          <a:extLst>
            <a:ext uri="{FF2B5EF4-FFF2-40B4-BE49-F238E27FC236}">
              <a16:creationId xmlns:a16="http://schemas.microsoft.com/office/drawing/2014/main" id="{6490D6CF-CEF9-5898-4380-812763A9CCE8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4965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371</xdr:row>
      <xdr:rowOff>0</xdr:rowOff>
    </xdr:from>
    <xdr:ext cx="304800" cy="279400"/>
    <xdr:sp macro="" textlink="">
      <xdr:nvSpPr>
        <xdr:cNvPr id="1517" name="AutoShape 493" descr="alert toggle">
          <a:extLst>
            <a:ext uri="{FF2B5EF4-FFF2-40B4-BE49-F238E27FC236}">
              <a16:creationId xmlns:a16="http://schemas.microsoft.com/office/drawing/2014/main" id="{88FC1529-6166-3B64-B812-68502C22692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49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372</xdr:row>
      <xdr:rowOff>0</xdr:rowOff>
    </xdr:from>
    <xdr:ext cx="317500" cy="279400"/>
    <xdr:sp macro="" textlink="">
      <xdr:nvSpPr>
        <xdr:cNvPr id="1518" name="AutoShape 494" descr="note-add">
          <a:extLst>
            <a:ext uri="{FF2B5EF4-FFF2-40B4-BE49-F238E27FC236}">
              <a16:creationId xmlns:a16="http://schemas.microsoft.com/office/drawing/2014/main" id="{34FB3337-1F7F-4D64-0211-49E3205C3841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52451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372</xdr:row>
      <xdr:rowOff>0</xdr:rowOff>
    </xdr:from>
    <xdr:ext cx="304800" cy="279400"/>
    <xdr:sp macro="" textlink="">
      <xdr:nvSpPr>
        <xdr:cNvPr id="1519" name="AutoShape 495" descr="alert toggle">
          <a:extLst>
            <a:ext uri="{FF2B5EF4-FFF2-40B4-BE49-F238E27FC236}">
              <a16:creationId xmlns:a16="http://schemas.microsoft.com/office/drawing/2014/main" id="{0184E4D7-C665-3A47-D31D-728947837F5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373</xdr:row>
      <xdr:rowOff>0</xdr:rowOff>
    </xdr:from>
    <xdr:ext cx="317500" cy="279400"/>
    <xdr:sp macro="" textlink="">
      <xdr:nvSpPr>
        <xdr:cNvPr id="1520" name="AutoShape 496" descr="note-add">
          <a:extLst>
            <a:ext uri="{FF2B5EF4-FFF2-40B4-BE49-F238E27FC236}">
              <a16:creationId xmlns:a16="http://schemas.microsoft.com/office/drawing/2014/main" id="{E47BF829-1233-EC65-99A8-91683235BD74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55245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373</xdr:row>
      <xdr:rowOff>0</xdr:rowOff>
    </xdr:from>
    <xdr:ext cx="304800" cy="279400"/>
    <xdr:sp macro="" textlink="">
      <xdr:nvSpPr>
        <xdr:cNvPr id="1521" name="AutoShape 497" descr="alert toggle">
          <a:extLst>
            <a:ext uri="{FF2B5EF4-FFF2-40B4-BE49-F238E27FC236}">
              <a16:creationId xmlns:a16="http://schemas.microsoft.com/office/drawing/2014/main" id="{0F0C798C-3BC9-7B4E-DE31-601ACBBE3621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330</xdr:row>
      <xdr:rowOff>0</xdr:rowOff>
    </xdr:from>
    <xdr:ext cx="317500" cy="304800"/>
    <xdr:sp macro="" textlink="">
      <xdr:nvSpPr>
        <xdr:cNvPr id="1522" name="AutoShape 498" descr="note-add">
          <a:extLst>
            <a:ext uri="{FF2B5EF4-FFF2-40B4-BE49-F238E27FC236}">
              <a16:creationId xmlns:a16="http://schemas.microsoft.com/office/drawing/2014/main" id="{CCCFCBDB-4643-0D2F-E0DC-BB3059B61DC8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58039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330</xdr:row>
      <xdr:rowOff>0</xdr:rowOff>
    </xdr:from>
    <xdr:ext cx="304800" cy="304800"/>
    <xdr:sp macro="" textlink="">
      <xdr:nvSpPr>
        <xdr:cNvPr id="1523" name="AutoShape 499" descr="alert toggle">
          <a:extLst>
            <a:ext uri="{FF2B5EF4-FFF2-40B4-BE49-F238E27FC236}">
              <a16:creationId xmlns:a16="http://schemas.microsoft.com/office/drawing/2014/main" id="{85C73DC9-D71B-0DEE-74A8-80B2C4E5DA2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58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361</xdr:row>
      <xdr:rowOff>0</xdr:rowOff>
    </xdr:from>
    <xdr:ext cx="317500" cy="279400"/>
    <xdr:sp macro="" textlink="">
      <xdr:nvSpPr>
        <xdr:cNvPr id="1524" name="AutoShape 500" descr="note-add">
          <a:extLst>
            <a:ext uri="{FF2B5EF4-FFF2-40B4-BE49-F238E27FC236}">
              <a16:creationId xmlns:a16="http://schemas.microsoft.com/office/drawing/2014/main" id="{9804F513-51E6-557E-40D1-F158F16FDD9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2171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361</xdr:row>
      <xdr:rowOff>0</xdr:rowOff>
    </xdr:from>
    <xdr:ext cx="317500" cy="279400"/>
    <xdr:sp macro="" textlink="">
      <xdr:nvSpPr>
        <xdr:cNvPr id="1526" name="AutoShape 502" descr="note-add">
          <a:extLst>
            <a:ext uri="{FF2B5EF4-FFF2-40B4-BE49-F238E27FC236}">
              <a16:creationId xmlns:a16="http://schemas.microsoft.com/office/drawing/2014/main" id="{F37594A2-EDAE-FEDF-C3C8-8951B86FF6A8}"/>
            </a:ext>
          </a:extLst>
        </xdr:cNvPr>
        <xdr:cNvSpPr>
          <a:spLocks noChangeAspect="1" noChangeArrowheads="1"/>
        </xdr:cNvSpPr>
      </xdr:nvSpPr>
      <xdr:spPr bwMode="auto">
        <a:xfrm>
          <a:off x="16256000" y="2171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361</xdr:row>
      <xdr:rowOff>0</xdr:rowOff>
    </xdr:from>
    <xdr:ext cx="317500" cy="279400"/>
    <xdr:sp macro="" textlink="">
      <xdr:nvSpPr>
        <xdr:cNvPr id="1530" name="AutoShape 506" descr="note-add">
          <a:extLst>
            <a:ext uri="{FF2B5EF4-FFF2-40B4-BE49-F238E27FC236}">
              <a16:creationId xmlns:a16="http://schemas.microsoft.com/office/drawing/2014/main" id="{1BD4E4A0-0619-F2F5-C25D-ECCBA441D892}"/>
            </a:ext>
          </a:extLst>
        </xdr:cNvPr>
        <xdr:cNvSpPr>
          <a:spLocks noChangeAspect="1" noChangeArrowheads="1"/>
        </xdr:cNvSpPr>
      </xdr:nvSpPr>
      <xdr:spPr bwMode="auto">
        <a:xfrm>
          <a:off x="9283700" y="2171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361</xdr:row>
      <xdr:rowOff>0</xdr:rowOff>
    </xdr:from>
    <xdr:ext cx="292100" cy="279400"/>
    <xdr:sp macro="" textlink="">
      <xdr:nvSpPr>
        <xdr:cNvPr id="1531" name="AutoShape 507" descr="alert toggle">
          <a:extLst>
            <a:ext uri="{FF2B5EF4-FFF2-40B4-BE49-F238E27FC236}">
              <a16:creationId xmlns:a16="http://schemas.microsoft.com/office/drawing/2014/main" id="{3293DC5F-44A6-1DDB-A10F-D155D6EFB40C}"/>
            </a:ext>
          </a:extLst>
        </xdr:cNvPr>
        <xdr:cNvSpPr>
          <a:spLocks noChangeAspect="1" noChangeArrowheads="1"/>
        </xdr:cNvSpPr>
      </xdr:nvSpPr>
      <xdr:spPr bwMode="auto">
        <a:xfrm>
          <a:off x="9601200" y="2171700"/>
          <a:ext cx="292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361</xdr:row>
      <xdr:rowOff>0</xdr:rowOff>
    </xdr:from>
    <xdr:ext cx="317500" cy="279400"/>
    <xdr:sp macro="" textlink="">
      <xdr:nvSpPr>
        <xdr:cNvPr id="1532" name="AutoShape 508" descr="note-add">
          <a:extLst>
            <a:ext uri="{FF2B5EF4-FFF2-40B4-BE49-F238E27FC236}">
              <a16:creationId xmlns:a16="http://schemas.microsoft.com/office/drawing/2014/main" id="{56E0B3BF-6249-B123-49AB-9CD819AC6573}"/>
            </a:ext>
          </a:extLst>
        </xdr:cNvPr>
        <xdr:cNvSpPr>
          <a:spLocks noChangeAspect="1" noChangeArrowheads="1"/>
        </xdr:cNvSpPr>
      </xdr:nvSpPr>
      <xdr:spPr bwMode="auto">
        <a:xfrm>
          <a:off x="18783300" y="2171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361</xdr:row>
      <xdr:rowOff>0</xdr:rowOff>
    </xdr:from>
    <xdr:ext cx="304800" cy="279400"/>
    <xdr:sp macro="" textlink="">
      <xdr:nvSpPr>
        <xdr:cNvPr id="1533" name="AutoShape 509" descr="alert toggle">
          <a:extLst>
            <a:ext uri="{FF2B5EF4-FFF2-40B4-BE49-F238E27FC236}">
              <a16:creationId xmlns:a16="http://schemas.microsoft.com/office/drawing/2014/main" id="{0B6AF13E-BA18-61A6-180F-20D53059B53F}"/>
            </a:ext>
          </a:extLst>
        </xdr:cNvPr>
        <xdr:cNvSpPr>
          <a:spLocks noChangeAspect="1" noChangeArrowheads="1"/>
        </xdr:cNvSpPr>
      </xdr:nvSpPr>
      <xdr:spPr bwMode="auto">
        <a:xfrm>
          <a:off x="191008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361</xdr:row>
      <xdr:rowOff>0</xdr:rowOff>
    </xdr:from>
    <xdr:ext cx="317500" cy="279400"/>
    <xdr:sp macro="" textlink="">
      <xdr:nvSpPr>
        <xdr:cNvPr id="1534" name="AutoShape 510" descr="note-add">
          <a:extLst>
            <a:ext uri="{FF2B5EF4-FFF2-40B4-BE49-F238E27FC236}">
              <a16:creationId xmlns:a16="http://schemas.microsoft.com/office/drawing/2014/main" id="{9171CCC6-9021-1B31-52B2-D71135315491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2171700"/>
          <a:ext cx="3175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192</xdr:row>
      <xdr:rowOff>0</xdr:rowOff>
    </xdr:from>
    <xdr:ext cx="304800" cy="304800"/>
    <xdr:sp macro="" textlink="">
      <xdr:nvSpPr>
        <xdr:cNvPr id="1604" name="AutoShape 580" descr="note-add">
          <a:extLst>
            <a:ext uri="{FF2B5EF4-FFF2-40B4-BE49-F238E27FC236}">
              <a16:creationId xmlns:a16="http://schemas.microsoft.com/office/drawing/2014/main" id="{F3F13490-43AC-8C94-8A2D-83C61D2612F7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56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192</xdr:row>
      <xdr:rowOff>0</xdr:rowOff>
    </xdr:from>
    <xdr:ext cx="304800" cy="304800"/>
    <xdr:sp macro="" textlink="">
      <xdr:nvSpPr>
        <xdr:cNvPr id="1605" name="AutoShape 581" descr="alert toggle">
          <a:extLst>
            <a:ext uri="{FF2B5EF4-FFF2-40B4-BE49-F238E27FC236}">
              <a16:creationId xmlns:a16="http://schemas.microsoft.com/office/drawing/2014/main" id="{A9A09E97-A10A-27EC-ACA5-29C6667B7D39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56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194</xdr:row>
      <xdr:rowOff>0</xdr:rowOff>
    </xdr:from>
    <xdr:ext cx="304800" cy="304800"/>
    <xdr:sp macro="" textlink="">
      <xdr:nvSpPr>
        <xdr:cNvPr id="1608" name="AutoShape 584" descr="note-add">
          <a:extLst>
            <a:ext uri="{FF2B5EF4-FFF2-40B4-BE49-F238E27FC236}">
              <a16:creationId xmlns:a16="http://schemas.microsoft.com/office/drawing/2014/main" id="{6C97CE91-F953-FC09-1C32-896970AE3C07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72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194</xdr:row>
      <xdr:rowOff>0</xdr:rowOff>
    </xdr:from>
    <xdr:ext cx="304800" cy="304800"/>
    <xdr:sp macro="" textlink="">
      <xdr:nvSpPr>
        <xdr:cNvPr id="1609" name="AutoShape 585" descr="alert toggle">
          <a:extLst>
            <a:ext uri="{FF2B5EF4-FFF2-40B4-BE49-F238E27FC236}">
              <a16:creationId xmlns:a16="http://schemas.microsoft.com/office/drawing/2014/main" id="{90758B09-A7E8-6E07-EDFF-62EC452F7818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72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195</xdr:row>
      <xdr:rowOff>0</xdr:rowOff>
    </xdr:from>
    <xdr:ext cx="304800" cy="304801"/>
    <xdr:sp macro="" textlink="">
      <xdr:nvSpPr>
        <xdr:cNvPr id="1612" name="AutoShape 588" descr="note-add">
          <a:extLst>
            <a:ext uri="{FF2B5EF4-FFF2-40B4-BE49-F238E27FC236}">
              <a16:creationId xmlns:a16="http://schemas.microsoft.com/office/drawing/2014/main" id="{B129BB71-FB06-D6EC-0362-A10165DFEE47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195</xdr:row>
      <xdr:rowOff>0</xdr:rowOff>
    </xdr:from>
    <xdr:ext cx="304800" cy="304801"/>
    <xdr:sp macro="" textlink="">
      <xdr:nvSpPr>
        <xdr:cNvPr id="1613" name="AutoShape 589" descr="alert toggle">
          <a:extLst>
            <a:ext uri="{FF2B5EF4-FFF2-40B4-BE49-F238E27FC236}">
              <a16:creationId xmlns:a16="http://schemas.microsoft.com/office/drawing/2014/main" id="{8439BEEB-647C-F86B-32AE-FCA89916D4EF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196</xdr:row>
      <xdr:rowOff>0</xdr:rowOff>
    </xdr:from>
    <xdr:ext cx="304800" cy="304800"/>
    <xdr:sp macro="" textlink="">
      <xdr:nvSpPr>
        <xdr:cNvPr id="1616" name="AutoShape 592" descr="note-add">
          <a:extLst>
            <a:ext uri="{FF2B5EF4-FFF2-40B4-BE49-F238E27FC236}">
              <a16:creationId xmlns:a16="http://schemas.microsoft.com/office/drawing/2014/main" id="{35771AE6-D8F4-50A1-C197-04CB6A4B340A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77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196</xdr:row>
      <xdr:rowOff>0</xdr:rowOff>
    </xdr:from>
    <xdr:ext cx="304800" cy="304800"/>
    <xdr:sp macro="" textlink="">
      <xdr:nvSpPr>
        <xdr:cNvPr id="1617" name="AutoShape 593" descr="alert toggle">
          <a:extLst>
            <a:ext uri="{FF2B5EF4-FFF2-40B4-BE49-F238E27FC236}">
              <a16:creationId xmlns:a16="http://schemas.microsoft.com/office/drawing/2014/main" id="{F0ECE113-7CFC-A0DB-9FA5-14DFC17A2192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77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198</xdr:row>
      <xdr:rowOff>0</xdr:rowOff>
    </xdr:from>
    <xdr:ext cx="304800" cy="304800"/>
    <xdr:sp macro="" textlink="">
      <xdr:nvSpPr>
        <xdr:cNvPr id="1620" name="AutoShape 596" descr="note-add">
          <a:extLst>
            <a:ext uri="{FF2B5EF4-FFF2-40B4-BE49-F238E27FC236}">
              <a16:creationId xmlns:a16="http://schemas.microsoft.com/office/drawing/2014/main" id="{C5118AF6-2123-7906-A6D6-1C27A9F2E2E3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83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198</xdr:row>
      <xdr:rowOff>0</xdr:rowOff>
    </xdr:from>
    <xdr:ext cx="304800" cy="304800"/>
    <xdr:sp macro="" textlink="">
      <xdr:nvSpPr>
        <xdr:cNvPr id="1621" name="AutoShape 597" descr="alert toggle">
          <a:extLst>
            <a:ext uri="{FF2B5EF4-FFF2-40B4-BE49-F238E27FC236}">
              <a16:creationId xmlns:a16="http://schemas.microsoft.com/office/drawing/2014/main" id="{418C30B5-59EB-BC95-10B3-25A70C976C08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83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199</xdr:row>
      <xdr:rowOff>0</xdr:rowOff>
    </xdr:from>
    <xdr:ext cx="304800" cy="304801"/>
    <xdr:sp macro="" textlink="">
      <xdr:nvSpPr>
        <xdr:cNvPr id="1624" name="AutoShape 600" descr="note-add">
          <a:extLst>
            <a:ext uri="{FF2B5EF4-FFF2-40B4-BE49-F238E27FC236}">
              <a16:creationId xmlns:a16="http://schemas.microsoft.com/office/drawing/2014/main" id="{13647A0B-4487-2CA4-5A1D-FD1283F95ED4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8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199</xdr:row>
      <xdr:rowOff>0</xdr:rowOff>
    </xdr:from>
    <xdr:ext cx="304800" cy="304801"/>
    <xdr:sp macro="" textlink="">
      <xdr:nvSpPr>
        <xdr:cNvPr id="1625" name="AutoShape 601" descr="alert toggle">
          <a:extLst>
            <a:ext uri="{FF2B5EF4-FFF2-40B4-BE49-F238E27FC236}">
              <a16:creationId xmlns:a16="http://schemas.microsoft.com/office/drawing/2014/main" id="{955C10E7-BDDF-A679-18AA-D9A8F7896E1D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8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200</xdr:row>
      <xdr:rowOff>0</xdr:rowOff>
    </xdr:from>
    <xdr:ext cx="304800" cy="304800"/>
    <xdr:sp macro="" textlink="">
      <xdr:nvSpPr>
        <xdr:cNvPr id="1628" name="AutoShape 604" descr="note-add">
          <a:extLst>
            <a:ext uri="{FF2B5EF4-FFF2-40B4-BE49-F238E27FC236}">
              <a16:creationId xmlns:a16="http://schemas.microsoft.com/office/drawing/2014/main" id="{CD90A2F3-0CB4-4467-809E-1ECD1652D5E6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8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201</xdr:row>
      <xdr:rowOff>0</xdr:rowOff>
    </xdr:from>
    <xdr:ext cx="304800" cy="304801"/>
    <xdr:sp macro="" textlink="">
      <xdr:nvSpPr>
        <xdr:cNvPr id="1632" name="AutoShape 608" descr="note-add">
          <a:extLst>
            <a:ext uri="{FF2B5EF4-FFF2-40B4-BE49-F238E27FC236}">
              <a16:creationId xmlns:a16="http://schemas.microsoft.com/office/drawing/2014/main" id="{5B463E39-EDC7-492D-B9E2-5B5624A34439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91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201</xdr:row>
      <xdr:rowOff>0</xdr:rowOff>
    </xdr:from>
    <xdr:ext cx="304800" cy="304801"/>
    <xdr:sp macro="" textlink="">
      <xdr:nvSpPr>
        <xdr:cNvPr id="1633" name="AutoShape 609" descr="alert toggle">
          <a:extLst>
            <a:ext uri="{FF2B5EF4-FFF2-40B4-BE49-F238E27FC236}">
              <a16:creationId xmlns:a16="http://schemas.microsoft.com/office/drawing/2014/main" id="{DA4EE77D-607B-D6BE-F3CF-61F767458E94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91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202</xdr:row>
      <xdr:rowOff>0</xdr:rowOff>
    </xdr:from>
    <xdr:ext cx="304800" cy="304800"/>
    <xdr:sp macro="" textlink="">
      <xdr:nvSpPr>
        <xdr:cNvPr id="1636" name="AutoShape 612" descr="note-add">
          <a:extLst>
            <a:ext uri="{FF2B5EF4-FFF2-40B4-BE49-F238E27FC236}">
              <a16:creationId xmlns:a16="http://schemas.microsoft.com/office/drawing/2014/main" id="{6A67F807-0B07-F15B-B7BA-CBCCAD68C31B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94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202</xdr:row>
      <xdr:rowOff>0</xdr:rowOff>
    </xdr:from>
    <xdr:ext cx="304800" cy="304800"/>
    <xdr:sp macro="" textlink="">
      <xdr:nvSpPr>
        <xdr:cNvPr id="1637" name="AutoShape 613" descr="alert toggle">
          <a:extLst>
            <a:ext uri="{FF2B5EF4-FFF2-40B4-BE49-F238E27FC236}">
              <a16:creationId xmlns:a16="http://schemas.microsoft.com/office/drawing/2014/main" id="{DEB3233D-7314-8034-6D63-3109A551B3AE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94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203</xdr:row>
      <xdr:rowOff>0</xdr:rowOff>
    </xdr:from>
    <xdr:ext cx="304800" cy="304800"/>
    <xdr:sp macro="" textlink="">
      <xdr:nvSpPr>
        <xdr:cNvPr id="1640" name="AutoShape 616" descr="note-add">
          <a:extLst>
            <a:ext uri="{FF2B5EF4-FFF2-40B4-BE49-F238E27FC236}">
              <a16:creationId xmlns:a16="http://schemas.microsoft.com/office/drawing/2014/main" id="{44C4AADC-7010-5BDA-5E05-28CFDD0CEDCB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59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203</xdr:row>
      <xdr:rowOff>0</xdr:rowOff>
    </xdr:from>
    <xdr:ext cx="304800" cy="304800"/>
    <xdr:sp macro="" textlink="">
      <xdr:nvSpPr>
        <xdr:cNvPr id="1641" name="AutoShape 617" descr="alert toggle">
          <a:extLst>
            <a:ext uri="{FF2B5EF4-FFF2-40B4-BE49-F238E27FC236}">
              <a16:creationId xmlns:a16="http://schemas.microsoft.com/office/drawing/2014/main" id="{32770847-37B8-0449-E4FB-FC76DB3A5520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59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204</xdr:row>
      <xdr:rowOff>0</xdr:rowOff>
    </xdr:from>
    <xdr:ext cx="304800" cy="304800"/>
    <xdr:sp macro="" textlink="">
      <xdr:nvSpPr>
        <xdr:cNvPr id="1644" name="AutoShape 620" descr="note-add">
          <a:extLst>
            <a:ext uri="{FF2B5EF4-FFF2-40B4-BE49-F238E27FC236}">
              <a16:creationId xmlns:a16="http://schemas.microsoft.com/office/drawing/2014/main" id="{AA04A530-BC64-F35E-50F4-EC89C2628E5C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204</xdr:row>
      <xdr:rowOff>0</xdr:rowOff>
    </xdr:from>
    <xdr:ext cx="304800" cy="304800"/>
    <xdr:sp macro="" textlink="">
      <xdr:nvSpPr>
        <xdr:cNvPr id="1645" name="AutoShape 621" descr="alert toggle">
          <a:extLst>
            <a:ext uri="{FF2B5EF4-FFF2-40B4-BE49-F238E27FC236}">
              <a16:creationId xmlns:a16="http://schemas.microsoft.com/office/drawing/2014/main" id="{26D331D4-832C-786B-96B5-8A647222FA4E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600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304800"/>
    <xdr:sp macro="" textlink="">
      <xdr:nvSpPr>
        <xdr:cNvPr id="1648" name="AutoShape 624" descr="note-add">
          <a:extLst>
            <a:ext uri="{FF2B5EF4-FFF2-40B4-BE49-F238E27FC236}">
              <a16:creationId xmlns:a16="http://schemas.microsoft.com/office/drawing/2014/main" id="{98438C74-CD08-FB54-C3CE-971F462FF681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60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206</xdr:row>
      <xdr:rowOff>0</xdr:rowOff>
    </xdr:from>
    <xdr:ext cx="304800" cy="304800"/>
    <xdr:sp macro="" textlink="">
      <xdr:nvSpPr>
        <xdr:cNvPr id="1649" name="AutoShape 625" descr="alert toggle">
          <a:extLst>
            <a:ext uri="{FF2B5EF4-FFF2-40B4-BE49-F238E27FC236}">
              <a16:creationId xmlns:a16="http://schemas.microsoft.com/office/drawing/2014/main" id="{D36229EF-271D-F63B-0D8B-B68351A3FBDC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60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206</xdr:row>
      <xdr:rowOff>0</xdr:rowOff>
    </xdr:from>
    <xdr:ext cx="304800" cy="304800"/>
    <xdr:sp macro="" textlink="">
      <xdr:nvSpPr>
        <xdr:cNvPr id="1652" name="AutoShape 628" descr="note-add">
          <a:extLst>
            <a:ext uri="{FF2B5EF4-FFF2-40B4-BE49-F238E27FC236}">
              <a16:creationId xmlns:a16="http://schemas.microsoft.com/office/drawing/2014/main" id="{B7CF2021-4222-9723-0965-0D595333AFA7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608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206</xdr:row>
      <xdr:rowOff>0</xdr:rowOff>
    </xdr:from>
    <xdr:ext cx="304800" cy="304800"/>
    <xdr:sp macro="" textlink="">
      <xdr:nvSpPr>
        <xdr:cNvPr id="1653" name="AutoShape 629" descr="alert toggle">
          <a:extLst>
            <a:ext uri="{FF2B5EF4-FFF2-40B4-BE49-F238E27FC236}">
              <a16:creationId xmlns:a16="http://schemas.microsoft.com/office/drawing/2014/main" id="{8DB5AC0C-E6AA-EF8A-2022-E294C37A7966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608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207</xdr:row>
      <xdr:rowOff>0</xdr:rowOff>
    </xdr:from>
    <xdr:ext cx="304800" cy="304800"/>
    <xdr:sp macro="" textlink="">
      <xdr:nvSpPr>
        <xdr:cNvPr id="1656" name="AutoShape 632" descr="note-add">
          <a:extLst>
            <a:ext uri="{FF2B5EF4-FFF2-40B4-BE49-F238E27FC236}">
              <a16:creationId xmlns:a16="http://schemas.microsoft.com/office/drawing/2014/main" id="{05F0CBD0-DA75-5D34-086A-C492A45A270C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611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207</xdr:row>
      <xdr:rowOff>0</xdr:rowOff>
    </xdr:from>
    <xdr:ext cx="304800" cy="304800"/>
    <xdr:sp macro="" textlink="">
      <xdr:nvSpPr>
        <xdr:cNvPr id="1657" name="AutoShape 633" descr="alert toggle">
          <a:extLst>
            <a:ext uri="{FF2B5EF4-FFF2-40B4-BE49-F238E27FC236}">
              <a16:creationId xmlns:a16="http://schemas.microsoft.com/office/drawing/2014/main" id="{85E84B3A-BE79-8354-F4AD-88EEA6A31AA4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611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208</xdr:row>
      <xdr:rowOff>0</xdr:rowOff>
    </xdr:from>
    <xdr:ext cx="304800" cy="304800"/>
    <xdr:sp macro="" textlink="">
      <xdr:nvSpPr>
        <xdr:cNvPr id="1660" name="AutoShape 636" descr="note-add">
          <a:extLst>
            <a:ext uri="{FF2B5EF4-FFF2-40B4-BE49-F238E27FC236}">
              <a16:creationId xmlns:a16="http://schemas.microsoft.com/office/drawing/2014/main" id="{13784E0D-F4FE-A69B-69D2-903F7B40B1D9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614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208</xdr:row>
      <xdr:rowOff>0</xdr:rowOff>
    </xdr:from>
    <xdr:ext cx="304800" cy="304800"/>
    <xdr:sp macro="" textlink="">
      <xdr:nvSpPr>
        <xdr:cNvPr id="1661" name="AutoShape 637" descr="alert toggle">
          <a:extLst>
            <a:ext uri="{FF2B5EF4-FFF2-40B4-BE49-F238E27FC236}">
              <a16:creationId xmlns:a16="http://schemas.microsoft.com/office/drawing/2014/main" id="{3E61F177-8AAA-2724-7D6D-1632F65F6689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614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209</xdr:row>
      <xdr:rowOff>0</xdr:rowOff>
    </xdr:from>
    <xdr:ext cx="304800" cy="304799"/>
    <xdr:sp macro="" textlink="">
      <xdr:nvSpPr>
        <xdr:cNvPr id="1664" name="AutoShape 640" descr="note-add">
          <a:extLst>
            <a:ext uri="{FF2B5EF4-FFF2-40B4-BE49-F238E27FC236}">
              <a16:creationId xmlns:a16="http://schemas.microsoft.com/office/drawing/2014/main" id="{DF7DEEA0-2596-D5B0-6678-4943235ABC79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6168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209</xdr:row>
      <xdr:rowOff>0</xdr:rowOff>
    </xdr:from>
    <xdr:ext cx="304800" cy="304799"/>
    <xdr:sp macro="" textlink="">
      <xdr:nvSpPr>
        <xdr:cNvPr id="1665" name="AutoShape 641" descr="alert toggle">
          <a:extLst>
            <a:ext uri="{FF2B5EF4-FFF2-40B4-BE49-F238E27FC236}">
              <a16:creationId xmlns:a16="http://schemas.microsoft.com/office/drawing/2014/main" id="{2E4F41C4-1794-750C-0E90-1EAF080FFBDD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6168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167</xdr:row>
      <xdr:rowOff>0</xdr:rowOff>
    </xdr:from>
    <xdr:ext cx="304800" cy="304801"/>
    <xdr:sp macro="" textlink="">
      <xdr:nvSpPr>
        <xdr:cNvPr id="1668" name="AutoShape 644" descr="note-add">
          <a:extLst>
            <a:ext uri="{FF2B5EF4-FFF2-40B4-BE49-F238E27FC236}">
              <a16:creationId xmlns:a16="http://schemas.microsoft.com/office/drawing/2014/main" id="{297490A2-0C5D-BFA1-CE81-141C61302C89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619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167</xdr:row>
      <xdr:rowOff>0</xdr:rowOff>
    </xdr:from>
    <xdr:ext cx="304800" cy="304801"/>
    <xdr:sp macro="" textlink="">
      <xdr:nvSpPr>
        <xdr:cNvPr id="1669" name="AutoShape 645" descr="alert toggle">
          <a:extLst>
            <a:ext uri="{FF2B5EF4-FFF2-40B4-BE49-F238E27FC236}">
              <a16:creationId xmlns:a16="http://schemas.microsoft.com/office/drawing/2014/main" id="{A0555381-84B8-9807-CACC-C72EC16C70EE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619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112</xdr:row>
      <xdr:rowOff>0</xdr:rowOff>
    </xdr:from>
    <xdr:ext cx="304800" cy="304799"/>
    <xdr:sp macro="" textlink="">
      <xdr:nvSpPr>
        <xdr:cNvPr id="1670" name="AutoShape 646" descr="note-add">
          <a:extLst>
            <a:ext uri="{FF2B5EF4-FFF2-40B4-BE49-F238E27FC236}">
              <a16:creationId xmlns:a16="http://schemas.microsoft.com/office/drawing/2014/main" id="{72A0C197-AB67-FD73-89DB-8E18F1D60D79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84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112</xdr:row>
      <xdr:rowOff>0</xdr:rowOff>
    </xdr:from>
    <xdr:ext cx="304800" cy="304799"/>
    <xdr:sp macro="" textlink="">
      <xdr:nvSpPr>
        <xdr:cNvPr id="1671" name="AutoShape 647" descr="alert toggle">
          <a:extLst>
            <a:ext uri="{FF2B5EF4-FFF2-40B4-BE49-F238E27FC236}">
              <a16:creationId xmlns:a16="http://schemas.microsoft.com/office/drawing/2014/main" id="{CD723848-A863-8A8E-8332-6FB3E216FD7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4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113</xdr:row>
      <xdr:rowOff>0</xdr:rowOff>
    </xdr:from>
    <xdr:ext cx="304800" cy="304800"/>
    <xdr:sp macro="" textlink="">
      <xdr:nvSpPr>
        <xdr:cNvPr id="1674" name="AutoShape 650" descr="note-add">
          <a:extLst>
            <a:ext uri="{FF2B5EF4-FFF2-40B4-BE49-F238E27FC236}">
              <a16:creationId xmlns:a16="http://schemas.microsoft.com/office/drawing/2014/main" id="{095B8C66-185A-E941-787B-7D37582F1071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43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113</xdr:row>
      <xdr:rowOff>0</xdr:rowOff>
    </xdr:from>
    <xdr:ext cx="304800" cy="304800"/>
    <xdr:sp macro="" textlink="">
      <xdr:nvSpPr>
        <xdr:cNvPr id="1675" name="AutoShape 651" descr="alert toggle">
          <a:extLst>
            <a:ext uri="{FF2B5EF4-FFF2-40B4-BE49-F238E27FC236}">
              <a16:creationId xmlns:a16="http://schemas.microsoft.com/office/drawing/2014/main" id="{D24C907B-10C0-959A-2AEB-D491153CE2B2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43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114</xdr:row>
      <xdr:rowOff>0</xdr:rowOff>
    </xdr:from>
    <xdr:ext cx="304800" cy="304799"/>
    <xdr:sp macro="" textlink="">
      <xdr:nvSpPr>
        <xdr:cNvPr id="1678" name="AutoShape 654" descr="note-add">
          <a:extLst>
            <a:ext uri="{FF2B5EF4-FFF2-40B4-BE49-F238E27FC236}">
              <a16:creationId xmlns:a16="http://schemas.microsoft.com/office/drawing/2014/main" id="{1483B57C-15AB-C55F-FB8D-A953F8D28743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45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114</xdr:row>
      <xdr:rowOff>0</xdr:rowOff>
    </xdr:from>
    <xdr:ext cx="304800" cy="304799"/>
    <xdr:sp macro="" textlink="">
      <xdr:nvSpPr>
        <xdr:cNvPr id="1679" name="AutoShape 655" descr="alert toggle">
          <a:extLst>
            <a:ext uri="{FF2B5EF4-FFF2-40B4-BE49-F238E27FC236}">
              <a16:creationId xmlns:a16="http://schemas.microsoft.com/office/drawing/2014/main" id="{7A64EE9F-5045-48C2-F432-3AC0F2789CA6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45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116</xdr:row>
      <xdr:rowOff>0</xdr:rowOff>
    </xdr:from>
    <xdr:ext cx="304800" cy="304799"/>
    <xdr:sp macro="" textlink="">
      <xdr:nvSpPr>
        <xdr:cNvPr id="1682" name="AutoShape 658" descr="note-add">
          <a:extLst>
            <a:ext uri="{FF2B5EF4-FFF2-40B4-BE49-F238E27FC236}">
              <a16:creationId xmlns:a16="http://schemas.microsoft.com/office/drawing/2014/main" id="{2B95E645-9EAE-438E-803F-304D7AC8F692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5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116</xdr:row>
      <xdr:rowOff>0</xdr:rowOff>
    </xdr:from>
    <xdr:ext cx="304800" cy="304799"/>
    <xdr:sp macro="" textlink="">
      <xdr:nvSpPr>
        <xdr:cNvPr id="1683" name="AutoShape 659" descr="alert toggle">
          <a:extLst>
            <a:ext uri="{FF2B5EF4-FFF2-40B4-BE49-F238E27FC236}">
              <a16:creationId xmlns:a16="http://schemas.microsoft.com/office/drawing/2014/main" id="{1C1ECB1E-10A9-0591-6FCB-4978E318C2C0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5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117</xdr:row>
      <xdr:rowOff>0</xdr:rowOff>
    </xdr:from>
    <xdr:ext cx="304800" cy="304800"/>
    <xdr:sp macro="" textlink="">
      <xdr:nvSpPr>
        <xdr:cNvPr id="1686" name="AutoShape 662" descr="note-add">
          <a:extLst>
            <a:ext uri="{FF2B5EF4-FFF2-40B4-BE49-F238E27FC236}">
              <a16:creationId xmlns:a16="http://schemas.microsoft.com/office/drawing/2014/main" id="{4DA4232B-352F-0CD4-AAA8-267EE4D946E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57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117</xdr:row>
      <xdr:rowOff>0</xdr:rowOff>
    </xdr:from>
    <xdr:ext cx="304800" cy="304800"/>
    <xdr:sp macro="" textlink="">
      <xdr:nvSpPr>
        <xdr:cNvPr id="1687" name="AutoShape 663" descr="alert toggle">
          <a:extLst>
            <a:ext uri="{FF2B5EF4-FFF2-40B4-BE49-F238E27FC236}">
              <a16:creationId xmlns:a16="http://schemas.microsoft.com/office/drawing/2014/main" id="{D3BC2102-0F77-879D-57FC-75F83EA20146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57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118</xdr:row>
      <xdr:rowOff>0</xdr:rowOff>
    </xdr:from>
    <xdr:ext cx="304800" cy="304801"/>
    <xdr:sp macro="" textlink="">
      <xdr:nvSpPr>
        <xdr:cNvPr id="1690" name="AutoShape 666" descr="note-add">
          <a:extLst>
            <a:ext uri="{FF2B5EF4-FFF2-40B4-BE49-F238E27FC236}">
              <a16:creationId xmlns:a16="http://schemas.microsoft.com/office/drawing/2014/main" id="{3258742C-4523-EF25-D19B-BD616815B4C9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5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118</xdr:row>
      <xdr:rowOff>0</xdr:rowOff>
    </xdr:from>
    <xdr:ext cx="304800" cy="304801"/>
    <xdr:sp macro="" textlink="">
      <xdr:nvSpPr>
        <xdr:cNvPr id="1691" name="AutoShape 667" descr="alert toggle">
          <a:extLst>
            <a:ext uri="{FF2B5EF4-FFF2-40B4-BE49-F238E27FC236}">
              <a16:creationId xmlns:a16="http://schemas.microsoft.com/office/drawing/2014/main" id="{B4E817D6-CD90-1D5E-98C0-92771872FC88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5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120</xdr:row>
      <xdr:rowOff>0</xdr:rowOff>
    </xdr:from>
    <xdr:ext cx="304800" cy="304801"/>
    <xdr:sp macro="" textlink="">
      <xdr:nvSpPr>
        <xdr:cNvPr id="1694" name="AutoShape 670" descr="note-add">
          <a:extLst>
            <a:ext uri="{FF2B5EF4-FFF2-40B4-BE49-F238E27FC236}">
              <a16:creationId xmlns:a16="http://schemas.microsoft.com/office/drawing/2014/main" id="{81C74FCE-1A08-E0BC-6126-AE76DDDACA6D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65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120</xdr:row>
      <xdr:rowOff>0</xdr:rowOff>
    </xdr:from>
    <xdr:ext cx="304800" cy="304801"/>
    <xdr:sp macro="" textlink="">
      <xdr:nvSpPr>
        <xdr:cNvPr id="1698" name="AutoShape 674" descr="note-add">
          <a:extLst>
            <a:ext uri="{FF2B5EF4-FFF2-40B4-BE49-F238E27FC236}">
              <a16:creationId xmlns:a16="http://schemas.microsoft.com/office/drawing/2014/main" id="{4C25445D-CEA6-6178-A3B6-EE0219086469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65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120</xdr:row>
      <xdr:rowOff>0</xdr:rowOff>
    </xdr:from>
    <xdr:ext cx="304800" cy="304799"/>
    <xdr:sp macro="" textlink="">
      <xdr:nvSpPr>
        <xdr:cNvPr id="1702" name="AutoShape 678" descr="note-add">
          <a:extLst>
            <a:ext uri="{FF2B5EF4-FFF2-40B4-BE49-F238E27FC236}">
              <a16:creationId xmlns:a16="http://schemas.microsoft.com/office/drawing/2014/main" id="{0EDED58F-3BF4-E126-FC0E-3E6BAD818342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68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121</xdr:row>
      <xdr:rowOff>0</xdr:rowOff>
    </xdr:from>
    <xdr:ext cx="304800" cy="304800"/>
    <xdr:sp macro="" textlink="">
      <xdr:nvSpPr>
        <xdr:cNvPr id="1706" name="AutoShape 682" descr="note-add">
          <a:extLst>
            <a:ext uri="{FF2B5EF4-FFF2-40B4-BE49-F238E27FC236}">
              <a16:creationId xmlns:a16="http://schemas.microsoft.com/office/drawing/2014/main" id="{3C24FF16-3A2F-361D-B124-576A517EB668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71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121</xdr:row>
      <xdr:rowOff>0</xdr:rowOff>
    </xdr:from>
    <xdr:ext cx="304800" cy="304800"/>
    <xdr:sp macro="" textlink="">
      <xdr:nvSpPr>
        <xdr:cNvPr id="1707" name="AutoShape 683" descr="alert toggle">
          <a:extLst>
            <a:ext uri="{FF2B5EF4-FFF2-40B4-BE49-F238E27FC236}">
              <a16:creationId xmlns:a16="http://schemas.microsoft.com/office/drawing/2014/main" id="{F6AED7BA-E9A5-12D0-0ED9-CC974ABB42AA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71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122</xdr:row>
      <xdr:rowOff>0</xdr:rowOff>
    </xdr:from>
    <xdr:ext cx="304800" cy="304799"/>
    <xdr:sp macro="" textlink="">
      <xdr:nvSpPr>
        <xdr:cNvPr id="1710" name="AutoShape 686" descr="note-add">
          <a:extLst>
            <a:ext uri="{FF2B5EF4-FFF2-40B4-BE49-F238E27FC236}">
              <a16:creationId xmlns:a16="http://schemas.microsoft.com/office/drawing/2014/main" id="{9F33AA53-353C-F900-30B7-FB023659A342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73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122</xdr:row>
      <xdr:rowOff>0</xdr:rowOff>
    </xdr:from>
    <xdr:ext cx="304800" cy="304799"/>
    <xdr:sp macro="" textlink="">
      <xdr:nvSpPr>
        <xdr:cNvPr id="1711" name="AutoShape 687" descr="alert toggle">
          <a:extLst>
            <a:ext uri="{FF2B5EF4-FFF2-40B4-BE49-F238E27FC236}">
              <a16:creationId xmlns:a16="http://schemas.microsoft.com/office/drawing/2014/main" id="{C6FBD085-DDB7-A916-8A8B-09748469EE10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73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123</xdr:row>
      <xdr:rowOff>0</xdr:rowOff>
    </xdr:from>
    <xdr:ext cx="304800" cy="304800"/>
    <xdr:sp macro="" textlink="">
      <xdr:nvSpPr>
        <xdr:cNvPr id="1715" name="AutoShape 691" descr="alert toggle">
          <a:extLst>
            <a:ext uri="{FF2B5EF4-FFF2-40B4-BE49-F238E27FC236}">
              <a16:creationId xmlns:a16="http://schemas.microsoft.com/office/drawing/2014/main" id="{8C03F001-1252-0922-338B-A3A286D98843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76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124</xdr:row>
      <xdr:rowOff>0</xdr:rowOff>
    </xdr:from>
    <xdr:ext cx="304800" cy="304799"/>
    <xdr:sp macro="" textlink="">
      <xdr:nvSpPr>
        <xdr:cNvPr id="1718" name="AutoShape 694" descr="note-add">
          <a:extLst>
            <a:ext uri="{FF2B5EF4-FFF2-40B4-BE49-F238E27FC236}">
              <a16:creationId xmlns:a16="http://schemas.microsoft.com/office/drawing/2014/main" id="{CA9570B9-D4E1-E50A-25B5-92F7EAE0B8C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124</xdr:row>
      <xdr:rowOff>0</xdr:rowOff>
    </xdr:from>
    <xdr:ext cx="304800" cy="304799"/>
    <xdr:sp macro="" textlink="">
      <xdr:nvSpPr>
        <xdr:cNvPr id="1719" name="AutoShape 695" descr="alert toggle">
          <a:extLst>
            <a:ext uri="{FF2B5EF4-FFF2-40B4-BE49-F238E27FC236}">
              <a16:creationId xmlns:a16="http://schemas.microsoft.com/office/drawing/2014/main" id="{247AA86F-D116-7E9C-26E7-A7A62F1B44F5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124</xdr:row>
      <xdr:rowOff>0</xdr:rowOff>
    </xdr:from>
    <xdr:ext cx="304800" cy="304799"/>
    <xdr:sp macro="" textlink="">
      <xdr:nvSpPr>
        <xdr:cNvPr id="1722" name="AutoShape 698" descr="note-add">
          <a:extLst>
            <a:ext uri="{FF2B5EF4-FFF2-40B4-BE49-F238E27FC236}">
              <a16:creationId xmlns:a16="http://schemas.microsoft.com/office/drawing/2014/main" id="{A4F6C913-F58F-4BB9-932D-FC045D62EC1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124</xdr:row>
      <xdr:rowOff>0</xdr:rowOff>
    </xdr:from>
    <xdr:ext cx="304800" cy="304799"/>
    <xdr:sp macro="" textlink="">
      <xdr:nvSpPr>
        <xdr:cNvPr id="1723" name="AutoShape 699" descr="alert toggle">
          <a:extLst>
            <a:ext uri="{FF2B5EF4-FFF2-40B4-BE49-F238E27FC236}">
              <a16:creationId xmlns:a16="http://schemas.microsoft.com/office/drawing/2014/main" id="{05F233CF-DCAD-1BB1-0FFB-D1741810F0E0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125</xdr:row>
      <xdr:rowOff>0</xdr:rowOff>
    </xdr:from>
    <xdr:ext cx="304800" cy="304799"/>
    <xdr:sp macro="" textlink="">
      <xdr:nvSpPr>
        <xdr:cNvPr id="1726" name="AutoShape 702" descr="note-add">
          <a:extLst>
            <a:ext uri="{FF2B5EF4-FFF2-40B4-BE49-F238E27FC236}">
              <a16:creationId xmlns:a16="http://schemas.microsoft.com/office/drawing/2014/main" id="{5BFB383E-268E-F5D0-E691-39E210ABA864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82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125</xdr:row>
      <xdr:rowOff>0</xdr:rowOff>
    </xdr:from>
    <xdr:ext cx="304800" cy="304799"/>
    <xdr:sp macro="" textlink="">
      <xdr:nvSpPr>
        <xdr:cNvPr id="1727" name="AutoShape 703" descr="alert toggle">
          <a:extLst>
            <a:ext uri="{FF2B5EF4-FFF2-40B4-BE49-F238E27FC236}">
              <a16:creationId xmlns:a16="http://schemas.microsoft.com/office/drawing/2014/main" id="{7FA19F66-5A02-52C1-1553-268107CFCC6B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82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126</xdr:row>
      <xdr:rowOff>0</xdr:rowOff>
    </xdr:from>
    <xdr:ext cx="304800" cy="304799"/>
    <xdr:sp macro="" textlink="">
      <xdr:nvSpPr>
        <xdr:cNvPr id="1730" name="AutoShape 706" descr="note-add">
          <a:extLst>
            <a:ext uri="{FF2B5EF4-FFF2-40B4-BE49-F238E27FC236}">
              <a16:creationId xmlns:a16="http://schemas.microsoft.com/office/drawing/2014/main" id="{E0056C9F-F03F-69FF-9895-222F53BD324F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85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126</xdr:row>
      <xdr:rowOff>0</xdr:rowOff>
    </xdr:from>
    <xdr:ext cx="304800" cy="304799"/>
    <xdr:sp macro="" textlink="">
      <xdr:nvSpPr>
        <xdr:cNvPr id="1731" name="AutoShape 707" descr="alert toggle">
          <a:extLst>
            <a:ext uri="{FF2B5EF4-FFF2-40B4-BE49-F238E27FC236}">
              <a16:creationId xmlns:a16="http://schemas.microsoft.com/office/drawing/2014/main" id="{8B2B2213-7D2F-E43A-3D04-20714A9F4392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85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127</xdr:row>
      <xdr:rowOff>0</xdr:rowOff>
    </xdr:from>
    <xdr:ext cx="304800" cy="304800"/>
    <xdr:sp macro="" textlink="">
      <xdr:nvSpPr>
        <xdr:cNvPr id="1734" name="AutoShape 710" descr="note-add">
          <a:extLst>
            <a:ext uri="{FF2B5EF4-FFF2-40B4-BE49-F238E27FC236}">
              <a16:creationId xmlns:a16="http://schemas.microsoft.com/office/drawing/2014/main" id="{AF065E1D-A9BD-6926-E408-1489393054E0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88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127</xdr:row>
      <xdr:rowOff>0</xdr:rowOff>
    </xdr:from>
    <xdr:ext cx="304800" cy="304800"/>
    <xdr:sp macro="" textlink="">
      <xdr:nvSpPr>
        <xdr:cNvPr id="1735" name="AutoShape 711" descr="alert toggle">
          <a:extLst>
            <a:ext uri="{FF2B5EF4-FFF2-40B4-BE49-F238E27FC236}">
              <a16:creationId xmlns:a16="http://schemas.microsoft.com/office/drawing/2014/main" id="{2C5850F2-BA94-D8A5-965B-4B81F035AD1A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88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21</xdr:col>
      <xdr:colOff>0</xdr:colOff>
      <xdr:row>91</xdr:row>
      <xdr:rowOff>0</xdr:rowOff>
    </xdr:from>
    <xdr:to>
      <xdr:col>21</xdr:col>
      <xdr:colOff>304800</xdr:colOff>
      <xdr:row>92</xdr:row>
      <xdr:rowOff>101600</xdr:rowOff>
    </xdr:to>
    <xdr:sp macro="" textlink="">
      <xdr:nvSpPr>
        <xdr:cNvPr id="1935" name="AutoShape 911" descr="note-add">
          <a:extLst>
            <a:ext uri="{FF2B5EF4-FFF2-40B4-BE49-F238E27FC236}">
              <a16:creationId xmlns:a16="http://schemas.microsoft.com/office/drawing/2014/main" id="{EFFE722A-3A2A-E4AA-B452-2EBE454F1C42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284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91</xdr:row>
      <xdr:rowOff>0</xdr:rowOff>
    </xdr:from>
    <xdr:to>
      <xdr:col>21</xdr:col>
      <xdr:colOff>622300</xdr:colOff>
      <xdr:row>92</xdr:row>
      <xdr:rowOff>101600</xdr:rowOff>
    </xdr:to>
    <xdr:sp macro="" textlink="">
      <xdr:nvSpPr>
        <xdr:cNvPr id="1936" name="AutoShape 912" descr="alert toggle">
          <a:extLst>
            <a:ext uri="{FF2B5EF4-FFF2-40B4-BE49-F238E27FC236}">
              <a16:creationId xmlns:a16="http://schemas.microsoft.com/office/drawing/2014/main" id="{6EFBCE94-1A1A-4725-7E59-0CD1E197C27A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284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92</xdr:row>
      <xdr:rowOff>0</xdr:rowOff>
    </xdr:from>
    <xdr:to>
      <xdr:col>20</xdr:col>
      <xdr:colOff>304800</xdr:colOff>
      <xdr:row>93</xdr:row>
      <xdr:rowOff>101599</xdr:rowOff>
    </xdr:to>
    <xdr:sp macro="" textlink="">
      <xdr:nvSpPr>
        <xdr:cNvPr id="1939" name="AutoShape 915" descr="note-add">
          <a:extLst>
            <a:ext uri="{FF2B5EF4-FFF2-40B4-BE49-F238E27FC236}">
              <a16:creationId xmlns:a16="http://schemas.microsoft.com/office/drawing/2014/main" id="{017FD98F-A6C0-8A01-60CF-3DC3E7E024A6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87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92</xdr:row>
      <xdr:rowOff>0</xdr:rowOff>
    </xdr:from>
    <xdr:to>
      <xdr:col>20</xdr:col>
      <xdr:colOff>622300</xdr:colOff>
      <xdr:row>93</xdr:row>
      <xdr:rowOff>101599</xdr:rowOff>
    </xdr:to>
    <xdr:sp macro="" textlink="">
      <xdr:nvSpPr>
        <xdr:cNvPr id="1940" name="AutoShape 916" descr="alert toggle">
          <a:extLst>
            <a:ext uri="{FF2B5EF4-FFF2-40B4-BE49-F238E27FC236}">
              <a16:creationId xmlns:a16="http://schemas.microsoft.com/office/drawing/2014/main" id="{599CA65E-9BD7-C5C5-2474-5745AD4226B6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287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93</xdr:row>
      <xdr:rowOff>0</xdr:rowOff>
    </xdr:from>
    <xdr:to>
      <xdr:col>20</xdr:col>
      <xdr:colOff>304800</xdr:colOff>
      <xdr:row>94</xdr:row>
      <xdr:rowOff>101600</xdr:rowOff>
    </xdr:to>
    <xdr:sp macro="" textlink="">
      <xdr:nvSpPr>
        <xdr:cNvPr id="1943" name="AutoShape 919" descr="note-add">
          <a:extLst>
            <a:ext uri="{FF2B5EF4-FFF2-40B4-BE49-F238E27FC236}">
              <a16:creationId xmlns:a16="http://schemas.microsoft.com/office/drawing/2014/main" id="{5A7A64A8-64AD-C2D7-3657-B230B55EADF7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89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93</xdr:row>
      <xdr:rowOff>0</xdr:rowOff>
    </xdr:from>
    <xdr:to>
      <xdr:col>20</xdr:col>
      <xdr:colOff>622300</xdr:colOff>
      <xdr:row>94</xdr:row>
      <xdr:rowOff>101600</xdr:rowOff>
    </xdr:to>
    <xdr:sp macro="" textlink="">
      <xdr:nvSpPr>
        <xdr:cNvPr id="1944" name="AutoShape 920" descr="alert toggle">
          <a:extLst>
            <a:ext uri="{FF2B5EF4-FFF2-40B4-BE49-F238E27FC236}">
              <a16:creationId xmlns:a16="http://schemas.microsoft.com/office/drawing/2014/main" id="{913807B8-E695-6B33-40EC-DED9092D4CAD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289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94</xdr:row>
      <xdr:rowOff>0</xdr:rowOff>
    </xdr:from>
    <xdr:to>
      <xdr:col>20</xdr:col>
      <xdr:colOff>304800</xdr:colOff>
      <xdr:row>95</xdr:row>
      <xdr:rowOff>101599</xdr:rowOff>
    </xdr:to>
    <xdr:sp macro="" textlink="">
      <xdr:nvSpPr>
        <xdr:cNvPr id="1947" name="AutoShape 923" descr="note-add">
          <a:extLst>
            <a:ext uri="{FF2B5EF4-FFF2-40B4-BE49-F238E27FC236}">
              <a16:creationId xmlns:a16="http://schemas.microsoft.com/office/drawing/2014/main" id="{5CA7C1A7-0856-2700-FB3E-C9E7585D419E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92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94</xdr:row>
      <xdr:rowOff>0</xdr:rowOff>
    </xdr:from>
    <xdr:to>
      <xdr:col>20</xdr:col>
      <xdr:colOff>622300</xdr:colOff>
      <xdr:row>95</xdr:row>
      <xdr:rowOff>101599</xdr:rowOff>
    </xdr:to>
    <xdr:sp macro="" textlink="">
      <xdr:nvSpPr>
        <xdr:cNvPr id="1948" name="AutoShape 924" descr="alert toggle">
          <a:extLst>
            <a:ext uri="{FF2B5EF4-FFF2-40B4-BE49-F238E27FC236}">
              <a16:creationId xmlns:a16="http://schemas.microsoft.com/office/drawing/2014/main" id="{5656B413-832A-DB1C-0FFD-4812070DBBA3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292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96</xdr:row>
      <xdr:rowOff>0</xdr:rowOff>
    </xdr:from>
    <xdr:to>
      <xdr:col>20</xdr:col>
      <xdr:colOff>304800</xdr:colOff>
      <xdr:row>97</xdr:row>
      <xdr:rowOff>101599</xdr:rowOff>
    </xdr:to>
    <xdr:sp macro="" textlink="">
      <xdr:nvSpPr>
        <xdr:cNvPr id="1951" name="AutoShape 927" descr="note-add">
          <a:extLst>
            <a:ext uri="{FF2B5EF4-FFF2-40B4-BE49-F238E27FC236}">
              <a16:creationId xmlns:a16="http://schemas.microsoft.com/office/drawing/2014/main" id="{842655D3-AAE5-4A05-D4D3-A71DEC8782C8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96</xdr:row>
      <xdr:rowOff>0</xdr:rowOff>
    </xdr:from>
    <xdr:to>
      <xdr:col>20</xdr:col>
      <xdr:colOff>622300</xdr:colOff>
      <xdr:row>97</xdr:row>
      <xdr:rowOff>101599</xdr:rowOff>
    </xdr:to>
    <xdr:sp macro="" textlink="">
      <xdr:nvSpPr>
        <xdr:cNvPr id="1952" name="AutoShape 928" descr="alert toggle">
          <a:extLst>
            <a:ext uri="{FF2B5EF4-FFF2-40B4-BE49-F238E27FC236}">
              <a16:creationId xmlns:a16="http://schemas.microsoft.com/office/drawing/2014/main" id="{4699A334-37B6-EA56-0B5F-1FDE48038978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99</xdr:row>
      <xdr:rowOff>0</xdr:rowOff>
    </xdr:from>
    <xdr:to>
      <xdr:col>20</xdr:col>
      <xdr:colOff>304800</xdr:colOff>
      <xdr:row>100</xdr:row>
      <xdr:rowOff>101600</xdr:rowOff>
    </xdr:to>
    <xdr:sp macro="" textlink="">
      <xdr:nvSpPr>
        <xdr:cNvPr id="1955" name="AutoShape 931" descr="note-add">
          <a:extLst>
            <a:ext uri="{FF2B5EF4-FFF2-40B4-BE49-F238E27FC236}">
              <a16:creationId xmlns:a16="http://schemas.microsoft.com/office/drawing/2014/main" id="{59BD8337-6E42-E4F6-6A04-FE151B12C9C5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99</xdr:row>
      <xdr:rowOff>0</xdr:rowOff>
    </xdr:from>
    <xdr:to>
      <xdr:col>20</xdr:col>
      <xdr:colOff>622300</xdr:colOff>
      <xdr:row>100</xdr:row>
      <xdr:rowOff>101600</xdr:rowOff>
    </xdr:to>
    <xdr:sp macro="" textlink="">
      <xdr:nvSpPr>
        <xdr:cNvPr id="1956" name="AutoShape 932" descr="alert toggle">
          <a:extLst>
            <a:ext uri="{FF2B5EF4-FFF2-40B4-BE49-F238E27FC236}">
              <a16:creationId xmlns:a16="http://schemas.microsoft.com/office/drawing/2014/main" id="{1D3003CA-5241-1CDE-88F3-5D8FD3F31A80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06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100</xdr:row>
      <xdr:rowOff>0</xdr:rowOff>
    </xdr:from>
    <xdr:to>
      <xdr:col>20</xdr:col>
      <xdr:colOff>304800</xdr:colOff>
      <xdr:row>101</xdr:row>
      <xdr:rowOff>101599</xdr:rowOff>
    </xdr:to>
    <xdr:sp macro="" textlink="">
      <xdr:nvSpPr>
        <xdr:cNvPr id="1959" name="AutoShape 935" descr="note-add">
          <a:extLst>
            <a:ext uri="{FF2B5EF4-FFF2-40B4-BE49-F238E27FC236}">
              <a16:creationId xmlns:a16="http://schemas.microsoft.com/office/drawing/2014/main" id="{7F607B8D-692E-F0EA-9AE0-4379C56D31C6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09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100</xdr:row>
      <xdr:rowOff>0</xdr:rowOff>
    </xdr:from>
    <xdr:to>
      <xdr:col>20</xdr:col>
      <xdr:colOff>622300</xdr:colOff>
      <xdr:row>101</xdr:row>
      <xdr:rowOff>101599</xdr:rowOff>
    </xdr:to>
    <xdr:sp macro="" textlink="">
      <xdr:nvSpPr>
        <xdr:cNvPr id="1960" name="AutoShape 936" descr="alert toggle">
          <a:extLst>
            <a:ext uri="{FF2B5EF4-FFF2-40B4-BE49-F238E27FC236}">
              <a16:creationId xmlns:a16="http://schemas.microsoft.com/office/drawing/2014/main" id="{37FD11C8-347B-F06B-CC79-E6CA9AE2CE1A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09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101</xdr:row>
      <xdr:rowOff>0</xdr:rowOff>
    </xdr:from>
    <xdr:to>
      <xdr:col>20</xdr:col>
      <xdr:colOff>304800</xdr:colOff>
      <xdr:row>102</xdr:row>
      <xdr:rowOff>101599</xdr:rowOff>
    </xdr:to>
    <xdr:sp macro="" textlink="">
      <xdr:nvSpPr>
        <xdr:cNvPr id="1963" name="AutoShape 939" descr="note-add">
          <a:extLst>
            <a:ext uri="{FF2B5EF4-FFF2-40B4-BE49-F238E27FC236}">
              <a16:creationId xmlns:a16="http://schemas.microsoft.com/office/drawing/2014/main" id="{63DF8CEC-349D-F4DF-B518-4C0FDE027861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12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101</xdr:row>
      <xdr:rowOff>0</xdr:rowOff>
    </xdr:from>
    <xdr:to>
      <xdr:col>20</xdr:col>
      <xdr:colOff>622300</xdr:colOff>
      <xdr:row>102</xdr:row>
      <xdr:rowOff>101599</xdr:rowOff>
    </xdr:to>
    <xdr:sp macro="" textlink="">
      <xdr:nvSpPr>
        <xdr:cNvPr id="1964" name="AutoShape 940" descr="alert toggle">
          <a:extLst>
            <a:ext uri="{FF2B5EF4-FFF2-40B4-BE49-F238E27FC236}">
              <a16:creationId xmlns:a16="http://schemas.microsoft.com/office/drawing/2014/main" id="{B2D666E9-5FFA-8097-FA69-99BCA6E64515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12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102</xdr:row>
      <xdr:rowOff>0</xdr:rowOff>
    </xdr:from>
    <xdr:to>
      <xdr:col>20</xdr:col>
      <xdr:colOff>304800</xdr:colOff>
      <xdr:row>103</xdr:row>
      <xdr:rowOff>101599</xdr:rowOff>
    </xdr:to>
    <xdr:sp macro="" textlink="">
      <xdr:nvSpPr>
        <xdr:cNvPr id="1967" name="AutoShape 943" descr="note-add">
          <a:extLst>
            <a:ext uri="{FF2B5EF4-FFF2-40B4-BE49-F238E27FC236}">
              <a16:creationId xmlns:a16="http://schemas.microsoft.com/office/drawing/2014/main" id="{11B2731E-0E05-2982-BAB8-1D5CFF685C22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1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102</xdr:row>
      <xdr:rowOff>0</xdr:rowOff>
    </xdr:from>
    <xdr:to>
      <xdr:col>20</xdr:col>
      <xdr:colOff>622300</xdr:colOff>
      <xdr:row>103</xdr:row>
      <xdr:rowOff>101599</xdr:rowOff>
    </xdr:to>
    <xdr:sp macro="" textlink="">
      <xdr:nvSpPr>
        <xdr:cNvPr id="1968" name="AutoShape 944" descr="alert toggle">
          <a:extLst>
            <a:ext uri="{FF2B5EF4-FFF2-40B4-BE49-F238E27FC236}">
              <a16:creationId xmlns:a16="http://schemas.microsoft.com/office/drawing/2014/main" id="{85D2C557-848D-FD18-3C02-EC0B55CCA581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1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103</xdr:row>
      <xdr:rowOff>0</xdr:rowOff>
    </xdr:from>
    <xdr:to>
      <xdr:col>20</xdr:col>
      <xdr:colOff>304800</xdr:colOff>
      <xdr:row>104</xdr:row>
      <xdr:rowOff>101600</xdr:rowOff>
    </xdr:to>
    <xdr:sp macro="" textlink="">
      <xdr:nvSpPr>
        <xdr:cNvPr id="1971" name="AutoShape 947" descr="note-add">
          <a:extLst>
            <a:ext uri="{FF2B5EF4-FFF2-40B4-BE49-F238E27FC236}">
              <a16:creationId xmlns:a16="http://schemas.microsoft.com/office/drawing/2014/main" id="{D32028AC-9D5E-E9A8-718A-D8A5A8310CAB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17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103</xdr:row>
      <xdr:rowOff>0</xdr:rowOff>
    </xdr:from>
    <xdr:to>
      <xdr:col>20</xdr:col>
      <xdr:colOff>622300</xdr:colOff>
      <xdr:row>104</xdr:row>
      <xdr:rowOff>101600</xdr:rowOff>
    </xdr:to>
    <xdr:sp macro="" textlink="">
      <xdr:nvSpPr>
        <xdr:cNvPr id="1972" name="AutoShape 948" descr="alert toggle">
          <a:extLst>
            <a:ext uri="{FF2B5EF4-FFF2-40B4-BE49-F238E27FC236}">
              <a16:creationId xmlns:a16="http://schemas.microsoft.com/office/drawing/2014/main" id="{486EFC9C-17C2-42B1-F4F1-6AAB5CE83D27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17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304800</xdr:colOff>
      <xdr:row>105</xdr:row>
      <xdr:rowOff>101599</xdr:rowOff>
    </xdr:to>
    <xdr:sp macro="" textlink="">
      <xdr:nvSpPr>
        <xdr:cNvPr id="1975" name="AutoShape 951" descr="note-add">
          <a:extLst>
            <a:ext uri="{FF2B5EF4-FFF2-40B4-BE49-F238E27FC236}">
              <a16:creationId xmlns:a16="http://schemas.microsoft.com/office/drawing/2014/main" id="{A933B021-0ECB-C369-1C95-4460F13C791F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20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104</xdr:row>
      <xdr:rowOff>0</xdr:rowOff>
    </xdr:from>
    <xdr:to>
      <xdr:col>20</xdr:col>
      <xdr:colOff>622300</xdr:colOff>
      <xdr:row>105</xdr:row>
      <xdr:rowOff>101599</xdr:rowOff>
    </xdr:to>
    <xdr:sp macro="" textlink="">
      <xdr:nvSpPr>
        <xdr:cNvPr id="1976" name="AutoShape 952" descr="alert toggle">
          <a:extLst>
            <a:ext uri="{FF2B5EF4-FFF2-40B4-BE49-F238E27FC236}">
              <a16:creationId xmlns:a16="http://schemas.microsoft.com/office/drawing/2014/main" id="{CC2EF7A9-DA92-E752-60A8-29E4BD47013C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20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304800</xdr:colOff>
      <xdr:row>106</xdr:row>
      <xdr:rowOff>101600</xdr:rowOff>
    </xdr:to>
    <xdr:sp macro="" textlink="">
      <xdr:nvSpPr>
        <xdr:cNvPr id="1979" name="AutoShape 955" descr="note-add">
          <a:extLst>
            <a:ext uri="{FF2B5EF4-FFF2-40B4-BE49-F238E27FC236}">
              <a16:creationId xmlns:a16="http://schemas.microsoft.com/office/drawing/2014/main" id="{D7DC74C8-F1A8-29FC-3769-6B4EE8783DB3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23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105</xdr:row>
      <xdr:rowOff>0</xdr:rowOff>
    </xdr:from>
    <xdr:to>
      <xdr:col>20</xdr:col>
      <xdr:colOff>622300</xdr:colOff>
      <xdr:row>106</xdr:row>
      <xdr:rowOff>101600</xdr:rowOff>
    </xdr:to>
    <xdr:sp macro="" textlink="">
      <xdr:nvSpPr>
        <xdr:cNvPr id="1980" name="AutoShape 956" descr="alert toggle">
          <a:extLst>
            <a:ext uri="{FF2B5EF4-FFF2-40B4-BE49-F238E27FC236}">
              <a16:creationId xmlns:a16="http://schemas.microsoft.com/office/drawing/2014/main" id="{01311E63-970D-F3E1-8AB8-B1C0BFB67EF6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23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304800</xdr:colOff>
      <xdr:row>106</xdr:row>
      <xdr:rowOff>101601</xdr:rowOff>
    </xdr:to>
    <xdr:sp macro="" textlink="">
      <xdr:nvSpPr>
        <xdr:cNvPr id="1983" name="AutoShape 959" descr="note-add">
          <a:extLst>
            <a:ext uri="{FF2B5EF4-FFF2-40B4-BE49-F238E27FC236}">
              <a16:creationId xmlns:a16="http://schemas.microsoft.com/office/drawing/2014/main" id="{E121D1C0-C20D-630E-8CCF-08ABDB4F2590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26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105</xdr:row>
      <xdr:rowOff>0</xdr:rowOff>
    </xdr:from>
    <xdr:to>
      <xdr:col>20</xdr:col>
      <xdr:colOff>622300</xdr:colOff>
      <xdr:row>106</xdr:row>
      <xdr:rowOff>101601</xdr:rowOff>
    </xdr:to>
    <xdr:sp macro="" textlink="">
      <xdr:nvSpPr>
        <xdr:cNvPr id="1984" name="AutoShape 960" descr="alert toggle">
          <a:extLst>
            <a:ext uri="{FF2B5EF4-FFF2-40B4-BE49-F238E27FC236}">
              <a16:creationId xmlns:a16="http://schemas.microsoft.com/office/drawing/2014/main" id="{B8FBE365-A501-E81C-B804-A5487D2ECD17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26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106</xdr:row>
      <xdr:rowOff>0</xdr:rowOff>
    </xdr:from>
    <xdr:to>
      <xdr:col>20</xdr:col>
      <xdr:colOff>304800</xdr:colOff>
      <xdr:row>107</xdr:row>
      <xdr:rowOff>101601</xdr:rowOff>
    </xdr:to>
    <xdr:sp macro="" textlink="">
      <xdr:nvSpPr>
        <xdr:cNvPr id="1987" name="AutoShape 963" descr="note-add">
          <a:extLst>
            <a:ext uri="{FF2B5EF4-FFF2-40B4-BE49-F238E27FC236}">
              <a16:creationId xmlns:a16="http://schemas.microsoft.com/office/drawing/2014/main" id="{7AAF814B-6319-E72B-BCC6-85EDC2347D36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2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106</xdr:row>
      <xdr:rowOff>0</xdr:rowOff>
    </xdr:from>
    <xdr:to>
      <xdr:col>20</xdr:col>
      <xdr:colOff>622300</xdr:colOff>
      <xdr:row>107</xdr:row>
      <xdr:rowOff>101601</xdr:rowOff>
    </xdr:to>
    <xdr:sp macro="" textlink="">
      <xdr:nvSpPr>
        <xdr:cNvPr id="1988" name="AutoShape 964" descr="alert toggle">
          <a:extLst>
            <a:ext uri="{FF2B5EF4-FFF2-40B4-BE49-F238E27FC236}">
              <a16:creationId xmlns:a16="http://schemas.microsoft.com/office/drawing/2014/main" id="{686384CB-C2B6-FCC2-D5F5-0642DD91E1B4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2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107</xdr:row>
      <xdr:rowOff>0</xdr:rowOff>
    </xdr:from>
    <xdr:to>
      <xdr:col>20</xdr:col>
      <xdr:colOff>304800</xdr:colOff>
      <xdr:row>108</xdr:row>
      <xdr:rowOff>101600</xdr:rowOff>
    </xdr:to>
    <xdr:sp macro="" textlink="">
      <xdr:nvSpPr>
        <xdr:cNvPr id="1991" name="AutoShape 967" descr="note-add">
          <a:extLst>
            <a:ext uri="{FF2B5EF4-FFF2-40B4-BE49-F238E27FC236}">
              <a16:creationId xmlns:a16="http://schemas.microsoft.com/office/drawing/2014/main" id="{8ACAD10E-4904-8AF9-6965-5FF0B34DB071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107</xdr:row>
      <xdr:rowOff>0</xdr:rowOff>
    </xdr:from>
    <xdr:to>
      <xdr:col>20</xdr:col>
      <xdr:colOff>622300</xdr:colOff>
      <xdr:row>108</xdr:row>
      <xdr:rowOff>101600</xdr:rowOff>
    </xdr:to>
    <xdr:sp macro="" textlink="">
      <xdr:nvSpPr>
        <xdr:cNvPr id="1992" name="AutoShape 968" descr="alert toggle">
          <a:extLst>
            <a:ext uri="{FF2B5EF4-FFF2-40B4-BE49-F238E27FC236}">
              <a16:creationId xmlns:a16="http://schemas.microsoft.com/office/drawing/2014/main" id="{6B5B7BCF-A9F0-6BFB-8DB1-616AEFE2C69F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107</xdr:row>
      <xdr:rowOff>0</xdr:rowOff>
    </xdr:from>
    <xdr:to>
      <xdr:col>20</xdr:col>
      <xdr:colOff>304800</xdr:colOff>
      <xdr:row>108</xdr:row>
      <xdr:rowOff>101600</xdr:rowOff>
    </xdr:to>
    <xdr:sp macro="" textlink="">
      <xdr:nvSpPr>
        <xdr:cNvPr id="1995" name="AutoShape 971" descr="note-add">
          <a:extLst>
            <a:ext uri="{FF2B5EF4-FFF2-40B4-BE49-F238E27FC236}">
              <a16:creationId xmlns:a16="http://schemas.microsoft.com/office/drawing/2014/main" id="{40F445A0-12A1-D6F4-8674-8A09D0A7D4A2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34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107</xdr:row>
      <xdr:rowOff>0</xdr:rowOff>
    </xdr:from>
    <xdr:to>
      <xdr:col>20</xdr:col>
      <xdr:colOff>622300</xdr:colOff>
      <xdr:row>108</xdr:row>
      <xdr:rowOff>101600</xdr:rowOff>
    </xdr:to>
    <xdr:sp macro="" textlink="">
      <xdr:nvSpPr>
        <xdr:cNvPr id="1996" name="AutoShape 972" descr="alert toggle">
          <a:extLst>
            <a:ext uri="{FF2B5EF4-FFF2-40B4-BE49-F238E27FC236}">
              <a16:creationId xmlns:a16="http://schemas.microsoft.com/office/drawing/2014/main" id="{87304EC4-8FE4-975E-73A1-9C545B25AD2E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34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108</xdr:row>
      <xdr:rowOff>0</xdr:rowOff>
    </xdr:from>
    <xdr:to>
      <xdr:col>20</xdr:col>
      <xdr:colOff>304800</xdr:colOff>
      <xdr:row>109</xdr:row>
      <xdr:rowOff>101599</xdr:rowOff>
    </xdr:to>
    <xdr:sp macro="" textlink="">
      <xdr:nvSpPr>
        <xdr:cNvPr id="1999" name="AutoShape 975" descr="note-add">
          <a:extLst>
            <a:ext uri="{FF2B5EF4-FFF2-40B4-BE49-F238E27FC236}">
              <a16:creationId xmlns:a16="http://schemas.microsoft.com/office/drawing/2014/main" id="{D3CC268D-873C-CC18-0A5C-EAC39BC33617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33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108</xdr:row>
      <xdr:rowOff>0</xdr:rowOff>
    </xdr:from>
    <xdr:to>
      <xdr:col>20</xdr:col>
      <xdr:colOff>622300</xdr:colOff>
      <xdr:row>109</xdr:row>
      <xdr:rowOff>101599</xdr:rowOff>
    </xdr:to>
    <xdr:sp macro="" textlink="">
      <xdr:nvSpPr>
        <xdr:cNvPr id="2000" name="AutoShape 976" descr="alert toggle">
          <a:extLst>
            <a:ext uri="{FF2B5EF4-FFF2-40B4-BE49-F238E27FC236}">
              <a16:creationId xmlns:a16="http://schemas.microsoft.com/office/drawing/2014/main" id="{47458B6B-03A1-C825-F740-634C02BB75B6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33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112</xdr:row>
      <xdr:rowOff>0</xdr:rowOff>
    </xdr:from>
    <xdr:ext cx="304800" cy="304799"/>
    <xdr:sp macro="" textlink="">
      <xdr:nvSpPr>
        <xdr:cNvPr id="2003" name="AutoShape 979" descr="note-add">
          <a:extLst>
            <a:ext uri="{FF2B5EF4-FFF2-40B4-BE49-F238E27FC236}">
              <a16:creationId xmlns:a16="http://schemas.microsoft.com/office/drawing/2014/main" id="{60A949EA-8733-6460-29C1-5F73B1138B59}"/>
            </a:ext>
          </a:extLst>
        </xdr:cNvPr>
        <xdr:cNvSpPr>
          <a:spLocks noChangeAspect="1" noChangeArrowheads="1"/>
        </xdr:cNvSpPr>
      </xdr:nvSpPr>
      <xdr:spPr bwMode="auto">
        <a:xfrm>
          <a:off x="16256000" y="84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4799"/>
    <xdr:sp macro="" textlink="">
      <xdr:nvSpPr>
        <xdr:cNvPr id="2004" name="AutoShape 980" descr="alert toggle">
          <a:extLst>
            <a:ext uri="{FF2B5EF4-FFF2-40B4-BE49-F238E27FC236}">
              <a16:creationId xmlns:a16="http://schemas.microsoft.com/office/drawing/2014/main" id="{CACC5D01-72FB-550F-7094-471631ECEBFA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84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113</xdr:row>
      <xdr:rowOff>0</xdr:rowOff>
    </xdr:from>
    <xdr:ext cx="304800" cy="304800"/>
    <xdr:sp macro="" textlink="">
      <xdr:nvSpPr>
        <xdr:cNvPr id="2007" name="AutoShape 983" descr="note-add">
          <a:extLst>
            <a:ext uri="{FF2B5EF4-FFF2-40B4-BE49-F238E27FC236}">
              <a16:creationId xmlns:a16="http://schemas.microsoft.com/office/drawing/2014/main" id="{937A6B10-0B63-B20A-47A3-D89B1488051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43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113</xdr:row>
      <xdr:rowOff>0</xdr:rowOff>
    </xdr:from>
    <xdr:ext cx="304800" cy="304800"/>
    <xdr:sp macro="" textlink="">
      <xdr:nvSpPr>
        <xdr:cNvPr id="2008" name="AutoShape 984" descr="alert toggle">
          <a:extLst>
            <a:ext uri="{FF2B5EF4-FFF2-40B4-BE49-F238E27FC236}">
              <a16:creationId xmlns:a16="http://schemas.microsoft.com/office/drawing/2014/main" id="{24D6417B-A951-F9B3-B92B-2CFEB9FAF65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43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114</xdr:row>
      <xdr:rowOff>0</xdr:rowOff>
    </xdr:from>
    <xdr:ext cx="304800" cy="304799"/>
    <xdr:sp macro="" textlink="">
      <xdr:nvSpPr>
        <xdr:cNvPr id="2011" name="AutoShape 987" descr="note-add">
          <a:extLst>
            <a:ext uri="{FF2B5EF4-FFF2-40B4-BE49-F238E27FC236}">
              <a16:creationId xmlns:a16="http://schemas.microsoft.com/office/drawing/2014/main" id="{BA4BEC94-8C58-60D9-7BC8-E2467C3DF0C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45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114</xdr:row>
      <xdr:rowOff>0</xdr:rowOff>
    </xdr:from>
    <xdr:ext cx="304800" cy="304799"/>
    <xdr:sp macro="" textlink="">
      <xdr:nvSpPr>
        <xdr:cNvPr id="2012" name="AutoShape 988" descr="alert toggle">
          <a:extLst>
            <a:ext uri="{FF2B5EF4-FFF2-40B4-BE49-F238E27FC236}">
              <a16:creationId xmlns:a16="http://schemas.microsoft.com/office/drawing/2014/main" id="{FABA70EF-A55E-B7F6-3063-86338FE22FE9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45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116</xdr:row>
      <xdr:rowOff>0</xdr:rowOff>
    </xdr:from>
    <xdr:ext cx="304800" cy="304799"/>
    <xdr:sp macro="" textlink="">
      <xdr:nvSpPr>
        <xdr:cNvPr id="2015" name="AutoShape 991" descr="note-add">
          <a:extLst>
            <a:ext uri="{FF2B5EF4-FFF2-40B4-BE49-F238E27FC236}">
              <a16:creationId xmlns:a16="http://schemas.microsoft.com/office/drawing/2014/main" id="{6848F9B9-413D-A456-4A4B-9253B567D85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5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116</xdr:row>
      <xdr:rowOff>0</xdr:rowOff>
    </xdr:from>
    <xdr:ext cx="304800" cy="304799"/>
    <xdr:sp macro="" textlink="">
      <xdr:nvSpPr>
        <xdr:cNvPr id="2016" name="AutoShape 992" descr="alert toggle">
          <a:extLst>
            <a:ext uri="{FF2B5EF4-FFF2-40B4-BE49-F238E27FC236}">
              <a16:creationId xmlns:a16="http://schemas.microsoft.com/office/drawing/2014/main" id="{B7082BFF-AA83-6FCE-52E6-76EB0A824E6F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51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117</xdr:row>
      <xdr:rowOff>0</xdr:rowOff>
    </xdr:from>
    <xdr:ext cx="304800" cy="304800"/>
    <xdr:sp macro="" textlink="">
      <xdr:nvSpPr>
        <xdr:cNvPr id="2019" name="AutoShape 995" descr="note-add">
          <a:extLst>
            <a:ext uri="{FF2B5EF4-FFF2-40B4-BE49-F238E27FC236}">
              <a16:creationId xmlns:a16="http://schemas.microsoft.com/office/drawing/2014/main" id="{3261ABC9-99D3-EEB3-048D-6A7A81588CD5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57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117</xdr:row>
      <xdr:rowOff>0</xdr:rowOff>
    </xdr:from>
    <xdr:ext cx="304800" cy="304800"/>
    <xdr:sp macro="" textlink="">
      <xdr:nvSpPr>
        <xdr:cNvPr id="2020" name="AutoShape 996" descr="alert toggle">
          <a:extLst>
            <a:ext uri="{FF2B5EF4-FFF2-40B4-BE49-F238E27FC236}">
              <a16:creationId xmlns:a16="http://schemas.microsoft.com/office/drawing/2014/main" id="{9762C05F-3130-E148-5D39-BCDD34288726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57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118</xdr:row>
      <xdr:rowOff>0</xdr:rowOff>
    </xdr:from>
    <xdr:ext cx="304800" cy="304801"/>
    <xdr:sp macro="" textlink="">
      <xdr:nvSpPr>
        <xdr:cNvPr id="2023" name="AutoShape 999" descr="note-add">
          <a:extLst>
            <a:ext uri="{FF2B5EF4-FFF2-40B4-BE49-F238E27FC236}">
              <a16:creationId xmlns:a16="http://schemas.microsoft.com/office/drawing/2014/main" id="{89DFCE06-446D-04D4-7BD5-52985AE3F81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5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118</xdr:row>
      <xdr:rowOff>0</xdr:rowOff>
    </xdr:from>
    <xdr:ext cx="304800" cy="304801"/>
    <xdr:sp macro="" textlink="">
      <xdr:nvSpPr>
        <xdr:cNvPr id="2024" name="AutoShape 1000" descr="alert toggle">
          <a:extLst>
            <a:ext uri="{FF2B5EF4-FFF2-40B4-BE49-F238E27FC236}">
              <a16:creationId xmlns:a16="http://schemas.microsoft.com/office/drawing/2014/main" id="{2FD9418C-052F-D612-4F4C-08BBA64435E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5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120</xdr:row>
      <xdr:rowOff>0</xdr:rowOff>
    </xdr:from>
    <xdr:ext cx="304800" cy="304801"/>
    <xdr:sp macro="" textlink="">
      <xdr:nvSpPr>
        <xdr:cNvPr id="2027" name="AutoShape 1003" descr="note-add">
          <a:extLst>
            <a:ext uri="{FF2B5EF4-FFF2-40B4-BE49-F238E27FC236}">
              <a16:creationId xmlns:a16="http://schemas.microsoft.com/office/drawing/2014/main" id="{FDB786BE-088F-4F52-E32F-258E1F764EE2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65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120</xdr:row>
      <xdr:rowOff>0</xdr:rowOff>
    </xdr:from>
    <xdr:ext cx="304800" cy="304801"/>
    <xdr:sp macro="" textlink="">
      <xdr:nvSpPr>
        <xdr:cNvPr id="2028" name="AutoShape 1004" descr="alert toggle">
          <a:extLst>
            <a:ext uri="{FF2B5EF4-FFF2-40B4-BE49-F238E27FC236}">
              <a16:creationId xmlns:a16="http://schemas.microsoft.com/office/drawing/2014/main" id="{1D66026C-B4CD-BEDE-B5C9-3D03077BE5F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65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120</xdr:row>
      <xdr:rowOff>0</xdr:rowOff>
    </xdr:from>
    <xdr:ext cx="304800" cy="304801"/>
    <xdr:sp macro="" textlink="">
      <xdr:nvSpPr>
        <xdr:cNvPr id="2031" name="AutoShape 1007" descr="note-add">
          <a:extLst>
            <a:ext uri="{FF2B5EF4-FFF2-40B4-BE49-F238E27FC236}">
              <a16:creationId xmlns:a16="http://schemas.microsoft.com/office/drawing/2014/main" id="{E9937B8B-E303-F6DF-76DB-40E185FFE23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65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120</xdr:row>
      <xdr:rowOff>0</xdr:rowOff>
    </xdr:from>
    <xdr:ext cx="304800" cy="304801"/>
    <xdr:sp macro="" textlink="">
      <xdr:nvSpPr>
        <xdr:cNvPr id="2032" name="AutoShape 1008" descr="alert toggle">
          <a:extLst>
            <a:ext uri="{FF2B5EF4-FFF2-40B4-BE49-F238E27FC236}">
              <a16:creationId xmlns:a16="http://schemas.microsoft.com/office/drawing/2014/main" id="{A7BFD76B-84D8-4F88-0DC6-3A780CCE9176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65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120</xdr:row>
      <xdr:rowOff>0</xdr:rowOff>
    </xdr:from>
    <xdr:ext cx="304800" cy="304799"/>
    <xdr:sp macro="" textlink="">
      <xdr:nvSpPr>
        <xdr:cNvPr id="2035" name="AutoShape 1011" descr="note-add">
          <a:extLst>
            <a:ext uri="{FF2B5EF4-FFF2-40B4-BE49-F238E27FC236}">
              <a16:creationId xmlns:a16="http://schemas.microsoft.com/office/drawing/2014/main" id="{EA38A59F-07EA-E96C-65E5-BEC5BA00AC20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68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120</xdr:row>
      <xdr:rowOff>0</xdr:rowOff>
    </xdr:from>
    <xdr:ext cx="304800" cy="304799"/>
    <xdr:sp macro="" textlink="">
      <xdr:nvSpPr>
        <xdr:cNvPr id="2036" name="AutoShape 1012" descr="alert toggle">
          <a:extLst>
            <a:ext uri="{FF2B5EF4-FFF2-40B4-BE49-F238E27FC236}">
              <a16:creationId xmlns:a16="http://schemas.microsoft.com/office/drawing/2014/main" id="{E2530C11-7A96-1156-6683-4C92F2C9FC18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68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121</xdr:row>
      <xdr:rowOff>0</xdr:rowOff>
    </xdr:from>
    <xdr:ext cx="304800" cy="304800"/>
    <xdr:sp macro="" textlink="">
      <xdr:nvSpPr>
        <xdr:cNvPr id="2039" name="AutoShape 1015" descr="note-add">
          <a:extLst>
            <a:ext uri="{FF2B5EF4-FFF2-40B4-BE49-F238E27FC236}">
              <a16:creationId xmlns:a16="http://schemas.microsoft.com/office/drawing/2014/main" id="{3F611E80-B858-E612-319E-EC297C2956D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71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121</xdr:row>
      <xdr:rowOff>0</xdr:rowOff>
    </xdr:from>
    <xdr:ext cx="304800" cy="304800"/>
    <xdr:sp macro="" textlink="">
      <xdr:nvSpPr>
        <xdr:cNvPr id="2040" name="AutoShape 1016" descr="alert toggle">
          <a:extLst>
            <a:ext uri="{FF2B5EF4-FFF2-40B4-BE49-F238E27FC236}">
              <a16:creationId xmlns:a16="http://schemas.microsoft.com/office/drawing/2014/main" id="{55D34915-0F77-B5F5-11F7-48338D9A5873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710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122</xdr:row>
      <xdr:rowOff>0</xdr:rowOff>
    </xdr:from>
    <xdr:ext cx="304800" cy="304799"/>
    <xdr:sp macro="" textlink="">
      <xdr:nvSpPr>
        <xdr:cNvPr id="2043" name="AutoShape 1019" descr="note-add">
          <a:extLst>
            <a:ext uri="{FF2B5EF4-FFF2-40B4-BE49-F238E27FC236}">
              <a16:creationId xmlns:a16="http://schemas.microsoft.com/office/drawing/2014/main" id="{95EAC318-950E-1E7D-721C-5F6D834861F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73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122</xdr:row>
      <xdr:rowOff>0</xdr:rowOff>
    </xdr:from>
    <xdr:ext cx="304800" cy="304799"/>
    <xdr:sp macro="" textlink="">
      <xdr:nvSpPr>
        <xdr:cNvPr id="2044" name="AutoShape 1020" descr="alert toggle">
          <a:extLst>
            <a:ext uri="{FF2B5EF4-FFF2-40B4-BE49-F238E27FC236}">
              <a16:creationId xmlns:a16="http://schemas.microsoft.com/office/drawing/2014/main" id="{8CE10DD3-8727-F831-5CC9-15F035F46859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738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123</xdr:row>
      <xdr:rowOff>0</xdr:rowOff>
    </xdr:from>
    <xdr:ext cx="304800" cy="304800"/>
    <xdr:sp macro="" textlink="">
      <xdr:nvSpPr>
        <xdr:cNvPr id="2047" name="AutoShape 1023" descr="note-add">
          <a:extLst>
            <a:ext uri="{FF2B5EF4-FFF2-40B4-BE49-F238E27FC236}">
              <a16:creationId xmlns:a16="http://schemas.microsoft.com/office/drawing/2014/main" id="{7BA81924-7679-9BAE-78AC-59B439FFCC4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76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123</xdr:row>
      <xdr:rowOff>0</xdr:rowOff>
    </xdr:from>
    <xdr:ext cx="304800" cy="304800"/>
    <xdr:sp macro="" textlink="">
      <xdr:nvSpPr>
        <xdr:cNvPr id="3072" name="AutoShape 1024" descr="alert toggle">
          <a:extLst>
            <a:ext uri="{FF2B5EF4-FFF2-40B4-BE49-F238E27FC236}">
              <a16:creationId xmlns:a16="http://schemas.microsoft.com/office/drawing/2014/main" id="{43EDB3D5-BFE9-3E5B-3B96-63AFEEC8E31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76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04799"/>
    <xdr:sp macro="" textlink="">
      <xdr:nvSpPr>
        <xdr:cNvPr id="3075" name="AutoShape 1027" descr="note-add">
          <a:extLst>
            <a:ext uri="{FF2B5EF4-FFF2-40B4-BE49-F238E27FC236}">
              <a16:creationId xmlns:a16="http://schemas.microsoft.com/office/drawing/2014/main" id="{FC646E51-B7D1-50D9-FF77-91A8F8FD037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124</xdr:row>
      <xdr:rowOff>0</xdr:rowOff>
    </xdr:from>
    <xdr:ext cx="304800" cy="304799"/>
    <xdr:sp macro="" textlink="">
      <xdr:nvSpPr>
        <xdr:cNvPr id="3076" name="AutoShape 1028" descr="alert toggle">
          <a:extLst>
            <a:ext uri="{FF2B5EF4-FFF2-40B4-BE49-F238E27FC236}">
              <a16:creationId xmlns:a16="http://schemas.microsoft.com/office/drawing/2014/main" id="{70B1B4E5-60B8-2A95-C735-38AED49EF03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124</xdr:row>
      <xdr:rowOff>0</xdr:rowOff>
    </xdr:from>
    <xdr:ext cx="304800" cy="304799"/>
    <xdr:sp macro="" textlink="">
      <xdr:nvSpPr>
        <xdr:cNvPr id="3079" name="AutoShape 1031" descr="note-add">
          <a:extLst>
            <a:ext uri="{FF2B5EF4-FFF2-40B4-BE49-F238E27FC236}">
              <a16:creationId xmlns:a16="http://schemas.microsoft.com/office/drawing/2014/main" id="{6CD9BB4D-9541-C37D-1F6B-BBD91291ABB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124</xdr:row>
      <xdr:rowOff>0</xdr:rowOff>
    </xdr:from>
    <xdr:ext cx="304800" cy="304799"/>
    <xdr:sp macro="" textlink="">
      <xdr:nvSpPr>
        <xdr:cNvPr id="3080" name="AutoShape 1032" descr="alert toggle">
          <a:extLst>
            <a:ext uri="{FF2B5EF4-FFF2-40B4-BE49-F238E27FC236}">
              <a16:creationId xmlns:a16="http://schemas.microsoft.com/office/drawing/2014/main" id="{0C038001-E408-0014-2430-C7D61B2D363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79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125</xdr:row>
      <xdr:rowOff>0</xdr:rowOff>
    </xdr:from>
    <xdr:ext cx="304800" cy="304799"/>
    <xdr:sp macro="" textlink="">
      <xdr:nvSpPr>
        <xdr:cNvPr id="3084" name="AutoShape 1036" descr="alert toggle">
          <a:extLst>
            <a:ext uri="{FF2B5EF4-FFF2-40B4-BE49-F238E27FC236}">
              <a16:creationId xmlns:a16="http://schemas.microsoft.com/office/drawing/2014/main" id="{44237F9D-F1A6-2B1B-D891-93BD74E65A69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82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126</xdr:row>
      <xdr:rowOff>0</xdr:rowOff>
    </xdr:from>
    <xdr:ext cx="304800" cy="304799"/>
    <xdr:sp macro="" textlink="">
      <xdr:nvSpPr>
        <xdr:cNvPr id="3087" name="AutoShape 1039" descr="note-add">
          <a:extLst>
            <a:ext uri="{FF2B5EF4-FFF2-40B4-BE49-F238E27FC236}">
              <a16:creationId xmlns:a16="http://schemas.microsoft.com/office/drawing/2014/main" id="{470D8E67-46D9-D834-7984-5DA17A9D8A2D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85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126</xdr:row>
      <xdr:rowOff>0</xdr:rowOff>
    </xdr:from>
    <xdr:ext cx="304800" cy="304799"/>
    <xdr:sp macro="" textlink="">
      <xdr:nvSpPr>
        <xdr:cNvPr id="3088" name="AutoShape 1040" descr="alert toggle">
          <a:extLst>
            <a:ext uri="{FF2B5EF4-FFF2-40B4-BE49-F238E27FC236}">
              <a16:creationId xmlns:a16="http://schemas.microsoft.com/office/drawing/2014/main" id="{E4A92C90-B58B-EA67-87E5-437F6EAE8B2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85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127</xdr:row>
      <xdr:rowOff>0</xdr:rowOff>
    </xdr:from>
    <xdr:ext cx="304800" cy="304800"/>
    <xdr:sp macro="" textlink="">
      <xdr:nvSpPr>
        <xdr:cNvPr id="3091" name="AutoShape 1043" descr="note-add">
          <a:extLst>
            <a:ext uri="{FF2B5EF4-FFF2-40B4-BE49-F238E27FC236}">
              <a16:creationId xmlns:a16="http://schemas.microsoft.com/office/drawing/2014/main" id="{699F262A-1070-C7B1-FB31-FECAECE5F78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8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127</xdr:row>
      <xdr:rowOff>0</xdr:rowOff>
    </xdr:from>
    <xdr:ext cx="304800" cy="304800"/>
    <xdr:sp macro="" textlink="">
      <xdr:nvSpPr>
        <xdr:cNvPr id="3092" name="AutoShape 1044" descr="alert toggle">
          <a:extLst>
            <a:ext uri="{FF2B5EF4-FFF2-40B4-BE49-F238E27FC236}">
              <a16:creationId xmlns:a16="http://schemas.microsoft.com/office/drawing/2014/main" id="{6ADDCA85-46D3-9132-99E1-D76D9D77C03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8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128</xdr:row>
      <xdr:rowOff>0</xdr:rowOff>
    </xdr:from>
    <xdr:ext cx="304800" cy="304799"/>
    <xdr:sp macro="" textlink="">
      <xdr:nvSpPr>
        <xdr:cNvPr id="3095" name="AutoShape 1047" descr="note-add">
          <a:extLst>
            <a:ext uri="{FF2B5EF4-FFF2-40B4-BE49-F238E27FC236}">
              <a16:creationId xmlns:a16="http://schemas.microsoft.com/office/drawing/2014/main" id="{33AB36A9-6645-EE39-8AF4-328CFBF993C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90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128</xdr:row>
      <xdr:rowOff>0</xdr:rowOff>
    </xdr:from>
    <xdr:ext cx="304800" cy="304799"/>
    <xdr:sp macro="" textlink="">
      <xdr:nvSpPr>
        <xdr:cNvPr id="3096" name="AutoShape 1048" descr="alert toggle">
          <a:extLst>
            <a:ext uri="{FF2B5EF4-FFF2-40B4-BE49-F238E27FC236}">
              <a16:creationId xmlns:a16="http://schemas.microsoft.com/office/drawing/2014/main" id="{BD6FDB57-2A78-1EA9-80DC-A5FAAA6D774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90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129</xdr:row>
      <xdr:rowOff>0</xdr:rowOff>
    </xdr:from>
    <xdr:ext cx="304800" cy="304800"/>
    <xdr:sp macro="" textlink="">
      <xdr:nvSpPr>
        <xdr:cNvPr id="3099" name="AutoShape 1051" descr="note-add">
          <a:extLst>
            <a:ext uri="{FF2B5EF4-FFF2-40B4-BE49-F238E27FC236}">
              <a16:creationId xmlns:a16="http://schemas.microsoft.com/office/drawing/2014/main" id="{C7BBDA47-48C7-66BA-D4A2-46B50CB585F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893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129</xdr:row>
      <xdr:rowOff>0</xdr:rowOff>
    </xdr:from>
    <xdr:ext cx="304800" cy="304800"/>
    <xdr:sp macro="" textlink="">
      <xdr:nvSpPr>
        <xdr:cNvPr id="3100" name="AutoShape 1052" descr="alert toggle">
          <a:extLst>
            <a:ext uri="{FF2B5EF4-FFF2-40B4-BE49-F238E27FC236}">
              <a16:creationId xmlns:a16="http://schemas.microsoft.com/office/drawing/2014/main" id="{45AFCE75-E69B-5398-E9D9-F20FBFAF841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893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3249" name="AutoShape 1201" descr="note-add">
          <a:extLst>
            <a:ext uri="{FF2B5EF4-FFF2-40B4-BE49-F238E27FC236}">
              <a16:creationId xmlns:a16="http://schemas.microsoft.com/office/drawing/2014/main" id="{7BF6F2D2-1851-9EAA-70C7-13C357BD6A0E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111</xdr:row>
      <xdr:rowOff>0</xdr:rowOff>
    </xdr:from>
    <xdr:ext cx="304800" cy="304800"/>
    <xdr:sp macro="" textlink="">
      <xdr:nvSpPr>
        <xdr:cNvPr id="3250" name="AutoShape 1202" descr="alert toggle">
          <a:extLst>
            <a:ext uri="{FF2B5EF4-FFF2-40B4-BE49-F238E27FC236}">
              <a16:creationId xmlns:a16="http://schemas.microsoft.com/office/drawing/2014/main" id="{130D63A7-E4DF-B2E3-2B99-33A786B6CDCD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304799"/>
    <xdr:sp macro="" textlink="">
      <xdr:nvSpPr>
        <xdr:cNvPr id="3253" name="AutoShape 1205" descr="note-add">
          <a:extLst>
            <a:ext uri="{FF2B5EF4-FFF2-40B4-BE49-F238E27FC236}">
              <a16:creationId xmlns:a16="http://schemas.microsoft.com/office/drawing/2014/main" id="{DA0A2EC5-2D49-014A-F228-812325E900D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</xdr:row>
      <xdr:rowOff>0</xdr:rowOff>
    </xdr:from>
    <xdr:ext cx="304800" cy="304799"/>
    <xdr:sp macro="" textlink="">
      <xdr:nvSpPr>
        <xdr:cNvPr id="3254" name="AutoShape 1206" descr="alert toggle">
          <a:extLst>
            <a:ext uri="{FF2B5EF4-FFF2-40B4-BE49-F238E27FC236}">
              <a16:creationId xmlns:a16="http://schemas.microsoft.com/office/drawing/2014/main" id="{82679C4B-B571-61B1-4941-8CB234FFA3A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</xdr:row>
      <xdr:rowOff>0</xdr:rowOff>
    </xdr:from>
    <xdr:ext cx="304800" cy="304800"/>
    <xdr:sp macro="" textlink="">
      <xdr:nvSpPr>
        <xdr:cNvPr id="3257" name="AutoShape 1209" descr="note-add">
          <a:extLst>
            <a:ext uri="{FF2B5EF4-FFF2-40B4-BE49-F238E27FC236}">
              <a16:creationId xmlns:a16="http://schemas.microsoft.com/office/drawing/2014/main" id="{2878645C-31E9-D9E0-B16C-501D70B24E1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</xdr:row>
      <xdr:rowOff>0</xdr:rowOff>
    </xdr:from>
    <xdr:ext cx="304800" cy="304800"/>
    <xdr:sp macro="" textlink="">
      <xdr:nvSpPr>
        <xdr:cNvPr id="3258" name="AutoShape 1210" descr="alert toggle">
          <a:extLst>
            <a:ext uri="{FF2B5EF4-FFF2-40B4-BE49-F238E27FC236}">
              <a16:creationId xmlns:a16="http://schemas.microsoft.com/office/drawing/2014/main" id="{12B5AB5C-4CD2-1B9D-7AB6-982F777F24E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04798"/>
    <xdr:sp macro="" textlink="">
      <xdr:nvSpPr>
        <xdr:cNvPr id="3261" name="AutoShape 1213" descr="note-add">
          <a:extLst>
            <a:ext uri="{FF2B5EF4-FFF2-40B4-BE49-F238E27FC236}">
              <a16:creationId xmlns:a16="http://schemas.microsoft.com/office/drawing/2014/main" id="{FF9D2F4E-A0CD-55F6-717A-325A1733469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36</xdr:row>
      <xdr:rowOff>0</xdr:rowOff>
    </xdr:from>
    <xdr:ext cx="304800" cy="304798"/>
    <xdr:sp macro="" textlink="">
      <xdr:nvSpPr>
        <xdr:cNvPr id="3262" name="AutoShape 1214" descr="alert toggle">
          <a:extLst>
            <a:ext uri="{FF2B5EF4-FFF2-40B4-BE49-F238E27FC236}">
              <a16:creationId xmlns:a16="http://schemas.microsoft.com/office/drawing/2014/main" id="{8C54B58F-A748-ECE2-6C56-69C63A3D9FB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</xdr:row>
      <xdr:rowOff>0</xdr:rowOff>
    </xdr:from>
    <xdr:ext cx="304800" cy="304800"/>
    <xdr:sp macro="" textlink="">
      <xdr:nvSpPr>
        <xdr:cNvPr id="3265" name="AutoShape 1217" descr="note-add">
          <a:extLst>
            <a:ext uri="{FF2B5EF4-FFF2-40B4-BE49-F238E27FC236}">
              <a16:creationId xmlns:a16="http://schemas.microsoft.com/office/drawing/2014/main" id="{61171C21-1786-81D5-7D9B-D5D38FFBCDA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</xdr:row>
      <xdr:rowOff>0</xdr:rowOff>
    </xdr:from>
    <xdr:ext cx="304800" cy="304800"/>
    <xdr:sp macro="" textlink="">
      <xdr:nvSpPr>
        <xdr:cNvPr id="3266" name="AutoShape 1218" descr="alert toggle">
          <a:extLst>
            <a:ext uri="{FF2B5EF4-FFF2-40B4-BE49-F238E27FC236}">
              <a16:creationId xmlns:a16="http://schemas.microsoft.com/office/drawing/2014/main" id="{3DD21EF3-FD5E-924E-EDBD-A65D2D06E3E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</xdr:row>
      <xdr:rowOff>0</xdr:rowOff>
    </xdr:from>
    <xdr:ext cx="304800" cy="304800"/>
    <xdr:sp macro="" textlink="">
      <xdr:nvSpPr>
        <xdr:cNvPr id="3269" name="AutoShape 1221" descr="note-add">
          <a:extLst>
            <a:ext uri="{FF2B5EF4-FFF2-40B4-BE49-F238E27FC236}">
              <a16:creationId xmlns:a16="http://schemas.microsoft.com/office/drawing/2014/main" id="{F54B83E5-A864-DC0B-3A1D-6F77F13B4E1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</xdr:row>
      <xdr:rowOff>0</xdr:rowOff>
    </xdr:from>
    <xdr:ext cx="304800" cy="304800"/>
    <xdr:sp macro="" textlink="">
      <xdr:nvSpPr>
        <xdr:cNvPr id="3270" name="AutoShape 1222" descr="alert toggle">
          <a:extLst>
            <a:ext uri="{FF2B5EF4-FFF2-40B4-BE49-F238E27FC236}">
              <a16:creationId xmlns:a16="http://schemas.microsoft.com/office/drawing/2014/main" id="{B74030B7-93D8-A7D5-8D1C-27A74E1A9C7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273" name="AutoShape 1225" descr="note-add">
          <a:extLst>
            <a:ext uri="{FF2B5EF4-FFF2-40B4-BE49-F238E27FC236}">
              <a16:creationId xmlns:a16="http://schemas.microsoft.com/office/drawing/2014/main" id="{31DA4B78-7D27-9AFA-6AD9-6E238F6F0B6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274" name="AutoShape 1226" descr="alert toggle">
          <a:extLst>
            <a:ext uri="{FF2B5EF4-FFF2-40B4-BE49-F238E27FC236}">
              <a16:creationId xmlns:a16="http://schemas.microsoft.com/office/drawing/2014/main" id="{9C97ECFA-543C-B323-4495-F96E9DD89D6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277" name="AutoShape 1229" descr="note-add">
          <a:extLst>
            <a:ext uri="{FF2B5EF4-FFF2-40B4-BE49-F238E27FC236}">
              <a16:creationId xmlns:a16="http://schemas.microsoft.com/office/drawing/2014/main" id="{036CE783-FFDA-C788-B6EF-FEA8884437C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278" name="AutoShape 1230" descr="alert toggle">
          <a:extLst>
            <a:ext uri="{FF2B5EF4-FFF2-40B4-BE49-F238E27FC236}">
              <a16:creationId xmlns:a16="http://schemas.microsoft.com/office/drawing/2014/main" id="{3F3B6694-E5B3-D77B-C468-A82E256D64A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1"/>
    <xdr:sp macro="" textlink="">
      <xdr:nvSpPr>
        <xdr:cNvPr id="3281" name="AutoShape 1233" descr="note-add">
          <a:extLst>
            <a:ext uri="{FF2B5EF4-FFF2-40B4-BE49-F238E27FC236}">
              <a16:creationId xmlns:a16="http://schemas.microsoft.com/office/drawing/2014/main" id="{DF12A5B0-7BC3-1DEC-730F-DA302E6A030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41</xdr:row>
      <xdr:rowOff>0</xdr:rowOff>
    </xdr:from>
    <xdr:ext cx="304800" cy="304801"/>
    <xdr:sp macro="" textlink="">
      <xdr:nvSpPr>
        <xdr:cNvPr id="3282" name="AutoShape 1234" descr="alert toggle">
          <a:extLst>
            <a:ext uri="{FF2B5EF4-FFF2-40B4-BE49-F238E27FC236}">
              <a16:creationId xmlns:a16="http://schemas.microsoft.com/office/drawing/2014/main" id="{EB946069-2265-CDA8-6EC1-6272A319FFA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0"/>
    <xdr:sp macro="" textlink="">
      <xdr:nvSpPr>
        <xdr:cNvPr id="3285" name="AutoShape 1237" descr="note-add">
          <a:extLst>
            <a:ext uri="{FF2B5EF4-FFF2-40B4-BE49-F238E27FC236}">
              <a16:creationId xmlns:a16="http://schemas.microsoft.com/office/drawing/2014/main" id="{898A53F2-210C-2920-A29F-F63B09803665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6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41</xdr:row>
      <xdr:rowOff>0</xdr:rowOff>
    </xdr:from>
    <xdr:ext cx="304800" cy="304800"/>
    <xdr:sp macro="" textlink="">
      <xdr:nvSpPr>
        <xdr:cNvPr id="3286" name="AutoShape 1238" descr="alert toggle">
          <a:extLst>
            <a:ext uri="{FF2B5EF4-FFF2-40B4-BE49-F238E27FC236}">
              <a16:creationId xmlns:a16="http://schemas.microsoft.com/office/drawing/2014/main" id="{0F2580BB-10DA-9CBC-FAD0-91BD88D7C38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6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42</xdr:row>
      <xdr:rowOff>0</xdr:rowOff>
    </xdr:from>
    <xdr:ext cx="304800" cy="304801"/>
    <xdr:sp macro="" textlink="">
      <xdr:nvSpPr>
        <xdr:cNvPr id="3289" name="AutoShape 1241" descr="note-add">
          <a:extLst>
            <a:ext uri="{FF2B5EF4-FFF2-40B4-BE49-F238E27FC236}">
              <a16:creationId xmlns:a16="http://schemas.microsoft.com/office/drawing/2014/main" id="{EE685B61-8750-F947-31FF-7F15A4405AF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42</xdr:row>
      <xdr:rowOff>0</xdr:rowOff>
    </xdr:from>
    <xdr:ext cx="304800" cy="304801"/>
    <xdr:sp macro="" textlink="">
      <xdr:nvSpPr>
        <xdr:cNvPr id="3290" name="AutoShape 1242" descr="alert toggle">
          <a:extLst>
            <a:ext uri="{FF2B5EF4-FFF2-40B4-BE49-F238E27FC236}">
              <a16:creationId xmlns:a16="http://schemas.microsoft.com/office/drawing/2014/main" id="{1B579828-E67F-13A5-22D2-808EE466E7D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04800"/>
    <xdr:sp macro="" textlink="">
      <xdr:nvSpPr>
        <xdr:cNvPr id="3293" name="AutoShape 1245" descr="note-add">
          <a:extLst>
            <a:ext uri="{FF2B5EF4-FFF2-40B4-BE49-F238E27FC236}">
              <a16:creationId xmlns:a16="http://schemas.microsoft.com/office/drawing/2014/main" id="{D4C2ACA4-A48E-451B-C26F-D1E44EE5394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43</xdr:row>
      <xdr:rowOff>0</xdr:rowOff>
    </xdr:from>
    <xdr:ext cx="304800" cy="304800"/>
    <xdr:sp macro="" textlink="">
      <xdr:nvSpPr>
        <xdr:cNvPr id="3294" name="AutoShape 1246" descr="alert toggle">
          <a:extLst>
            <a:ext uri="{FF2B5EF4-FFF2-40B4-BE49-F238E27FC236}">
              <a16:creationId xmlns:a16="http://schemas.microsoft.com/office/drawing/2014/main" id="{6DDFA3DD-A15E-7A78-AA3D-C5232ED31B8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04801"/>
    <xdr:sp macro="" textlink="">
      <xdr:nvSpPr>
        <xdr:cNvPr id="3297" name="AutoShape 1249" descr="note-add">
          <a:extLst>
            <a:ext uri="{FF2B5EF4-FFF2-40B4-BE49-F238E27FC236}">
              <a16:creationId xmlns:a16="http://schemas.microsoft.com/office/drawing/2014/main" id="{344831FB-2919-6454-4DB0-7F1AFB5F382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44</xdr:row>
      <xdr:rowOff>0</xdr:rowOff>
    </xdr:from>
    <xdr:ext cx="304800" cy="304801"/>
    <xdr:sp macro="" textlink="">
      <xdr:nvSpPr>
        <xdr:cNvPr id="3298" name="AutoShape 1250" descr="alert toggle">
          <a:extLst>
            <a:ext uri="{FF2B5EF4-FFF2-40B4-BE49-F238E27FC236}">
              <a16:creationId xmlns:a16="http://schemas.microsoft.com/office/drawing/2014/main" id="{643204DC-B5D3-5DCF-0A50-95B88676852D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301" name="AutoShape 1253" descr="note-add">
          <a:extLst>
            <a:ext uri="{FF2B5EF4-FFF2-40B4-BE49-F238E27FC236}">
              <a16:creationId xmlns:a16="http://schemas.microsoft.com/office/drawing/2014/main" id="{ED2A1476-D8A2-8302-5C62-F7F1C03D0C5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302" name="AutoShape 1254" descr="alert toggle">
          <a:extLst>
            <a:ext uri="{FF2B5EF4-FFF2-40B4-BE49-F238E27FC236}">
              <a16:creationId xmlns:a16="http://schemas.microsoft.com/office/drawing/2014/main" id="{31E33150-218A-CA57-61FC-D71E9B88E6C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305" name="AutoShape 1257" descr="note-add">
          <a:extLst>
            <a:ext uri="{FF2B5EF4-FFF2-40B4-BE49-F238E27FC236}">
              <a16:creationId xmlns:a16="http://schemas.microsoft.com/office/drawing/2014/main" id="{0352072A-91E0-3D89-AB2D-A59B13CAB70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306" name="AutoShape 1258" descr="alert toggle">
          <a:extLst>
            <a:ext uri="{FF2B5EF4-FFF2-40B4-BE49-F238E27FC236}">
              <a16:creationId xmlns:a16="http://schemas.microsoft.com/office/drawing/2014/main" id="{D2F69B90-EB71-DEA5-BE16-282910CF0B39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309" name="AutoShape 1261" descr="note-add">
          <a:extLst>
            <a:ext uri="{FF2B5EF4-FFF2-40B4-BE49-F238E27FC236}">
              <a16:creationId xmlns:a16="http://schemas.microsoft.com/office/drawing/2014/main" id="{31ECDCB5-0379-AB64-F3A2-FFFA1B03FB0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310" name="AutoShape 1262" descr="alert toggle">
          <a:extLst>
            <a:ext uri="{FF2B5EF4-FFF2-40B4-BE49-F238E27FC236}">
              <a16:creationId xmlns:a16="http://schemas.microsoft.com/office/drawing/2014/main" id="{7A3394F2-6AAE-87E8-0EA8-DDACB950CD2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313" name="AutoShape 1265" descr="note-add">
          <a:extLst>
            <a:ext uri="{FF2B5EF4-FFF2-40B4-BE49-F238E27FC236}">
              <a16:creationId xmlns:a16="http://schemas.microsoft.com/office/drawing/2014/main" id="{DB18E47A-6790-0221-E3B1-620827510C3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314" name="AutoShape 1266" descr="alert toggle">
          <a:extLst>
            <a:ext uri="{FF2B5EF4-FFF2-40B4-BE49-F238E27FC236}">
              <a16:creationId xmlns:a16="http://schemas.microsoft.com/office/drawing/2014/main" id="{5D0AFE4F-4D9B-B3CA-4DCA-C86DC617739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04800"/>
    <xdr:sp macro="" textlink="">
      <xdr:nvSpPr>
        <xdr:cNvPr id="3317" name="AutoShape 1269" descr="note-add">
          <a:extLst>
            <a:ext uri="{FF2B5EF4-FFF2-40B4-BE49-F238E27FC236}">
              <a16:creationId xmlns:a16="http://schemas.microsoft.com/office/drawing/2014/main" id="{6F2D9987-BAAC-BB18-FD85-8E040D1741E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49</xdr:row>
      <xdr:rowOff>0</xdr:rowOff>
    </xdr:from>
    <xdr:ext cx="304800" cy="304800"/>
    <xdr:sp macro="" textlink="">
      <xdr:nvSpPr>
        <xdr:cNvPr id="3318" name="AutoShape 1270" descr="alert toggle">
          <a:extLst>
            <a:ext uri="{FF2B5EF4-FFF2-40B4-BE49-F238E27FC236}">
              <a16:creationId xmlns:a16="http://schemas.microsoft.com/office/drawing/2014/main" id="{EBE73608-D906-635C-53AC-3DC25D1F9766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</xdr:row>
      <xdr:rowOff>0</xdr:rowOff>
    </xdr:from>
    <xdr:ext cx="304800" cy="304800"/>
    <xdr:sp macro="" textlink="">
      <xdr:nvSpPr>
        <xdr:cNvPr id="3321" name="AutoShape 1273" descr="note-add">
          <a:extLst>
            <a:ext uri="{FF2B5EF4-FFF2-40B4-BE49-F238E27FC236}">
              <a16:creationId xmlns:a16="http://schemas.microsoft.com/office/drawing/2014/main" id="{A6E88AD3-0D94-987A-95C1-024038E9A970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</xdr:row>
      <xdr:rowOff>0</xdr:rowOff>
    </xdr:from>
    <xdr:ext cx="304800" cy="304800"/>
    <xdr:sp macro="" textlink="">
      <xdr:nvSpPr>
        <xdr:cNvPr id="3322" name="AutoShape 1274" descr="alert toggle">
          <a:extLst>
            <a:ext uri="{FF2B5EF4-FFF2-40B4-BE49-F238E27FC236}">
              <a16:creationId xmlns:a16="http://schemas.microsoft.com/office/drawing/2014/main" id="{CCB5271E-BE8F-D170-9AD0-568250E8665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3323" name="AutoShape 1275" descr="note-add">
          <a:extLst>
            <a:ext uri="{FF2B5EF4-FFF2-40B4-BE49-F238E27FC236}">
              <a16:creationId xmlns:a16="http://schemas.microsoft.com/office/drawing/2014/main" id="{9BCE43DD-5FB8-6DCA-E13E-A9F23DE2048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111</xdr:row>
      <xdr:rowOff>0</xdr:rowOff>
    </xdr:from>
    <xdr:ext cx="304800" cy="304800"/>
    <xdr:sp macro="" textlink="">
      <xdr:nvSpPr>
        <xdr:cNvPr id="3324" name="AutoShape 1276" descr="alert toggle">
          <a:extLst>
            <a:ext uri="{FF2B5EF4-FFF2-40B4-BE49-F238E27FC236}">
              <a16:creationId xmlns:a16="http://schemas.microsoft.com/office/drawing/2014/main" id="{09032CD0-6B35-4C3A-7B3A-CA4793B410CF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304799"/>
    <xdr:sp macro="" textlink="">
      <xdr:nvSpPr>
        <xdr:cNvPr id="3327" name="AutoShape 1279" descr="note-add">
          <a:extLst>
            <a:ext uri="{FF2B5EF4-FFF2-40B4-BE49-F238E27FC236}">
              <a16:creationId xmlns:a16="http://schemas.microsoft.com/office/drawing/2014/main" id="{8AB0DE20-2E9A-7696-6410-917CB41F0C6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</xdr:row>
      <xdr:rowOff>0</xdr:rowOff>
    </xdr:from>
    <xdr:ext cx="304800" cy="304799"/>
    <xdr:sp macro="" textlink="">
      <xdr:nvSpPr>
        <xdr:cNvPr id="3328" name="AutoShape 1280" descr="alert toggle">
          <a:extLst>
            <a:ext uri="{FF2B5EF4-FFF2-40B4-BE49-F238E27FC236}">
              <a16:creationId xmlns:a16="http://schemas.microsoft.com/office/drawing/2014/main" id="{7E42E43A-403C-B506-7A90-E5FBE2594DA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</xdr:row>
      <xdr:rowOff>0</xdr:rowOff>
    </xdr:from>
    <xdr:ext cx="304800" cy="304800"/>
    <xdr:sp macro="" textlink="">
      <xdr:nvSpPr>
        <xdr:cNvPr id="3331" name="AutoShape 1283" descr="note-add">
          <a:extLst>
            <a:ext uri="{FF2B5EF4-FFF2-40B4-BE49-F238E27FC236}">
              <a16:creationId xmlns:a16="http://schemas.microsoft.com/office/drawing/2014/main" id="{E0DAECB2-7F0E-3105-68F7-AF15A9EB7B3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</xdr:row>
      <xdr:rowOff>0</xdr:rowOff>
    </xdr:from>
    <xdr:ext cx="304800" cy="304800"/>
    <xdr:sp macro="" textlink="">
      <xdr:nvSpPr>
        <xdr:cNvPr id="3332" name="AutoShape 1284" descr="alert toggle">
          <a:extLst>
            <a:ext uri="{FF2B5EF4-FFF2-40B4-BE49-F238E27FC236}">
              <a16:creationId xmlns:a16="http://schemas.microsoft.com/office/drawing/2014/main" id="{47992459-990A-216E-0A55-436FB1D30CD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04798"/>
    <xdr:sp macro="" textlink="">
      <xdr:nvSpPr>
        <xdr:cNvPr id="3335" name="AutoShape 1287" descr="note-add">
          <a:extLst>
            <a:ext uri="{FF2B5EF4-FFF2-40B4-BE49-F238E27FC236}">
              <a16:creationId xmlns:a16="http://schemas.microsoft.com/office/drawing/2014/main" id="{5285F731-B78D-68BD-2782-23570A47E63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36</xdr:row>
      <xdr:rowOff>0</xdr:rowOff>
    </xdr:from>
    <xdr:ext cx="304800" cy="304798"/>
    <xdr:sp macro="" textlink="">
      <xdr:nvSpPr>
        <xdr:cNvPr id="3336" name="AutoShape 1288" descr="alert toggle">
          <a:extLst>
            <a:ext uri="{FF2B5EF4-FFF2-40B4-BE49-F238E27FC236}">
              <a16:creationId xmlns:a16="http://schemas.microsoft.com/office/drawing/2014/main" id="{E39F0490-6372-320E-8335-11FED76F620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</xdr:row>
      <xdr:rowOff>0</xdr:rowOff>
    </xdr:from>
    <xdr:ext cx="304800" cy="304800"/>
    <xdr:sp macro="" textlink="">
      <xdr:nvSpPr>
        <xdr:cNvPr id="3339" name="AutoShape 1291" descr="note-add">
          <a:extLst>
            <a:ext uri="{FF2B5EF4-FFF2-40B4-BE49-F238E27FC236}">
              <a16:creationId xmlns:a16="http://schemas.microsoft.com/office/drawing/2014/main" id="{53C54E62-A77B-669A-452C-351352CEE08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</xdr:row>
      <xdr:rowOff>0</xdr:rowOff>
    </xdr:from>
    <xdr:ext cx="304800" cy="304800"/>
    <xdr:sp macro="" textlink="">
      <xdr:nvSpPr>
        <xdr:cNvPr id="3340" name="AutoShape 1292" descr="alert toggle">
          <a:extLst>
            <a:ext uri="{FF2B5EF4-FFF2-40B4-BE49-F238E27FC236}">
              <a16:creationId xmlns:a16="http://schemas.microsoft.com/office/drawing/2014/main" id="{A5707ACA-DD41-693F-D8B9-D484F818665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</xdr:row>
      <xdr:rowOff>0</xdr:rowOff>
    </xdr:from>
    <xdr:ext cx="304800" cy="304800"/>
    <xdr:sp macro="" textlink="">
      <xdr:nvSpPr>
        <xdr:cNvPr id="3343" name="AutoShape 1295" descr="note-add">
          <a:extLst>
            <a:ext uri="{FF2B5EF4-FFF2-40B4-BE49-F238E27FC236}">
              <a16:creationId xmlns:a16="http://schemas.microsoft.com/office/drawing/2014/main" id="{14C0EF17-3BBC-425B-ED82-5891F398135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</xdr:row>
      <xdr:rowOff>0</xdr:rowOff>
    </xdr:from>
    <xdr:ext cx="304800" cy="304800"/>
    <xdr:sp macro="" textlink="">
      <xdr:nvSpPr>
        <xdr:cNvPr id="3344" name="AutoShape 1296" descr="alert toggle">
          <a:extLst>
            <a:ext uri="{FF2B5EF4-FFF2-40B4-BE49-F238E27FC236}">
              <a16:creationId xmlns:a16="http://schemas.microsoft.com/office/drawing/2014/main" id="{46F4B35A-229E-0D94-9800-662A6EEF2A5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347" name="AutoShape 1299" descr="note-add">
          <a:extLst>
            <a:ext uri="{FF2B5EF4-FFF2-40B4-BE49-F238E27FC236}">
              <a16:creationId xmlns:a16="http://schemas.microsoft.com/office/drawing/2014/main" id="{EAF12B04-CAE8-1520-3FAD-FA59F06FAB4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348" name="AutoShape 1300" descr="alert toggle">
          <a:extLst>
            <a:ext uri="{FF2B5EF4-FFF2-40B4-BE49-F238E27FC236}">
              <a16:creationId xmlns:a16="http://schemas.microsoft.com/office/drawing/2014/main" id="{A61D7892-CA14-3CBF-FC88-95708F0955B8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351" name="AutoShape 1303" descr="note-add">
          <a:extLst>
            <a:ext uri="{FF2B5EF4-FFF2-40B4-BE49-F238E27FC236}">
              <a16:creationId xmlns:a16="http://schemas.microsoft.com/office/drawing/2014/main" id="{70E9D775-C202-EBE0-36E1-133C628ECBC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352" name="AutoShape 1304" descr="alert toggle">
          <a:extLst>
            <a:ext uri="{FF2B5EF4-FFF2-40B4-BE49-F238E27FC236}">
              <a16:creationId xmlns:a16="http://schemas.microsoft.com/office/drawing/2014/main" id="{E408EB36-5191-AE45-221E-58BB9018A18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1"/>
    <xdr:sp macro="" textlink="">
      <xdr:nvSpPr>
        <xdr:cNvPr id="3355" name="AutoShape 1307" descr="note-add">
          <a:extLst>
            <a:ext uri="{FF2B5EF4-FFF2-40B4-BE49-F238E27FC236}">
              <a16:creationId xmlns:a16="http://schemas.microsoft.com/office/drawing/2014/main" id="{3F2550EB-C7B0-5F3C-6936-DB971F3E2B3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41</xdr:row>
      <xdr:rowOff>0</xdr:rowOff>
    </xdr:from>
    <xdr:ext cx="304800" cy="304801"/>
    <xdr:sp macro="" textlink="">
      <xdr:nvSpPr>
        <xdr:cNvPr id="3356" name="AutoShape 1308" descr="alert toggle">
          <a:extLst>
            <a:ext uri="{FF2B5EF4-FFF2-40B4-BE49-F238E27FC236}">
              <a16:creationId xmlns:a16="http://schemas.microsoft.com/office/drawing/2014/main" id="{ED26B4DC-815C-098E-7C46-7568C8D15F1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0"/>
    <xdr:sp macro="" textlink="">
      <xdr:nvSpPr>
        <xdr:cNvPr id="3359" name="AutoShape 1311" descr="note-add">
          <a:extLst>
            <a:ext uri="{FF2B5EF4-FFF2-40B4-BE49-F238E27FC236}">
              <a16:creationId xmlns:a16="http://schemas.microsoft.com/office/drawing/2014/main" id="{72B00CDC-5202-13C9-179A-93A4535269B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6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41</xdr:row>
      <xdr:rowOff>0</xdr:rowOff>
    </xdr:from>
    <xdr:ext cx="304800" cy="304800"/>
    <xdr:sp macro="" textlink="">
      <xdr:nvSpPr>
        <xdr:cNvPr id="3360" name="AutoShape 1312" descr="alert toggle">
          <a:extLst>
            <a:ext uri="{FF2B5EF4-FFF2-40B4-BE49-F238E27FC236}">
              <a16:creationId xmlns:a16="http://schemas.microsoft.com/office/drawing/2014/main" id="{7D17D67A-3501-D3C9-0C1B-6844D79DB9F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6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42</xdr:row>
      <xdr:rowOff>0</xdr:rowOff>
    </xdr:from>
    <xdr:ext cx="304800" cy="304801"/>
    <xdr:sp macro="" textlink="">
      <xdr:nvSpPr>
        <xdr:cNvPr id="3363" name="AutoShape 1315" descr="note-add">
          <a:extLst>
            <a:ext uri="{FF2B5EF4-FFF2-40B4-BE49-F238E27FC236}">
              <a16:creationId xmlns:a16="http://schemas.microsoft.com/office/drawing/2014/main" id="{04CA7C33-229B-1467-12A8-FE2861152BD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42</xdr:row>
      <xdr:rowOff>0</xdr:rowOff>
    </xdr:from>
    <xdr:ext cx="304800" cy="304801"/>
    <xdr:sp macro="" textlink="">
      <xdr:nvSpPr>
        <xdr:cNvPr id="3364" name="AutoShape 1316" descr="alert toggle">
          <a:extLst>
            <a:ext uri="{FF2B5EF4-FFF2-40B4-BE49-F238E27FC236}">
              <a16:creationId xmlns:a16="http://schemas.microsoft.com/office/drawing/2014/main" id="{28077B4D-D051-C1EA-79DC-D81EDB8B1C6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04800"/>
    <xdr:sp macro="" textlink="">
      <xdr:nvSpPr>
        <xdr:cNvPr id="3367" name="AutoShape 1319" descr="note-add">
          <a:extLst>
            <a:ext uri="{FF2B5EF4-FFF2-40B4-BE49-F238E27FC236}">
              <a16:creationId xmlns:a16="http://schemas.microsoft.com/office/drawing/2014/main" id="{D7A29168-1835-00C4-24D2-CCD9B5F02FF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43</xdr:row>
      <xdr:rowOff>0</xdr:rowOff>
    </xdr:from>
    <xdr:ext cx="304800" cy="304800"/>
    <xdr:sp macro="" textlink="">
      <xdr:nvSpPr>
        <xdr:cNvPr id="3368" name="AutoShape 1320" descr="alert toggle">
          <a:extLst>
            <a:ext uri="{FF2B5EF4-FFF2-40B4-BE49-F238E27FC236}">
              <a16:creationId xmlns:a16="http://schemas.microsoft.com/office/drawing/2014/main" id="{154EB99B-9FAD-1ED7-B446-25DEA454373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04801"/>
    <xdr:sp macro="" textlink="">
      <xdr:nvSpPr>
        <xdr:cNvPr id="3371" name="AutoShape 1323" descr="note-add">
          <a:extLst>
            <a:ext uri="{FF2B5EF4-FFF2-40B4-BE49-F238E27FC236}">
              <a16:creationId xmlns:a16="http://schemas.microsoft.com/office/drawing/2014/main" id="{C3676C17-83E1-B71A-B60E-6497132C8D2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44</xdr:row>
      <xdr:rowOff>0</xdr:rowOff>
    </xdr:from>
    <xdr:ext cx="304800" cy="304801"/>
    <xdr:sp macro="" textlink="">
      <xdr:nvSpPr>
        <xdr:cNvPr id="3372" name="AutoShape 1324" descr="alert toggle">
          <a:extLst>
            <a:ext uri="{FF2B5EF4-FFF2-40B4-BE49-F238E27FC236}">
              <a16:creationId xmlns:a16="http://schemas.microsoft.com/office/drawing/2014/main" id="{3C37A9A7-B646-E788-8D40-D6BF95F22579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375" name="AutoShape 1327" descr="note-add">
          <a:extLst>
            <a:ext uri="{FF2B5EF4-FFF2-40B4-BE49-F238E27FC236}">
              <a16:creationId xmlns:a16="http://schemas.microsoft.com/office/drawing/2014/main" id="{2AECD192-A20C-FC65-7046-7EB55C04AC4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376" name="AutoShape 1328" descr="alert toggle">
          <a:extLst>
            <a:ext uri="{FF2B5EF4-FFF2-40B4-BE49-F238E27FC236}">
              <a16:creationId xmlns:a16="http://schemas.microsoft.com/office/drawing/2014/main" id="{1216D580-B1AF-10C5-90BF-9BE33008B6C8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379" name="AutoShape 1331" descr="note-add">
          <a:extLst>
            <a:ext uri="{FF2B5EF4-FFF2-40B4-BE49-F238E27FC236}">
              <a16:creationId xmlns:a16="http://schemas.microsoft.com/office/drawing/2014/main" id="{5CC84AB2-53C0-250F-325E-00AC73D17B8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380" name="AutoShape 1332" descr="alert toggle">
          <a:extLst>
            <a:ext uri="{FF2B5EF4-FFF2-40B4-BE49-F238E27FC236}">
              <a16:creationId xmlns:a16="http://schemas.microsoft.com/office/drawing/2014/main" id="{84314FA6-56A4-A5C7-3616-A45E69C38B4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383" name="AutoShape 1335" descr="note-add">
          <a:extLst>
            <a:ext uri="{FF2B5EF4-FFF2-40B4-BE49-F238E27FC236}">
              <a16:creationId xmlns:a16="http://schemas.microsoft.com/office/drawing/2014/main" id="{6686BDA3-DF20-2294-A373-19A7A19A6FC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384" name="AutoShape 1336" descr="alert toggle">
          <a:extLst>
            <a:ext uri="{FF2B5EF4-FFF2-40B4-BE49-F238E27FC236}">
              <a16:creationId xmlns:a16="http://schemas.microsoft.com/office/drawing/2014/main" id="{86F7E2E7-9DE5-7BC5-A243-2C08172BFEB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387" name="AutoShape 1339" descr="note-add">
          <a:extLst>
            <a:ext uri="{FF2B5EF4-FFF2-40B4-BE49-F238E27FC236}">
              <a16:creationId xmlns:a16="http://schemas.microsoft.com/office/drawing/2014/main" id="{7F7880DB-255F-4AF9-F903-CA5F4F2505C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388" name="AutoShape 1340" descr="alert toggle">
          <a:extLst>
            <a:ext uri="{FF2B5EF4-FFF2-40B4-BE49-F238E27FC236}">
              <a16:creationId xmlns:a16="http://schemas.microsoft.com/office/drawing/2014/main" id="{D8EB1243-1BDC-CF5F-9111-52C50D1B0BA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04800"/>
    <xdr:sp macro="" textlink="">
      <xdr:nvSpPr>
        <xdr:cNvPr id="3391" name="AutoShape 1343" descr="note-add">
          <a:extLst>
            <a:ext uri="{FF2B5EF4-FFF2-40B4-BE49-F238E27FC236}">
              <a16:creationId xmlns:a16="http://schemas.microsoft.com/office/drawing/2014/main" id="{7FFC54AE-A6E2-BB81-5049-86C6980276F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49</xdr:row>
      <xdr:rowOff>0</xdr:rowOff>
    </xdr:from>
    <xdr:ext cx="304800" cy="304800"/>
    <xdr:sp macro="" textlink="">
      <xdr:nvSpPr>
        <xdr:cNvPr id="3392" name="AutoShape 1344" descr="alert toggle">
          <a:extLst>
            <a:ext uri="{FF2B5EF4-FFF2-40B4-BE49-F238E27FC236}">
              <a16:creationId xmlns:a16="http://schemas.microsoft.com/office/drawing/2014/main" id="{29A61886-27A4-9FE7-9916-0392C5FF133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</xdr:row>
      <xdr:rowOff>0</xdr:rowOff>
    </xdr:from>
    <xdr:ext cx="304800" cy="304800"/>
    <xdr:sp macro="" textlink="">
      <xdr:nvSpPr>
        <xdr:cNvPr id="3395" name="AutoShape 1347" descr="note-add">
          <a:extLst>
            <a:ext uri="{FF2B5EF4-FFF2-40B4-BE49-F238E27FC236}">
              <a16:creationId xmlns:a16="http://schemas.microsoft.com/office/drawing/2014/main" id="{75720489-E62E-FAB5-3372-B2695E3189CD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</xdr:row>
      <xdr:rowOff>0</xdr:rowOff>
    </xdr:from>
    <xdr:ext cx="304800" cy="304800"/>
    <xdr:sp macro="" textlink="">
      <xdr:nvSpPr>
        <xdr:cNvPr id="3396" name="AutoShape 1348" descr="alert toggle">
          <a:extLst>
            <a:ext uri="{FF2B5EF4-FFF2-40B4-BE49-F238E27FC236}">
              <a16:creationId xmlns:a16="http://schemas.microsoft.com/office/drawing/2014/main" id="{AA1BF079-9F24-FCCD-9FA7-468DB6968F0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111</xdr:row>
      <xdr:rowOff>0</xdr:rowOff>
    </xdr:from>
    <xdr:ext cx="304800" cy="304800"/>
    <xdr:sp macro="" textlink="">
      <xdr:nvSpPr>
        <xdr:cNvPr id="3769" name="AutoShape 1721" descr="note-add">
          <a:extLst>
            <a:ext uri="{FF2B5EF4-FFF2-40B4-BE49-F238E27FC236}">
              <a16:creationId xmlns:a16="http://schemas.microsoft.com/office/drawing/2014/main" id="{00DE2510-2159-46D4-C338-6CCBF2236BD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1111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304799"/>
    <xdr:sp macro="" textlink="">
      <xdr:nvSpPr>
        <xdr:cNvPr id="3773" name="AutoShape 1725" descr="note-add">
          <a:extLst>
            <a:ext uri="{FF2B5EF4-FFF2-40B4-BE49-F238E27FC236}">
              <a16:creationId xmlns:a16="http://schemas.microsoft.com/office/drawing/2014/main" id="{643426EB-271D-CABF-B048-343B6142957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</xdr:row>
      <xdr:rowOff>0</xdr:rowOff>
    </xdr:from>
    <xdr:ext cx="304800" cy="304799"/>
    <xdr:sp macro="" textlink="">
      <xdr:nvSpPr>
        <xdr:cNvPr id="3774" name="AutoShape 1726" descr="alert toggle">
          <a:extLst>
            <a:ext uri="{FF2B5EF4-FFF2-40B4-BE49-F238E27FC236}">
              <a16:creationId xmlns:a16="http://schemas.microsoft.com/office/drawing/2014/main" id="{00929526-6507-75DC-1932-D0333DDFDED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</xdr:row>
      <xdr:rowOff>0</xdr:rowOff>
    </xdr:from>
    <xdr:ext cx="304800" cy="304800"/>
    <xdr:sp macro="" textlink="">
      <xdr:nvSpPr>
        <xdr:cNvPr id="3777" name="AutoShape 1729" descr="note-add">
          <a:extLst>
            <a:ext uri="{FF2B5EF4-FFF2-40B4-BE49-F238E27FC236}">
              <a16:creationId xmlns:a16="http://schemas.microsoft.com/office/drawing/2014/main" id="{0EA903E3-19A0-EA6F-5DC3-C340465F1E42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</xdr:row>
      <xdr:rowOff>0</xdr:rowOff>
    </xdr:from>
    <xdr:ext cx="304800" cy="304800"/>
    <xdr:sp macro="" textlink="">
      <xdr:nvSpPr>
        <xdr:cNvPr id="3778" name="AutoShape 1730" descr="alert toggle">
          <a:extLst>
            <a:ext uri="{FF2B5EF4-FFF2-40B4-BE49-F238E27FC236}">
              <a16:creationId xmlns:a16="http://schemas.microsoft.com/office/drawing/2014/main" id="{C318E296-4C30-0B99-F17F-016241375F9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04798"/>
    <xdr:sp macro="" textlink="">
      <xdr:nvSpPr>
        <xdr:cNvPr id="3781" name="AutoShape 1733" descr="note-add">
          <a:extLst>
            <a:ext uri="{FF2B5EF4-FFF2-40B4-BE49-F238E27FC236}">
              <a16:creationId xmlns:a16="http://schemas.microsoft.com/office/drawing/2014/main" id="{DFD89C5A-D0DD-F4BE-3C44-3349429A691D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36</xdr:row>
      <xdr:rowOff>0</xdr:rowOff>
    </xdr:from>
    <xdr:ext cx="304800" cy="304798"/>
    <xdr:sp macro="" textlink="">
      <xdr:nvSpPr>
        <xdr:cNvPr id="3782" name="AutoShape 1734" descr="alert toggle">
          <a:extLst>
            <a:ext uri="{FF2B5EF4-FFF2-40B4-BE49-F238E27FC236}">
              <a16:creationId xmlns:a16="http://schemas.microsoft.com/office/drawing/2014/main" id="{D1C66C6E-1362-4EEB-DEFB-8CB87DD5476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</xdr:row>
      <xdr:rowOff>0</xdr:rowOff>
    </xdr:from>
    <xdr:ext cx="304800" cy="304800"/>
    <xdr:sp macro="" textlink="">
      <xdr:nvSpPr>
        <xdr:cNvPr id="3785" name="AutoShape 1737" descr="note-add">
          <a:extLst>
            <a:ext uri="{FF2B5EF4-FFF2-40B4-BE49-F238E27FC236}">
              <a16:creationId xmlns:a16="http://schemas.microsoft.com/office/drawing/2014/main" id="{91892DE1-CE9C-153A-FB04-06CF4221452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</xdr:row>
      <xdr:rowOff>0</xdr:rowOff>
    </xdr:from>
    <xdr:ext cx="304800" cy="304800"/>
    <xdr:sp macro="" textlink="">
      <xdr:nvSpPr>
        <xdr:cNvPr id="3786" name="AutoShape 1738" descr="alert toggle">
          <a:extLst>
            <a:ext uri="{FF2B5EF4-FFF2-40B4-BE49-F238E27FC236}">
              <a16:creationId xmlns:a16="http://schemas.microsoft.com/office/drawing/2014/main" id="{FBC180D4-0C71-72C4-D544-D8A99B78EA5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</xdr:row>
      <xdr:rowOff>0</xdr:rowOff>
    </xdr:from>
    <xdr:ext cx="304800" cy="304800"/>
    <xdr:sp macro="" textlink="">
      <xdr:nvSpPr>
        <xdr:cNvPr id="3789" name="AutoShape 1741" descr="note-add">
          <a:extLst>
            <a:ext uri="{FF2B5EF4-FFF2-40B4-BE49-F238E27FC236}">
              <a16:creationId xmlns:a16="http://schemas.microsoft.com/office/drawing/2014/main" id="{DADD6487-993E-EED3-7ACB-9B6A6B6AB8C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</xdr:row>
      <xdr:rowOff>0</xdr:rowOff>
    </xdr:from>
    <xdr:ext cx="304800" cy="304800"/>
    <xdr:sp macro="" textlink="">
      <xdr:nvSpPr>
        <xdr:cNvPr id="3790" name="AutoShape 1742" descr="alert toggle">
          <a:extLst>
            <a:ext uri="{FF2B5EF4-FFF2-40B4-BE49-F238E27FC236}">
              <a16:creationId xmlns:a16="http://schemas.microsoft.com/office/drawing/2014/main" id="{305F6E26-7980-920C-B168-2AD08A34281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793" name="AutoShape 1745" descr="note-add">
          <a:extLst>
            <a:ext uri="{FF2B5EF4-FFF2-40B4-BE49-F238E27FC236}">
              <a16:creationId xmlns:a16="http://schemas.microsoft.com/office/drawing/2014/main" id="{05D8E895-520D-6B4C-D986-72106453A8D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794" name="AutoShape 1746" descr="alert toggle">
          <a:extLst>
            <a:ext uri="{FF2B5EF4-FFF2-40B4-BE49-F238E27FC236}">
              <a16:creationId xmlns:a16="http://schemas.microsoft.com/office/drawing/2014/main" id="{FA46A511-1029-F650-F1DF-8E3BF228D21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797" name="AutoShape 1749" descr="note-add">
          <a:extLst>
            <a:ext uri="{FF2B5EF4-FFF2-40B4-BE49-F238E27FC236}">
              <a16:creationId xmlns:a16="http://schemas.microsoft.com/office/drawing/2014/main" id="{9FD4B543-E750-3E5E-6B46-F419BF7D3EE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798" name="AutoShape 1750" descr="alert toggle">
          <a:extLst>
            <a:ext uri="{FF2B5EF4-FFF2-40B4-BE49-F238E27FC236}">
              <a16:creationId xmlns:a16="http://schemas.microsoft.com/office/drawing/2014/main" id="{4B5220A4-E58D-C06A-357F-6EA5EAEF426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1"/>
    <xdr:sp macro="" textlink="">
      <xdr:nvSpPr>
        <xdr:cNvPr id="3801" name="AutoShape 1753" descr="note-add">
          <a:extLst>
            <a:ext uri="{FF2B5EF4-FFF2-40B4-BE49-F238E27FC236}">
              <a16:creationId xmlns:a16="http://schemas.microsoft.com/office/drawing/2014/main" id="{599DE6BC-841E-8979-709F-A705D92C7B9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41</xdr:row>
      <xdr:rowOff>0</xdr:rowOff>
    </xdr:from>
    <xdr:ext cx="304800" cy="304801"/>
    <xdr:sp macro="" textlink="">
      <xdr:nvSpPr>
        <xdr:cNvPr id="3802" name="AutoShape 1754" descr="alert toggle">
          <a:extLst>
            <a:ext uri="{FF2B5EF4-FFF2-40B4-BE49-F238E27FC236}">
              <a16:creationId xmlns:a16="http://schemas.microsoft.com/office/drawing/2014/main" id="{E2B9BC0F-97E3-B517-1E13-FA5FA665DCE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0"/>
    <xdr:sp macro="" textlink="">
      <xdr:nvSpPr>
        <xdr:cNvPr id="3805" name="AutoShape 1757" descr="note-add">
          <a:extLst>
            <a:ext uri="{FF2B5EF4-FFF2-40B4-BE49-F238E27FC236}">
              <a16:creationId xmlns:a16="http://schemas.microsoft.com/office/drawing/2014/main" id="{466AF5A4-FF78-2E70-0F2F-F9AA870091E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6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41</xdr:row>
      <xdr:rowOff>0</xdr:rowOff>
    </xdr:from>
    <xdr:ext cx="304800" cy="304800"/>
    <xdr:sp macro="" textlink="">
      <xdr:nvSpPr>
        <xdr:cNvPr id="3806" name="AutoShape 1758" descr="alert toggle">
          <a:extLst>
            <a:ext uri="{FF2B5EF4-FFF2-40B4-BE49-F238E27FC236}">
              <a16:creationId xmlns:a16="http://schemas.microsoft.com/office/drawing/2014/main" id="{CC9E518D-B8C8-BC2B-8AAE-6592A00ED72F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6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42</xdr:row>
      <xdr:rowOff>0</xdr:rowOff>
    </xdr:from>
    <xdr:ext cx="304800" cy="304801"/>
    <xdr:sp macro="" textlink="">
      <xdr:nvSpPr>
        <xdr:cNvPr id="3809" name="AutoShape 1761" descr="note-add">
          <a:extLst>
            <a:ext uri="{FF2B5EF4-FFF2-40B4-BE49-F238E27FC236}">
              <a16:creationId xmlns:a16="http://schemas.microsoft.com/office/drawing/2014/main" id="{759170E3-10BB-B71E-CFC7-16F2D495EE8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42</xdr:row>
      <xdr:rowOff>0</xdr:rowOff>
    </xdr:from>
    <xdr:ext cx="304800" cy="304801"/>
    <xdr:sp macro="" textlink="">
      <xdr:nvSpPr>
        <xdr:cNvPr id="3810" name="AutoShape 1762" descr="alert toggle">
          <a:extLst>
            <a:ext uri="{FF2B5EF4-FFF2-40B4-BE49-F238E27FC236}">
              <a16:creationId xmlns:a16="http://schemas.microsoft.com/office/drawing/2014/main" id="{7D8AC486-9E51-E5EE-2E6F-E2E7DBB32DC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04800"/>
    <xdr:sp macro="" textlink="">
      <xdr:nvSpPr>
        <xdr:cNvPr id="3813" name="AutoShape 1765" descr="note-add">
          <a:extLst>
            <a:ext uri="{FF2B5EF4-FFF2-40B4-BE49-F238E27FC236}">
              <a16:creationId xmlns:a16="http://schemas.microsoft.com/office/drawing/2014/main" id="{CF7C2DB6-10C0-B96C-CE0D-30ED2A308E4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43</xdr:row>
      <xdr:rowOff>0</xdr:rowOff>
    </xdr:from>
    <xdr:ext cx="304800" cy="304800"/>
    <xdr:sp macro="" textlink="">
      <xdr:nvSpPr>
        <xdr:cNvPr id="3814" name="AutoShape 1766" descr="alert toggle">
          <a:extLst>
            <a:ext uri="{FF2B5EF4-FFF2-40B4-BE49-F238E27FC236}">
              <a16:creationId xmlns:a16="http://schemas.microsoft.com/office/drawing/2014/main" id="{9F0BE68F-15DB-47E9-FEC3-24C913C8CBB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04801"/>
    <xdr:sp macro="" textlink="">
      <xdr:nvSpPr>
        <xdr:cNvPr id="3817" name="AutoShape 1769" descr="note-add">
          <a:extLst>
            <a:ext uri="{FF2B5EF4-FFF2-40B4-BE49-F238E27FC236}">
              <a16:creationId xmlns:a16="http://schemas.microsoft.com/office/drawing/2014/main" id="{78BFDC81-D414-33C3-0F27-11EE4911FB0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44</xdr:row>
      <xdr:rowOff>0</xdr:rowOff>
    </xdr:from>
    <xdr:ext cx="304800" cy="304801"/>
    <xdr:sp macro="" textlink="">
      <xdr:nvSpPr>
        <xdr:cNvPr id="3818" name="AutoShape 1770" descr="alert toggle">
          <a:extLst>
            <a:ext uri="{FF2B5EF4-FFF2-40B4-BE49-F238E27FC236}">
              <a16:creationId xmlns:a16="http://schemas.microsoft.com/office/drawing/2014/main" id="{28D4FABF-5BB2-20CE-63ED-11BF70C6362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821" name="AutoShape 1773" descr="note-add">
          <a:extLst>
            <a:ext uri="{FF2B5EF4-FFF2-40B4-BE49-F238E27FC236}">
              <a16:creationId xmlns:a16="http://schemas.microsoft.com/office/drawing/2014/main" id="{F6DA882A-D69A-D4B4-3955-F5DEA0A828B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822" name="AutoShape 1774" descr="alert toggle">
          <a:extLst>
            <a:ext uri="{FF2B5EF4-FFF2-40B4-BE49-F238E27FC236}">
              <a16:creationId xmlns:a16="http://schemas.microsoft.com/office/drawing/2014/main" id="{7AEF24EE-6B8B-13D5-A601-8DB06DC75DED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825" name="AutoShape 1777" descr="note-add">
          <a:extLst>
            <a:ext uri="{FF2B5EF4-FFF2-40B4-BE49-F238E27FC236}">
              <a16:creationId xmlns:a16="http://schemas.microsoft.com/office/drawing/2014/main" id="{65E56F11-E79A-E362-FFCA-3937A6DF22E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826" name="AutoShape 1778" descr="alert toggle">
          <a:extLst>
            <a:ext uri="{FF2B5EF4-FFF2-40B4-BE49-F238E27FC236}">
              <a16:creationId xmlns:a16="http://schemas.microsoft.com/office/drawing/2014/main" id="{94CEEADC-7221-F483-C4A4-29EE5C98EEB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829" name="AutoShape 1781" descr="note-add">
          <a:extLst>
            <a:ext uri="{FF2B5EF4-FFF2-40B4-BE49-F238E27FC236}">
              <a16:creationId xmlns:a16="http://schemas.microsoft.com/office/drawing/2014/main" id="{B8A725A9-7EC7-A541-71CA-AA6FC8E4599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830" name="AutoShape 1782" descr="alert toggle">
          <a:extLst>
            <a:ext uri="{FF2B5EF4-FFF2-40B4-BE49-F238E27FC236}">
              <a16:creationId xmlns:a16="http://schemas.microsoft.com/office/drawing/2014/main" id="{463C2DE2-DF28-AFA1-B93B-147915297E3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833" name="AutoShape 1785" descr="note-add">
          <a:extLst>
            <a:ext uri="{FF2B5EF4-FFF2-40B4-BE49-F238E27FC236}">
              <a16:creationId xmlns:a16="http://schemas.microsoft.com/office/drawing/2014/main" id="{E6187889-3DD4-EF96-4297-12D88E1AC48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834" name="AutoShape 1786" descr="alert toggle">
          <a:extLst>
            <a:ext uri="{FF2B5EF4-FFF2-40B4-BE49-F238E27FC236}">
              <a16:creationId xmlns:a16="http://schemas.microsoft.com/office/drawing/2014/main" id="{61BA363F-378F-3C5C-0FA3-979809A6874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04800"/>
    <xdr:sp macro="" textlink="">
      <xdr:nvSpPr>
        <xdr:cNvPr id="3837" name="AutoShape 1789" descr="note-add">
          <a:extLst>
            <a:ext uri="{FF2B5EF4-FFF2-40B4-BE49-F238E27FC236}">
              <a16:creationId xmlns:a16="http://schemas.microsoft.com/office/drawing/2014/main" id="{A9F91166-704E-C93E-94A3-19CDFE6B105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49</xdr:row>
      <xdr:rowOff>0</xdr:rowOff>
    </xdr:from>
    <xdr:ext cx="304800" cy="304800"/>
    <xdr:sp macro="" textlink="">
      <xdr:nvSpPr>
        <xdr:cNvPr id="3838" name="AutoShape 1790" descr="alert toggle">
          <a:extLst>
            <a:ext uri="{FF2B5EF4-FFF2-40B4-BE49-F238E27FC236}">
              <a16:creationId xmlns:a16="http://schemas.microsoft.com/office/drawing/2014/main" id="{832305A2-0AFA-CE75-B6B4-C85EB0D89486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</xdr:row>
      <xdr:rowOff>0</xdr:rowOff>
    </xdr:from>
    <xdr:ext cx="304800" cy="304800"/>
    <xdr:sp macro="" textlink="">
      <xdr:nvSpPr>
        <xdr:cNvPr id="3841" name="AutoShape 1793" descr="note-add">
          <a:extLst>
            <a:ext uri="{FF2B5EF4-FFF2-40B4-BE49-F238E27FC236}">
              <a16:creationId xmlns:a16="http://schemas.microsoft.com/office/drawing/2014/main" id="{BB2ED54F-F3F7-6337-D76B-A4B6CFDDFF9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</xdr:row>
      <xdr:rowOff>0</xdr:rowOff>
    </xdr:from>
    <xdr:ext cx="304800" cy="304800"/>
    <xdr:sp macro="" textlink="">
      <xdr:nvSpPr>
        <xdr:cNvPr id="3842" name="AutoShape 1794" descr="alert toggle">
          <a:extLst>
            <a:ext uri="{FF2B5EF4-FFF2-40B4-BE49-F238E27FC236}">
              <a16:creationId xmlns:a16="http://schemas.microsoft.com/office/drawing/2014/main" id="{D85AE321-0DB0-9F1E-B834-18A57508A2A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34</xdr:row>
      <xdr:rowOff>0</xdr:rowOff>
    </xdr:from>
    <xdr:ext cx="304800" cy="304799"/>
    <xdr:sp macro="" textlink="">
      <xdr:nvSpPr>
        <xdr:cNvPr id="3845" name="AutoShape 1797" descr="note-add">
          <a:extLst>
            <a:ext uri="{FF2B5EF4-FFF2-40B4-BE49-F238E27FC236}">
              <a16:creationId xmlns:a16="http://schemas.microsoft.com/office/drawing/2014/main" id="{C7CB192C-7253-FDE3-5E9C-9E8E635314B1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34</xdr:row>
      <xdr:rowOff>0</xdr:rowOff>
    </xdr:from>
    <xdr:ext cx="304800" cy="304799"/>
    <xdr:sp macro="" textlink="">
      <xdr:nvSpPr>
        <xdr:cNvPr id="3846" name="AutoShape 1798" descr="alert toggle">
          <a:extLst>
            <a:ext uri="{FF2B5EF4-FFF2-40B4-BE49-F238E27FC236}">
              <a16:creationId xmlns:a16="http://schemas.microsoft.com/office/drawing/2014/main" id="{A0C27997-0F5C-9D7C-FA04-E25CE5D98756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4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35</xdr:row>
      <xdr:rowOff>0</xdr:rowOff>
    </xdr:from>
    <xdr:ext cx="304800" cy="304800"/>
    <xdr:sp macro="" textlink="">
      <xdr:nvSpPr>
        <xdr:cNvPr id="3849" name="AutoShape 1801" descr="note-add">
          <a:extLst>
            <a:ext uri="{FF2B5EF4-FFF2-40B4-BE49-F238E27FC236}">
              <a16:creationId xmlns:a16="http://schemas.microsoft.com/office/drawing/2014/main" id="{8FEAA065-96E8-4910-9CBD-2A02770C057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35</xdr:row>
      <xdr:rowOff>0</xdr:rowOff>
    </xdr:from>
    <xdr:ext cx="304800" cy="304800"/>
    <xdr:sp macro="" textlink="">
      <xdr:nvSpPr>
        <xdr:cNvPr id="3850" name="AutoShape 1802" descr="alert toggle">
          <a:extLst>
            <a:ext uri="{FF2B5EF4-FFF2-40B4-BE49-F238E27FC236}">
              <a16:creationId xmlns:a16="http://schemas.microsoft.com/office/drawing/2014/main" id="{A426CD9C-410A-98AE-E47E-132A5259F62B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6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36</xdr:row>
      <xdr:rowOff>0</xdr:rowOff>
    </xdr:from>
    <xdr:ext cx="304800" cy="304798"/>
    <xdr:sp macro="" textlink="">
      <xdr:nvSpPr>
        <xdr:cNvPr id="3853" name="AutoShape 1805" descr="note-add">
          <a:extLst>
            <a:ext uri="{FF2B5EF4-FFF2-40B4-BE49-F238E27FC236}">
              <a16:creationId xmlns:a16="http://schemas.microsoft.com/office/drawing/2014/main" id="{48B2BB99-B28F-2E74-9013-DCE3B13EE60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36</xdr:row>
      <xdr:rowOff>0</xdr:rowOff>
    </xdr:from>
    <xdr:ext cx="304800" cy="304798"/>
    <xdr:sp macro="" textlink="">
      <xdr:nvSpPr>
        <xdr:cNvPr id="3854" name="AutoShape 1806" descr="alert toggle">
          <a:extLst>
            <a:ext uri="{FF2B5EF4-FFF2-40B4-BE49-F238E27FC236}">
              <a16:creationId xmlns:a16="http://schemas.microsoft.com/office/drawing/2014/main" id="{3770BE23-2075-3456-9493-09DFE2345AB3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19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37</xdr:row>
      <xdr:rowOff>0</xdr:rowOff>
    </xdr:from>
    <xdr:ext cx="304800" cy="304800"/>
    <xdr:sp macro="" textlink="">
      <xdr:nvSpPr>
        <xdr:cNvPr id="3857" name="AutoShape 1809" descr="note-add">
          <a:extLst>
            <a:ext uri="{FF2B5EF4-FFF2-40B4-BE49-F238E27FC236}">
              <a16:creationId xmlns:a16="http://schemas.microsoft.com/office/drawing/2014/main" id="{2ACF463E-2FD7-5285-7149-E2C0B6F1961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37</xdr:row>
      <xdr:rowOff>0</xdr:rowOff>
    </xdr:from>
    <xdr:ext cx="304800" cy="304800"/>
    <xdr:sp macro="" textlink="">
      <xdr:nvSpPr>
        <xdr:cNvPr id="3858" name="AutoShape 1810" descr="alert toggle">
          <a:extLst>
            <a:ext uri="{FF2B5EF4-FFF2-40B4-BE49-F238E27FC236}">
              <a16:creationId xmlns:a16="http://schemas.microsoft.com/office/drawing/2014/main" id="{8C7EC38A-17C3-F389-3977-E65430DE342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2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39</xdr:row>
      <xdr:rowOff>0</xdr:rowOff>
    </xdr:from>
    <xdr:ext cx="304800" cy="304800"/>
    <xdr:sp macro="" textlink="">
      <xdr:nvSpPr>
        <xdr:cNvPr id="3861" name="AutoShape 1813" descr="note-add">
          <a:extLst>
            <a:ext uri="{FF2B5EF4-FFF2-40B4-BE49-F238E27FC236}">
              <a16:creationId xmlns:a16="http://schemas.microsoft.com/office/drawing/2014/main" id="{D353B4BD-BFF1-462D-E6B5-36BB0DEF5E95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39</xdr:row>
      <xdr:rowOff>0</xdr:rowOff>
    </xdr:from>
    <xdr:ext cx="304800" cy="304800"/>
    <xdr:sp macro="" textlink="">
      <xdr:nvSpPr>
        <xdr:cNvPr id="3862" name="AutoShape 1814" descr="alert toggle">
          <a:extLst>
            <a:ext uri="{FF2B5EF4-FFF2-40B4-BE49-F238E27FC236}">
              <a16:creationId xmlns:a16="http://schemas.microsoft.com/office/drawing/2014/main" id="{59C9A4A6-3108-6635-F4FC-865605A51763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28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865" name="AutoShape 1817" descr="note-add">
          <a:extLst>
            <a:ext uri="{FF2B5EF4-FFF2-40B4-BE49-F238E27FC236}">
              <a16:creationId xmlns:a16="http://schemas.microsoft.com/office/drawing/2014/main" id="{1CA35D82-CB0F-717F-3995-EB0E8FCB050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866" name="AutoShape 1818" descr="alert toggle">
          <a:extLst>
            <a:ext uri="{FF2B5EF4-FFF2-40B4-BE49-F238E27FC236}">
              <a16:creationId xmlns:a16="http://schemas.microsoft.com/office/drawing/2014/main" id="{D6F05D0B-951C-E2DD-06AF-269564DD543E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40</xdr:row>
      <xdr:rowOff>0</xdr:rowOff>
    </xdr:from>
    <xdr:ext cx="304800" cy="304799"/>
    <xdr:sp macro="" textlink="">
      <xdr:nvSpPr>
        <xdr:cNvPr id="3869" name="AutoShape 1821" descr="note-add">
          <a:extLst>
            <a:ext uri="{FF2B5EF4-FFF2-40B4-BE49-F238E27FC236}">
              <a16:creationId xmlns:a16="http://schemas.microsoft.com/office/drawing/2014/main" id="{D63E4FF5-0F12-F709-AFD3-05B9028637A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40</xdr:row>
      <xdr:rowOff>0</xdr:rowOff>
    </xdr:from>
    <xdr:ext cx="304800" cy="304799"/>
    <xdr:sp macro="" textlink="">
      <xdr:nvSpPr>
        <xdr:cNvPr id="3870" name="AutoShape 1822" descr="alert toggle">
          <a:extLst>
            <a:ext uri="{FF2B5EF4-FFF2-40B4-BE49-F238E27FC236}">
              <a16:creationId xmlns:a16="http://schemas.microsoft.com/office/drawing/2014/main" id="{5084CA66-C970-49C3-530A-A7C4826FA85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0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1"/>
    <xdr:sp macro="" textlink="">
      <xdr:nvSpPr>
        <xdr:cNvPr id="3873" name="AutoShape 1825" descr="note-add">
          <a:extLst>
            <a:ext uri="{FF2B5EF4-FFF2-40B4-BE49-F238E27FC236}">
              <a16:creationId xmlns:a16="http://schemas.microsoft.com/office/drawing/2014/main" id="{036BFED9-11E8-9726-02E0-1BFFCC0581C6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41</xdr:row>
      <xdr:rowOff>0</xdr:rowOff>
    </xdr:from>
    <xdr:ext cx="304800" cy="304801"/>
    <xdr:sp macro="" textlink="">
      <xdr:nvSpPr>
        <xdr:cNvPr id="3874" name="AutoShape 1826" descr="alert toggle">
          <a:extLst>
            <a:ext uri="{FF2B5EF4-FFF2-40B4-BE49-F238E27FC236}">
              <a16:creationId xmlns:a16="http://schemas.microsoft.com/office/drawing/2014/main" id="{EAAB042C-5CE8-A78C-75BA-079FC682C507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33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304800" cy="304800"/>
    <xdr:sp macro="" textlink="">
      <xdr:nvSpPr>
        <xdr:cNvPr id="3877" name="AutoShape 1829" descr="note-add">
          <a:extLst>
            <a:ext uri="{FF2B5EF4-FFF2-40B4-BE49-F238E27FC236}">
              <a16:creationId xmlns:a16="http://schemas.microsoft.com/office/drawing/2014/main" id="{FFC67D3E-C720-A0A0-E4AE-85B7ABB7A812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6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42</xdr:row>
      <xdr:rowOff>0</xdr:rowOff>
    </xdr:from>
    <xdr:ext cx="304800" cy="304801"/>
    <xdr:sp macro="" textlink="">
      <xdr:nvSpPr>
        <xdr:cNvPr id="3881" name="AutoShape 1833" descr="note-add">
          <a:extLst>
            <a:ext uri="{FF2B5EF4-FFF2-40B4-BE49-F238E27FC236}">
              <a16:creationId xmlns:a16="http://schemas.microsoft.com/office/drawing/2014/main" id="{5C0D232A-97FE-411B-045A-E90F1E013CD7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3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43</xdr:row>
      <xdr:rowOff>0</xdr:rowOff>
    </xdr:from>
    <xdr:ext cx="304800" cy="304800"/>
    <xdr:sp macro="" textlink="">
      <xdr:nvSpPr>
        <xdr:cNvPr id="3885" name="AutoShape 1837" descr="note-add">
          <a:extLst>
            <a:ext uri="{FF2B5EF4-FFF2-40B4-BE49-F238E27FC236}">
              <a16:creationId xmlns:a16="http://schemas.microsoft.com/office/drawing/2014/main" id="{33CA6A34-1B02-118B-6234-69C8C1EF848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43</xdr:row>
      <xdr:rowOff>0</xdr:rowOff>
    </xdr:from>
    <xdr:ext cx="304800" cy="304800"/>
    <xdr:sp macro="" textlink="">
      <xdr:nvSpPr>
        <xdr:cNvPr id="3886" name="AutoShape 1838" descr="alert toggle">
          <a:extLst>
            <a:ext uri="{FF2B5EF4-FFF2-40B4-BE49-F238E27FC236}">
              <a16:creationId xmlns:a16="http://schemas.microsoft.com/office/drawing/2014/main" id="{79D8A754-0E42-62D9-86D6-3AD1B6A1CB2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2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44</xdr:row>
      <xdr:rowOff>0</xdr:rowOff>
    </xdr:from>
    <xdr:ext cx="304800" cy="304801"/>
    <xdr:sp macro="" textlink="">
      <xdr:nvSpPr>
        <xdr:cNvPr id="3889" name="AutoShape 1841" descr="note-add">
          <a:extLst>
            <a:ext uri="{FF2B5EF4-FFF2-40B4-BE49-F238E27FC236}">
              <a16:creationId xmlns:a16="http://schemas.microsoft.com/office/drawing/2014/main" id="{C9A58740-1975-21C4-447D-1D89005CAD5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44</xdr:row>
      <xdr:rowOff>0</xdr:rowOff>
    </xdr:from>
    <xdr:ext cx="304800" cy="304801"/>
    <xdr:sp macro="" textlink="">
      <xdr:nvSpPr>
        <xdr:cNvPr id="3890" name="AutoShape 1842" descr="alert toggle">
          <a:extLst>
            <a:ext uri="{FF2B5EF4-FFF2-40B4-BE49-F238E27FC236}">
              <a16:creationId xmlns:a16="http://schemas.microsoft.com/office/drawing/2014/main" id="{0DB16071-7AEA-4352-A753-D4687EE657B6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893" name="AutoShape 1845" descr="note-add">
          <a:extLst>
            <a:ext uri="{FF2B5EF4-FFF2-40B4-BE49-F238E27FC236}">
              <a16:creationId xmlns:a16="http://schemas.microsoft.com/office/drawing/2014/main" id="{0689235D-09E0-5746-3DD6-B2039A2F145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894" name="AutoShape 1846" descr="alert toggle">
          <a:extLst>
            <a:ext uri="{FF2B5EF4-FFF2-40B4-BE49-F238E27FC236}">
              <a16:creationId xmlns:a16="http://schemas.microsoft.com/office/drawing/2014/main" id="{4C941270-0E8B-677C-6B8E-804E98B357D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45</xdr:row>
      <xdr:rowOff>0</xdr:rowOff>
    </xdr:from>
    <xdr:ext cx="304800" cy="304800"/>
    <xdr:sp macro="" textlink="">
      <xdr:nvSpPr>
        <xdr:cNvPr id="3897" name="AutoShape 1849" descr="note-add">
          <a:extLst>
            <a:ext uri="{FF2B5EF4-FFF2-40B4-BE49-F238E27FC236}">
              <a16:creationId xmlns:a16="http://schemas.microsoft.com/office/drawing/2014/main" id="{2681B6AB-7B1F-E58A-8D48-462758DB730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45</xdr:row>
      <xdr:rowOff>0</xdr:rowOff>
    </xdr:from>
    <xdr:ext cx="304800" cy="304800"/>
    <xdr:sp macro="" textlink="">
      <xdr:nvSpPr>
        <xdr:cNvPr id="3898" name="AutoShape 1850" descr="alert toggle">
          <a:extLst>
            <a:ext uri="{FF2B5EF4-FFF2-40B4-BE49-F238E27FC236}">
              <a16:creationId xmlns:a16="http://schemas.microsoft.com/office/drawing/2014/main" id="{F612480B-8A35-6C4E-C697-B819486F1EAF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47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901" name="AutoShape 1853" descr="note-add">
          <a:extLst>
            <a:ext uri="{FF2B5EF4-FFF2-40B4-BE49-F238E27FC236}">
              <a16:creationId xmlns:a16="http://schemas.microsoft.com/office/drawing/2014/main" id="{6BB4728A-5F27-34F1-00BE-C27E6A8DF4D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902" name="AutoShape 1854" descr="alert toggle">
          <a:extLst>
            <a:ext uri="{FF2B5EF4-FFF2-40B4-BE49-F238E27FC236}">
              <a16:creationId xmlns:a16="http://schemas.microsoft.com/office/drawing/2014/main" id="{F98ADFFC-9817-D135-DFF5-0A637798B16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6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47</xdr:row>
      <xdr:rowOff>0</xdr:rowOff>
    </xdr:from>
    <xdr:ext cx="304800" cy="304800"/>
    <xdr:sp macro="" textlink="">
      <xdr:nvSpPr>
        <xdr:cNvPr id="3905" name="AutoShape 1857" descr="note-add">
          <a:extLst>
            <a:ext uri="{FF2B5EF4-FFF2-40B4-BE49-F238E27FC236}">
              <a16:creationId xmlns:a16="http://schemas.microsoft.com/office/drawing/2014/main" id="{14251B25-43AE-1BF8-FA5D-406BD35C3A7A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47</xdr:row>
      <xdr:rowOff>0</xdr:rowOff>
    </xdr:from>
    <xdr:ext cx="304800" cy="304800"/>
    <xdr:sp macro="" textlink="">
      <xdr:nvSpPr>
        <xdr:cNvPr id="3906" name="AutoShape 1858" descr="alert toggle">
          <a:extLst>
            <a:ext uri="{FF2B5EF4-FFF2-40B4-BE49-F238E27FC236}">
              <a16:creationId xmlns:a16="http://schemas.microsoft.com/office/drawing/2014/main" id="{2360CE36-E4D7-8C91-5C46-11BE33079F58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58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04800"/>
    <xdr:sp macro="" textlink="">
      <xdr:nvSpPr>
        <xdr:cNvPr id="3909" name="AutoShape 1861" descr="note-add">
          <a:extLst>
            <a:ext uri="{FF2B5EF4-FFF2-40B4-BE49-F238E27FC236}">
              <a16:creationId xmlns:a16="http://schemas.microsoft.com/office/drawing/2014/main" id="{B055CB74-8295-BD32-A032-D911A910E79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49</xdr:row>
      <xdr:rowOff>0</xdr:rowOff>
    </xdr:from>
    <xdr:ext cx="304800" cy="304800"/>
    <xdr:sp macro="" textlink="">
      <xdr:nvSpPr>
        <xdr:cNvPr id="3910" name="AutoShape 1862" descr="alert toggle">
          <a:extLst>
            <a:ext uri="{FF2B5EF4-FFF2-40B4-BE49-F238E27FC236}">
              <a16:creationId xmlns:a16="http://schemas.microsoft.com/office/drawing/2014/main" id="{19D41D51-4B7F-6278-5D7E-2C263D46E2C1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4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</xdr:row>
      <xdr:rowOff>0</xdr:rowOff>
    </xdr:from>
    <xdr:ext cx="304800" cy="304800"/>
    <xdr:sp macro="" textlink="">
      <xdr:nvSpPr>
        <xdr:cNvPr id="3913" name="AutoShape 1865" descr="note-add">
          <a:extLst>
            <a:ext uri="{FF2B5EF4-FFF2-40B4-BE49-F238E27FC236}">
              <a16:creationId xmlns:a16="http://schemas.microsoft.com/office/drawing/2014/main" id="{8E7A374A-3BBE-6D48-66AE-621F9068412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</xdr:row>
      <xdr:rowOff>0</xdr:rowOff>
    </xdr:from>
    <xdr:ext cx="304800" cy="304800"/>
    <xdr:sp macro="" textlink="">
      <xdr:nvSpPr>
        <xdr:cNvPr id="3914" name="AutoShape 1866" descr="alert toggle">
          <a:extLst>
            <a:ext uri="{FF2B5EF4-FFF2-40B4-BE49-F238E27FC236}">
              <a16:creationId xmlns:a16="http://schemas.microsoft.com/office/drawing/2014/main" id="{07807479-664D-72CB-D894-07B11CEE3AD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</xdr:row>
      <xdr:rowOff>0</xdr:rowOff>
    </xdr:from>
    <xdr:ext cx="304800" cy="304800"/>
    <xdr:sp macro="" textlink="">
      <xdr:nvSpPr>
        <xdr:cNvPr id="3917" name="AutoShape 1869" descr="note-add">
          <a:extLst>
            <a:ext uri="{FF2B5EF4-FFF2-40B4-BE49-F238E27FC236}">
              <a16:creationId xmlns:a16="http://schemas.microsoft.com/office/drawing/2014/main" id="{286E9BC5-4DFA-CDB2-D070-E90A23A77DD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167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21</xdr:col>
      <xdr:colOff>0</xdr:colOff>
      <xdr:row>408</xdr:row>
      <xdr:rowOff>0</xdr:rowOff>
    </xdr:from>
    <xdr:to>
      <xdr:col>21</xdr:col>
      <xdr:colOff>304800</xdr:colOff>
      <xdr:row>409</xdr:row>
      <xdr:rowOff>101600</xdr:rowOff>
    </xdr:to>
    <xdr:sp macro="" textlink="">
      <xdr:nvSpPr>
        <xdr:cNvPr id="4141" name="AutoShape 2093" descr="note-add">
          <a:extLst>
            <a:ext uri="{FF2B5EF4-FFF2-40B4-BE49-F238E27FC236}">
              <a16:creationId xmlns:a16="http://schemas.microsoft.com/office/drawing/2014/main" id="{45D8BAB6-CA11-B0FD-7D27-801667E4FBD8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139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408</xdr:row>
      <xdr:rowOff>0</xdr:rowOff>
    </xdr:from>
    <xdr:to>
      <xdr:col>21</xdr:col>
      <xdr:colOff>622300</xdr:colOff>
      <xdr:row>409</xdr:row>
      <xdr:rowOff>101600</xdr:rowOff>
    </xdr:to>
    <xdr:sp macro="" textlink="">
      <xdr:nvSpPr>
        <xdr:cNvPr id="4142" name="AutoShape 2094" descr="alert toggle">
          <a:extLst>
            <a:ext uri="{FF2B5EF4-FFF2-40B4-BE49-F238E27FC236}">
              <a16:creationId xmlns:a16="http://schemas.microsoft.com/office/drawing/2014/main" id="{87AFB615-7956-4ADA-1840-6DCCE05B236A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139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375</xdr:row>
      <xdr:rowOff>0</xdr:rowOff>
    </xdr:from>
    <xdr:ext cx="304800" cy="279400"/>
    <xdr:sp macro="" textlink="">
      <xdr:nvSpPr>
        <xdr:cNvPr id="4215" name="AutoShape 2167" descr="note-add">
          <a:extLst>
            <a:ext uri="{FF2B5EF4-FFF2-40B4-BE49-F238E27FC236}">
              <a16:creationId xmlns:a16="http://schemas.microsoft.com/office/drawing/2014/main" id="{5C76D8F2-F80F-30BB-0F65-6420306FF076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167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375</xdr:row>
      <xdr:rowOff>0</xdr:rowOff>
    </xdr:from>
    <xdr:ext cx="304800" cy="279400"/>
    <xdr:sp macro="" textlink="">
      <xdr:nvSpPr>
        <xdr:cNvPr id="4216" name="AutoShape 2168" descr="alert toggle">
          <a:extLst>
            <a:ext uri="{FF2B5EF4-FFF2-40B4-BE49-F238E27FC236}">
              <a16:creationId xmlns:a16="http://schemas.microsoft.com/office/drawing/2014/main" id="{22CC8F2E-C759-0871-3960-5FC05DE3677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167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376</xdr:row>
      <xdr:rowOff>0</xdr:rowOff>
    </xdr:from>
    <xdr:ext cx="304800" cy="279400"/>
    <xdr:sp macro="" textlink="">
      <xdr:nvSpPr>
        <xdr:cNvPr id="4219" name="AutoShape 2171" descr="note-add">
          <a:extLst>
            <a:ext uri="{FF2B5EF4-FFF2-40B4-BE49-F238E27FC236}">
              <a16:creationId xmlns:a16="http://schemas.microsoft.com/office/drawing/2014/main" id="{35B1C6E4-D9F0-699A-574B-7F0E315B3368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195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376</xdr:row>
      <xdr:rowOff>0</xdr:rowOff>
    </xdr:from>
    <xdr:ext cx="304800" cy="279400"/>
    <xdr:sp macro="" textlink="">
      <xdr:nvSpPr>
        <xdr:cNvPr id="4220" name="AutoShape 2172" descr="alert toggle">
          <a:extLst>
            <a:ext uri="{FF2B5EF4-FFF2-40B4-BE49-F238E27FC236}">
              <a16:creationId xmlns:a16="http://schemas.microsoft.com/office/drawing/2014/main" id="{0C055AB2-8FD7-EB84-3C66-59EA1CA59D2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195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380</xdr:row>
      <xdr:rowOff>0</xdr:rowOff>
    </xdr:from>
    <xdr:ext cx="304800" cy="279400"/>
    <xdr:sp macro="" textlink="">
      <xdr:nvSpPr>
        <xdr:cNvPr id="4223" name="AutoShape 2175" descr="note-add">
          <a:extLst>
            <a:ext uri="{FF2B5EF4-FFF2-40B4-BE49-F238E27FC236}">
              <a16:creationId xmlns:a16="http://schemas.microsoft.com/office/drawing/2014/main" id="{3317A0EB-63F8-2209-0B7F-C5147F6E548A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334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380</xdr:row>
      <xdr:rowOff>0</xdr:rowOff>
    </xdr:from>
    <xdr:ext cx="304800" cy="279400"/>
    <xdr:sp macro="" textlink="">
      <xdr:nvSpPr>
        <xdr:cNvPr id="4224" name="AutoShape 2176" descr="alert toggle">
          <a:extLst>
            <a:ext uri="{FF2B5EF4-FFF2-40B4-BE49-F238E27FC236}">
              <a16:creationId xmlns:a16="http://schemas.microsoft.com/office/drawing/2014/main" id="{06BD766E-643B-2A11-1226-7439F936EF4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334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381</xdr:row>
      <xdr:rowOff>0</xdr:rowOff>
    </xdr:from>
    <xdr:ext cx="304800" cy="279400"/>
    <xdr:sp macro="" textlink="">
      <xdr:nvSpPr>
        <xdr:cNvPr id="4227" name="AutoShape 2179" descr="note-add">
          <a:extLst>
            <a:ext uri="{FF2B5EF4-FFF2-40B4-BE49-F238E27FC236}">
              <a16:creationId xmlns:a16="http://schemas.microsoft.com/office/drawing/2014/main" id="{8A7774C2-5329-C855-7F95-CE422B601E49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362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381</xdr:row>
      <xdr:rowOff>0</xdr:rowOff>
    </xdr:from>
    <xdr:ext cx="304800" cy="279400"/>
    <xdr:sp macro="" textlink="">
      <xdr:nvSpPr>
        <xdr:cNvPr id="4228" name="AutoShape 2180" descr="alert toggle">
          <a:extLst>
            <a:ext uri="{FF2B5EF4-FFF2-40B4-BE49-F238E27FC236}">
              <a16:creationId xmlns:a16="http://schemas.microsoft.com/office/drawing/2014/main" id="{82186452-B19C-5096-53A4-7F3A8D834AA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362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383</xdr:row>
      <xdr:rowOff>0</xdr:rowOff>
    </xdr:from>
    <xdr:ext cx="304800" cy="279400"/>
    <xdr:sp macro="" textlink="">
      <xdr:nvSpPr>
        <xdr:cNvPr id="4231" name="AutoShape 2183" descr="note-add">
          <a:extLst>
            <a:ext uri="{FF2B5EF4-FFF2-40B4-BE49-F238E27FC236}">
              <a16:creationId xmlns:a16="http://schemas.microsoft.com/office/drawing/2014/main" id="{912A62C3-11E9-8D57-0791-E0C513C7E5EB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418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383</xdr:row>
      <xdr:rowOff>0</xdr:rowOff>
    </xdr:from>
    <xdr:ext cx="304800" cy="279400"/>
    <xdr:sp macro="" textlink="">
      <xdr:nvSpPr>
        <xdr:cNvPr id="4232" name="AutoShape 2184" descr="alert toggle">
          <a:extLst>
            <a:ext uri="{FF2B5EF4-FFF2-40B4-BE49-F238E27FC236}">
              <a16:creationId xmlns:a16="http://schemas.microsoft.com/office/drawing/2014/main" id="{C9E31E48-39D7-553B-B667-AB8D6A6F209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418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386</xdr:row>
      <xdr:rowOff>0</xdr:rowOff>
    </xdr:from>
    <xdr:ext cx="304800" cy="279400"/>
    <xdr:sp macro="" textlink="">
      <xdr:nvSpPr>
        <xdr:cNvPr id="4235" name="AutoShape 2187" descr="note-add">
          <a:extLst>
            <a:ext uri="{FF2B5EF4-FFF2-40B4-BE49-F238E27FC236}">
              <a16:creationId xmlns:a16="http://schemas.microsoft.com/office/drawing/2014/main" id="{A6C1CECD-74D1-DB1D-AB56-6B06EE1BB6F5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502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386</xdr:row>
      <xdr:rowOff>0</xdr:rowOff>
    </xdr:from>
    <xdr:ext cx="304800" cy="279400"/>
    <xdr:sp macro="" textlink="">
      <xdr:nvSpPr>
        <xdr:cNvPr id="4236" name="AutoShape 2188" descr="alert toggle">
          <a:extLst>
            <a:ext uri="{FF2B5EF4-FFF2-40B4-BE49-F238E27FC236}">
              <a16:creationId xmlns:a16="http://schemas.microsoft.com/office/drawing/2014/main" id="{FBE88F82-CED9-312F-1AE4-D42DDD16196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502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387</xdr:row>
      <xdr:rowOff>0</xdr:rowOff>
    </xdr:from>
    <xdr:ext cx="304800" cy="279400"/>
    <xdr:sp macro="" textlink="">
      <xdr:nvSpPr>
        <xdr:cNvPr id="4239" name="AutoShape 2191" descr="note-add">
          <a:extLst>
            <a:ext uri="{FF2B5EF4-FFF2-40B4-BE49-F238E27FC236}">
              <a16:creationId xmlns:a16="http://schemas.microsoft.com/office/drawing/2014/main" id="{10FD2CC5-BC32-60C9-4A0A-4598956C4C66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530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387</xdr:row>
      <xdr:rowOff>0</xdr:rowOff>
    </xdr:from>
    <xdr:ext cx="304800" cy="279400"/>
    <xdr:sp macro="" textlink="">
      <xdr:nvSpPr>
        <xdr:cNvPr id="4240" name="AutoShape 2192" descr="alert toggle">
          <a:extLst>
            <a:ext uri="{FF2B5EF4-FFF2-40B4-BE49-F238E27FC236}">
              <a16:creationId xmlns:a16="http://schemas.microsoft.com/office/drawing/2014/main" id="{EF904FE7-F9FF-7F4F-96BB-36CED5F6A30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530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390</xdr:row>
      <xdr:rowOff>0</xdr:rowOff>
    </xdr:from>
    <xdr:ext cx="304800" cy="279400"/>
    <xdr:sp macro="" textlink="">
      <xdr:nvSpPr>
        <xdr:cNvPr id="4243" name="AutoShape 2195" descr="note-add">
          <a:extLst>
            <a:ext uri="{FF2B5EF4-FFF2-40B4-BE49-F238E27FC236}">
              <a16:creationId xmlns:a16="http://schemas.microsoft.com/office/drawing/2014/main" id="{6DDD6672-BDFF-CF96-98AA-61878B672517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141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390</xdr:row>
      <xdr:rowOff>0</xdr:rowOff>
    </xdr:from>
    <xdr:ext cx="304800" cy="279400"/>
    <xdr:sp macro="" textlink="">
      <xdr:nvSpPr>
        <xdr:cNvPr id="4244" name="AutoShape 2196" descr="alert toggle">
          <a:extLst>
            <a:ext uri="{FF2B5EF4-FFF2-40B4-BE49-F238E27FC236}">
              <a16:creationId xmlns:a16="http://schemas.microsoft.com/office/drawing/2014/main" id="{C7648C98-1AF1-312E-3766-FEEEEAA54BA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6141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391</xdr:row>
      <xdr:rowOff>0</xdr:rowOff>
    </xdr:from>
    <xdr:ext cx="304800" cy="279400"/>
    <xdr:sp macro="" textlink="">
      <xdr:nvSpPr>
        <xdr:cNvPr id="4247" name="AutoShape 2199" descr="note-add">
          <a:extLst>
            <a:ext uri="{FF2B5EF4-FFF2-40B4-BE49-F238E27FC236}">
              <a16:creationId xmlns:a16="http://schemas.microsoft.com/office/drawing/2014/main" id="{1969FBC6-2A3D-EEF3-02E3-17693A81B952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42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391</xdr:row>
      <xdr:rowOff>0</xdr:rowOff>
    </xdr:from>
    <xdr:ext cx="304800" cy="279400"/>
    <xdr:sp macro="" textlink="">
      <xdr:nvSpPr>
        <xdr:cNvPr id="4248" name="AutoShape 2200" descr="alert toggle">
          <a:extLst>
            <a:ext uri="{FF2B5EF4-FFF2-40B4-BE49-F238E27FC236}">
              <a16:creationId xmlns:a16="http://schemas.microsoft.com/office/drawing/2014/main" id="{27BAFF09-E565-0C33-6DDF-810314AD4BA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642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384</xdr:row>
      <xdr:rowOff>0</xdr:rowOff>
    </xdr:from>
    <xdr:ext cx="304800" cy="279400"/>
    <xdr:sp macro="" textlink="">
      <xdr:nvSpPr>
        <xdr:cNvPr id="4251" name="AutoShape 2203" descr="note-add">
          <a:extLst>
            <a:ext uri="{FF2B5EF4-FFF2-40B4-BE49-F238E27FC236}">
              <a16:creationId xmlns:a16="http://schemas.microsoft.com/office/drawing/2014/main" id="{8C74268C-BC87-C76A-2D0A-1DB9752886CC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446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384</xdr:row>
      <xdr:rowOff>0</xdr:rowOff>
    </xdr:from>
    <xdr:ext cx="304800" cy="279400"/>
    <xdr:sp macro="" textlink="">
      <xdr:nvSpPr>
        <xdr:cNvPr id="4252" name="AutoShape 2204" descr="alert toggle">
          <a:extLst>
            <a:ext uri="{FF2B5EF4-FFF2-40B4-BE49-F238E27FC236}">
              <a16:creationId xmlns:a16="http://schemas.microsoft.com/office/drawing/2014/main" id="{0E858C70-9BD0-2F59-1D3C-520A6DC7869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446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386</xdr:row>
      <xdr:rowOff>0</xdr:rowOff>
    </xdr:from>
    <xdr:ext cx="304800" cy="279400"/>
    <xdr:sp macro="" textlink="">
      <xdr:nvSpPr>
        <xdr:cNvPr id="4255" name="AutoShape 2207" descr="note-add">
          <a:extLst>
            <a:ext uri="{FF2B5EF4-FFF2-40B4-BE49-F238E27FC236}">
              <a16:creationId xmlns:a16="http://schemas.microsoft.com/office/drawing/2014/main" id="{C6376497-8F5F-77ED-7069-D9A25DCE154D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502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386</xdr:row>
      <xdr:rowOff>0</xdr:rowOff>
    </xdr:from>
    <xdr:ext cx="304800" cy="279400"/>
    <xdr:sp macro="" textlink="">
      <xdr:nvSpPr>
        <xdr:cNvPr id="4256" name="AutoShape 2208" descr="alert toggle">
          <a:extLst>
            <a:ext uri="{FF2B5EF4-FFF2-40B4-BE49-F238E27FC236}">
              <a16:creationId xmlns:a16="http://schemas.microsoft.com/office/drawing/2014/main" id="{91354EB4-4BCD-98D2-DF8A-50A28F44D947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502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391</xdr:row>
      <xdr:rowOff>0</xdr:rowOff>
    </xdr:from>
    <xdr:ext cx="304800" cy="279400"/>
    <xdr:sp macro="" textlink="">
      <xdr:nvSpPr>
        <xdr:cNvPr id="4259" name="AutoShape 2211" descr="note-add">
          <a:extLst>
            <a:ext uri="{FF2B5EF4-FFF2-40B4-BE49-F238E27FC236}">
              <a16:creationId xmlns:a16="http://schemas.microsoft.com/office/drawing/2014/main" id="{73F21D1E-11F4-15AE-5D5A-577952C604D5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42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391</xdr:row>
      <xdr:rowOff>0</xdr:rowOff>
    </xdr:from>
    <xdr:ext cx="304800" cy="279400"/>
    <xdr:sp macro="" textlink="">
      <xdr:nvSpPr>
        <xdr:cNvPr id="4260" name="AutoShape 2212" descr="alert toggle">
          <a:extLst>
            <a:ext uri="{FF2B5EF4-FFF2-40B4-BE49-F238E27FC236}">
              <a16:creationId xmlns:a16="http://schemas.microsoft.com/office/drawing/2014/main" id="{7376ECD5-C0F5-E437-CD37-50278BC1185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642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391</xdr:row>
      <xdr:rowOff>0</xdr:rowOff>
    </xdr:from>
    <xdr:ext cx="304800" cy="304799"/>
    <xdr:sp macro="" textlink="">
      <xdr:nvSpPr>
        <xdr:cNvPr id="4263" name="AutoShape 2215" descr="note-add">
          <a:extLst>
            <a:ext uri="{FF2B5EF4-FFF2-40B4-BE49-F238E27FC236}">
              <a16:creationId xmlns:a16="http://schemas.microsoft.com/office/drawing/2014/main" id="{787FBE5C-FD9D-D9EE-DCDE-0AFA752F02A2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4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391</xdr:row>
      <xdr:rowOff>0</xdr:rowOff>
    </xdr:from>
    <xdr:ext cx="304800" cy="304799"/>
    <xdr:sp macro="" textlink="">
      <xdr:nvSpPr>
        <xdr:cNvPr id="4264" name="AutoShape 2216" descr="alert toggle">
          <a:extLst>
            <a:ext uri="{FF2B5EF4-FFF2-40B4-BE49-F238E27FC236}">
              <a16:creationId xmlns:a16="http://schemas.microsoft.com/office/drawing/2014/main" id="{187B9792-8DB0-9652-B17D-F95CE2EE0DE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64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50</xdr:row>
      <xdr:rowOff>0</xdr:rowOff>
    </xdr:from>
    <xdr:ext cx="304800" cy="279400"/>
    <xdr:sp macro="" textlink="">
      <xdr:nvSpPr>
        <xdr:cNvPr id="4557" name="AutoShape 2509" descr="note-add">
          <a:extLst>
            <a:ext uri="{FF2B5EF4-FFF2-40B4-BE49-F238E27FC236}">
              <a16:creationId xmlns:a16="http://schemas.microsoft.com/office/drawing/2014/main" id="{F3E85D53-90F7-B4ED-7FFC-F9ED55ADBDE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2593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50</xdr:row>
      <xdr:rowOff>0</xdr:rowOff>
    </xdr:from>
    <xdr:ext cx="304800" cy="279400"/>
    <xdr:sp macro="" textlink="">
      <xdr:nvSpPr>
        <xdr:cNvPr id="4558" name="AutoShape 2510" descr="alert toggle">
          <a:extLst>
            <a:ext uri="{FF2B5EF4-FFF2-40B4-BE49-F238E27FC236}">
              <a16:creationId xmlns:a16="http://schemas.microsoft.com/office/drawing/2014/main" id="{BEE307D4-3DDA-4763-8EBF-0FFB2CFB6D0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2593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52</xdr:row>
      <xdr:rowOff>0</xdr:rowOff>
    </xdr:from>
    <xdr:ext cx="304800" cy="279400"/>
    <xdr:sp macro="" textlink="">
      <xdr:nvSpPr>
        <xdr:cNvPr id="4561" name="AutoShape 2513" descr="note-add">
          <a:extLst>
            <a:ext uri="{FF2B5EF4-FFF2-40B4-BE49-F238E27FC236}">
              <a16:creationId xmlns:a16="http://schemas.microsoft.com/office/drawing/2014/main" id="{5E33E7D6-2E1E-F14D-A3D9-9782D8768F68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3151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52</xdr:row>
      <xdr:rowOff>0</xdr:rowOff>
    </xdr:from>
    <xdr:ext cx="304800" cy="279400"/>
    <xdr:sp macro="" textlink="">
      <xdr:nvSpPr>
        <xdr:cNvPr id="4562" name="AutoShape 2514" descr="alert toggle">
          <a:extLst>
            <a:ext uri="{FF2B5EF4-FFF2-40B4-BE49-F238E27FC236}">
              <a16:creationId xmlns:a16="http://schemas.microsoft.com/office/drawing/2014/main" id="{4CCF7130-9DBD-F7BA-0959-6FA22678ED34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3151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279400"/>
    <xdr:sp macro="" textlink="">
      <xdr:nvSpPr>
        <xdr:cNvPr id="4565" name="AutoShape 2517" descr="note-add">
          <a:extLst>
            <a:ext uri="{FF2B5EF4-FFF2-40B4-BE49-F238E27FC236}">
              <a16:creationId xmlns:a16="http://schemas.microsoft.com/office/drawing/2014/main" id="{41F45EA4-E284-CE9F-42E2-8D1ABD5DA70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4269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53</xdr:row>
      <xdr:rowOff>0</xdr:rowOff>
    </xdr:from>
    <xdr:ext cx="304800" cy="279400"/>
    <xdr:sp macro="" textlink="">
      <xdr:nvSpPr>
        <xdr:cNvPr id="4566" name="AutoShape 2518" descr="alert toggle">
          <a:extLst>
            <a:ext uri="{FF2B5EF4-FFF2-40B4-BE49-F238E27FC236}">
              <a16:creationId xmlns:a16="http://schemas.microsoft.com/office/drawing/2014/main" id="{F9FA318C-A746-0AF3-1644-FBAEC9E3BA63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4269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53</xdr:row>
      <xdr:rowOff>0</xdr:rowOff>
    </xdr:from>
    <xdr:ext cx="304800" cy="279400"/>
    <xdr:sp macro="" textlink="">
      <xdr:nvSpPr>
        <xdr:cNvPr id="4569" name="AutoShape 2521" descr="note-add">
          <a:extLst>
            <a:ext uri="{FF2B5EF4-FFF2-40B4-BE49-F238E27FC236}">
              <a16:creationId xmlns:a16="http://schemas.microsoft.com/office/drawing/2014/main" id="{7ADCA464-BACE-3E53-4E25-72776549763E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454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53</xdr:row>
      <xdr:rowOff>0</xdr:rowOff>
    </xdr:from>
    <xdr:ext cx="304800" cy="279400"/>
    <xdr:sp macro="" textlink="">
      <xdr:nvSpPr>
        <xdr:cNvPr id="4570" name="AutoShape 2522" descr="alert toggle">
          <a:extLst>
            <a:ext uri="{FF2B5EF4-FFF2-40B4-BE49-F238E27FC236}">
              <a16:creationId xmlns:a16="http://schemas.microsoft.com/office/drawing/2014/main" id="{CCAC89AE-3347-9187-D4F3-26395D7D659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454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54</xdr:row>
      <xdr:rowOff>0</xdr:rowOff>
    </xdr:from>
    <xdr:ext cx="304800" cy="279400"/>
    <xdr:sp macro="" textlink="">
      <xdr:nvSpPr>
        <xdr:cNvPr id="4573" name="AutoShape 2525" descr="note-add">
          <a:extLst>
            <a:ext uri="{FF2B5EF4-FFF2-40B4-BE49-F238E27FC236}">
              <a16:creationId xmlns:a16="http://schemas.microsoft.com/office/drawing/2014/main" id="{82C36527-1C28-D5EE-BFC9-F4FB00213F0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482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54</xdr:row>
      <xdr:rowOff>0</xdr:rowOff>
    </xdr:from>
    <xdr:ext cx="304800" cy="279400"/>
    <xdr:sp macro="" textlink="">
      <xdr:nvSpPr>
        <xdr:cNvPr id="4574" name="AutoShape 2526" descr="alert toggle">
          <a:extLst>
            <a:ext uri="{FF2B5EF4-FFF2-40B4-BE49-F238E27FC236}">
              <a16:creationId xmlns:a16="http://schemas.microsoft.com/office/drawing/2014/main" id="{A8A49865-2865-6AFF-D065-909845B9D900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482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55</xdr:row>
      <xdr:rowOff>0</xdr:rowOff>
    </xdr:from>
    <xdr:ext cx="304800" cy="279400"/>
    <xdr:sp macro="" textlink="">
      <xdr:nvSpPr>
        <xdr:cNvPr id="4577" name="AutoShape 2529" descr="note-add">
          <a:extLst>
            <a:ext uri="{FF2B5EF4-FFF2-40B4-BE49-F238E27FC236}">
              <a16:creationId xmlns:a16="http://schemas.microsoft.com/office/drawing/2014/main" id="{73AE72BC-5C1F-57F0-27B3-821F6150FA5C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510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55</xdr:row>
      <xdr:rowOff>0</xdr:rowOff>
    </xdr:from>
    <xdr:ext cx="304800" cy="279400"/>
    <xdr:sp macro="" textlink="">
      <xdr:nvSpPr>
        <xdr:cNvPr id="4578" name="AutoShape 2530" descr="alert toggle">
          <a:extLst>
            <a:ext uri="{FF2B5EF4-FFF2-40B4-BE49-F238E27FC236}">
              <a16:creationId xmlns:a16="http://schemas.microsoft.com/office/drawing/2014/main" id="{1D450434-0856-3767-B0AD-1A2C4A58ED7F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510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56</xdr:row>
      <xdr:rowOff>0</xdr:rowOff>
    </xdr:from>
    <xdr:ext cx="304800" cy="279400"/>
    <xdr:sp macro="" textlink="">
      <xdr:nvSpPr>
        <xdr:cNvPr id="4581" name="AutoShape 2533" descr="note-add">
          <a:extLst>
            <a:ext uri="{FF2B5EF4-FFF2-40B4-BE49-F238E27FC236}">
              <a16:creationId xmlns:a16="http://schemas.microsoft.com/office/drawing/2014/main" id="{7E062475-E292-5BFB-C67B-6E9456AB432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538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56</xdr:row>
      <xdr:rowOff>0</xdr:rowOff>
    </xdr:from>
    <xdr:ext cx="304800" cy="279400"/>
    <xdr:sp macro="" textlink="">
      <xdr:nvSpPr>
        <xdr:cNvPr id="4582" name="AutoShape 2534" descr="alert toggle">
          <a:extLst>
            <a:ext uri="{FF2B5EF4-FFF2-40B4-BE49-F238E27FC236}">
              <a16:creationId xmlns:a16="http://schemas.microsoft.com/office/drawing/2014/main" id="{F4F97AC9-5072-1CFF-F26E-D93FA0C66BA9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538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57</xdr:row>
      <xdr:rowOff>0</xdr:rowOff>
    </xdr:from>
    <xdr:ext cx="304800" cy="279400"/>
    <xdr:sp macro="" textlink="">
      <xdr:nvSpPr>
        <xdr:cNvPr id="4585" name="AutoShape 2537" descr="note-add">
          <a:extLst>
            <a:ext uri="{FF2B5EF4-FFF2-40B4-BE49-F238E27FC236}">
              <a16:creationId xmlns:a16="http://schemas.microsoft.com/office/drawing/2014/main" id="{C035D0A8-66BA-3ADA-007E-D31BF1557080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566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57</xdr:row>
      <xdr:rowOff>0</xdr:rowOff>
    </xdr:from>
    <xdr:ext cx="304800" cy="279400"/>
    <xdr:sp macro="" textlink="">
      <xdr:nvSpPr>
        <xdr:cNvPr id="4586" name="AutoShape 2538" descr="alert toggle">
          <a:extLst>
            <a:ext uri="{FF2B5EF4-FFF2-40B4-BE49-F238E27FC236}">
              <a16:creationId xmlns:a16="http://schemas.microsoft.com/office/drawing/2014/main" id="{87ACB9D3-400F-919D-5F03-6BF3CF83C882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566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58</xdr:row>
      <xdr:rowOff>0</xdr:rowOff>
    </xdr:from>
    <xdr:ext cx="304800" cy="279400"/>
    <xdr:sp macro="" textlink="">
      <xdr:nvSpPr>
        <xdr:cNvPr id="4589" name="AutoShape 2541" descr="note-add">
          <a:extLst>
            <a:ext uri="{FF2B5EF4-FFF2-40B4-BE49-F238E27FC236}">
              <a16:creationId xmlns:a16="http://schemas.microsoft.com/office/drawing/2014/main" id="{E67995DD-E69F-CB23-D14A-31E980800D50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594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58</xdr:row>
      <xdr:rowOff>0</xdr:rowOff>
    </xdr:from>
    <xdr:ext cx="304800" cy="279400"/>
    <xdr:sp macro="" textlink="">
      <xdr:nvSpPr>
        <xdr:cNvPr id="4590" name="AutoShape 2542" descr="alert toggle">
          <a:extLst>
            <a:ext uri="{FF2B5EF4-FFF2-40B4-BE49-F238E27FC236}">
              <a16:creationId xmlns:a16="http://schemas.microsoft.com/office/drawing/2014/main" id="{B7D9A695-E9DD-AF66-176A-BD74632FB21A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594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58</xdr:row>
      <xdr:rowOff>0</xdr:rowOff>
    </xdr:from>
    <xdr:ext cx="304800" cy="279400"/>
    <xdr:sp macro="" textlink="">
      <xdr:nvSpPr>
        <xdr:cNvPr id="4593" name="AutoShape 2545" descr="note-add">
          <a:extLst>
            <a:ext uri="{FF2B5EF4-FFF2-40B4-BE49-F238E27FC236}">
              <a16:creationId xmlns:a16="http://schemas.microsoft.com/office/drawing/2014/main" id="{50269C22-7593-AC7A-656A-25531EC5527B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594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58</xdr:row>
      <xdr:rowOff>0</xdr:rowOff>
    </xdr:from>
    <xdr:ext cx="304800" cy="279400"/>
    <xdr:sp macro="" textlink="">
      <xdr:nvSpPr>
        <xdr:cNvPr id="4594" name="AutoShape 2546" descr="alert toggle">
          <a:extLst>
            <a:ext uri="{FF2B5EF4-FFF2-40B4-BE49-F238E27FC236}">
              <a16:creationId xmlns:a16="http://schemas.microsoft.com/office/drawing/2014/main" id="{E8673385-982E-7875-B2C1-186F16073F8D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594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59</xdr:row>
      <xdr:rowOff>0</xdr:rowOff>
    </xdr:from>
    <xdr:ext cx="304800" cy="279400"/>
    <xdr:sp macro="" textlink="">
      <xdr:nvSpPr>
        <xdr:cNvPr id="4597" name="AutoShape 2549" descr="note-add">
          <a:extLst>
            <a:ext uri="{FF2B5EF4-FFF2-40B4-BE49-F238E27FC236}">
              <a16:creationId xmlns:a16="http://schemas.microsoft.com/office/drawing/2014/main" id="{4FCB400F-5565-AF0C-A8F8-E96B530CF41F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622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59</xdr:row>
      <xdr:rowOff>0</xdr:rowOff>
    </xdr:from>
    <xdr:ext cx="304800" cy="279400"/>
    <xdr:sp macro="" textlink="">
      <xdr:nvSpPr>
        <xdr:cNvPr id="4598" name="AutoShape 2550" descr="alert toggle">
          <a:extLst>
            <a:ext uri="{FF2B5EF4-FFF2-40B4-BE49-F238E27FC236}">
              <a16:creationId xmlns:a16="http://schemas.microsoft.com/office/drawing/2014/main" id="{FC2B7240-F9DD-A49F-91B1-B0982819BFF5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622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60</xdr:row>
      <xdr:rowOff>0</xdr:rowOff>
    </xdr:from>
    <xdr:ext cx="304800" cy="279400"/>
    <xdr:sp macro="" textlink="">
      <xdr:nvSpPr>
        <xdr:cNvPr id="4601" name="AutoShape 2553" descr="note-add">
          <a:extLst>
            <a:ext uri="{FF2B5EF4-FFF2-40B4-BE49-F238E27FC236}">
              <a16:creationId xmlns:a16="http://schemas.microsoft.com/office/drawing/2014/main" id="{9CDB8394-AF06-343B-066D-028C230B0BAD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650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60</xdr:row>
      <xdr:rowOff>0</xdr:rowOff>
    </xdr:from>
    <xdr:ext cx="304800" cy="279400"/>
    <xdr:sp macro="" textlink="">
      <xdr:nvSpPr>
        <xdr:cNvPr id="4602" name="AutoShape 2554" descr="alert toggle">
          <a:extLst>
            <a:ext uri="{FF2B5EF4-FFF2-40B4-BE49-F238E27FC236}">
              <a16:creationId xmlns:a16="http://schemas.microsoft.com/office/drawing/2014/main" id="{7AECF48C-9935-FCE2-F799-3C1C11094A3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650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61</xdr:row>
      <xdr:rowOff>0</xdr:rowOff>
    </xdr:from>
    <xdr:ext cx="304800" cy="279400"/>
    <xdr:sp macro="" textlink="">
      <xdr:nvSpPr>
        <xdr:cNvPr id="4605" name="AutoShape 2557" descr="note-add">
          <a:extLst>
            <a:ext uri="{FF2B5EF4-FFF2-40B4-BE49-F238E27FC236}">
              <a16:creationId xmlns:a16="http://schemas.microsoft.com/office/drawing/2014/main" id="{22E799EE-9D40-63A8-6F81-EC9657E3C353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678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61</xdr:row>
      <xdr:rowOff>0</xdr:rowOff>
    </xdr:from>
    <xdr:ext cx="304800" cy="279400"/>
    <xdr:sp macro="" textlink="">
      <xdr:nvSpPr>
        <xdr:cNvPr id="4606" name="AutoShape 2558" descr="alert toggle">
          <a:extLst>
            <a:ext uri="{FF2B5EF4-FFF2-40B4-BE49-F238E27FC236}">
              <a16:creationId xmlns:a16="http://schemas.microsoft.com/office/drawing/2014/main" id="{C1C3BC80-F7D6-7661-DC32-70571D71B3EF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678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62</xdr:row>
      <xdr:rowOff>0</xdr:rowOff>
    </xdr:from>
    <xdr:ext cx="304800" cy="292101"/>
    <xdr:sp macro="" textlink="">
      <xdr:nvSpPr>
        <xdr:cNvPr id="4609" name="AutoShape 2561" descr="note-add">
          <a:extLst>
            <a:ext uri="{FF2B5EF4-FFF2-40B4-BE49-F238E27FC236}">
              <a16:creationId xmlns:a16="http://schemas.microsoft.com/office/drawing/2014/main" id="{0526BE51-1434-AD3B-982A-1AEA3B5117B9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7342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62</xdr:row>
      <xdr:rowOff>0</xdr:rowOff>
    </xdr:from>
    <xdr:ext cx="304800" cy="292101"/>
    <xdr:sp macro="" textlink="">
      <xdr:nvSpPr>
        <xdr:cNvPr id="4610" name="AutoShape 2562" descr="alert toggle">
          <a:extLst>
            <a:ext uri="{FF2B5EF4-FFF2-40B4-BE49-F238E27FC236}">
              <a16:creationId xmlns:a16="http://schemas.microsoft.com/office/drawing/2014/main" id="{C7F458C7-FCBC-15A5-F7C9-5FEAFC44D17F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7342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63</xdr:row>
      <xdr:rowOff>0</xdr:rowOff>
    </xdr:from>
    <xdr:ext cx="304800" cy="292101"/>
    <xdr:sp macro="" textlink="">
      <xdr:nvSpPr>
        <xdr:cNvPr id="4613" name="AutoShape 2565" descr="note-add">
          <a:extLst>
            <a:ext uri="{FF2B5EF4-FFF2-40B4-BE49-F238E27FC236}">
              <a16:creationId xmlns:a16="http://schemas.microsoft.com/office/drawing/2014/main" id="{C1FB5CE1-E61B-6BAC-40B9-71EC91CB4184}"/>
            </a:ext>
          </a:extLst>
        </xdr:cNvPr>
        <xdr:cNvSpPr>
          <a:spLocks noChangeAspect="1" noChangeArrowheads="1"/>
        </xdr:cNvSpPr>
      </xdr:nvSpPr>
      <xdr:spPr bwMode="auto">
        <a:xfrm>
          <a:off x="14046200" y="127622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317500</xdr:colOff>
      <xdr:row>63</xdr:row>
      <xdr:rowOff>0</xdr:rowOff>
    </xdr:from>
    <xdr:ext cx="304800" cy="292101"/>
    <xdr:sp macro="" textlink="">
      <xdr:nvSpPr>
        <xdr:cNvPr id="4614" name="AutoShape 2566" descr="alert toggle">
          <a:extLst>
            <a:ext uri="{FF2B5EF4-FFF2-40B4-BE49-F238E27FC236}">
              <a16:creationId xmlns:a16="http://schemas.microsoft.com/office/drawing/2014/main" id="{6B10F5A6-CC40-57EA-A15C-159225D5CC0C}"/>
            </a:ext>
          </a:extLst>
        </xdr:cNvPr>
        <xdr:cNvSpPr>
          <a:spLocks noChangeAspect="1" noChangeArrowheads="1"/>
        </xdr:cNvSpPr>
      </xdr:nvSpPr>
      <xdr:spPr bwMode="auto">
        <a:xfrm>
          <a:off x="14363700" y="127622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30</xdr:col>
      <xdr:colOff>0</xdr:colOff>
      <xdr:row>4</xdr:row>
      <xdr:rowOff>0</xdr:rowOff>
    </xdr:from>
    <xdr:to>
      <xdr:col>30</xdr:col>
      <xdr:colOff>304800</xdr:colOff>
      <xdr:row>5</xdr:row>
      <xdr:rowOff>98099</xdr:rowOff>
    </xdr:to>
    <xdr:sp macro="" textlink="">
      <xdr:nvSpPr>
        <xdr:cNvPr id="4975" name="AutoShape 2927" descr="note-add">
          <a:extLst>
            <a:ext uri="{FF2B5EF4-FFF2-40B4-BE49-F238E27FC236}">
              <a16:creationId xmlns:a16="http://schemas.microsoft.com/office/drawing/2014/main" id="{D07B51BA-5A5B-7AC3-33B4-EDAFC80C9807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1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4</xdr:row>
      <xdr:rowOff>0</xdr:rowOff>
    </xdr:from>
    <xdr:to>
      <xdr:col>30</xdr:col>
      <xdr:colOff>622300</xdr:colOff>
      <xdr:row>5</xdr:row>
      <xdr:rowOff>98099</xdr:rowOff>
    </xdr:to>
    <xdr:sp macro="" textlink="">
      <xdr:nvSpPr>
        <xdr:cNvPr id="4976" name="AutoShape 2928" descr="alert toggle">
          <a:extLst>
            <a:ext uri="{FF2B5EF4-FFF2-40B4-BE49-F238E27FC236}">
              <a16:creationId xmlns:a16="http://schemas.microsoft.com/office/drawing/2014/main" id="{EF892F7C-EC7B-124B-AFE9-02FFAB13636C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10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5</xdr:row>
      <xdr:rowOff>0</xdr:rowOff>
    </xdr:from>
    <xdr:to>
      <xdr:col>30</xdr:col>
      <xdr:colOff>304800</xdr:colOff>
      <xdr:row>6</xdr:row>
      <xdr:rowOff>76200</xdr:rowOff>
    </xdr:to>
    <xdr:sp macro="" textlink="">
      <xdr:nvSpPr>
        <xdr:cNvPr id="4979" name="AutoShape 2931" descr="note-add">
          <a:extLst>
            <a:ext uri="{FF2B5EF4-FFF2-40B4-BE49-F238E27FC236}">
              <a16:creationId xmlns:a16="http://schemas.microsoft.com/office/drawing/2014/main" id="{DE734522-E43B-FA92-7DC0-34CD66A32BDE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5</xdr:row>
      <xdr:rowOff>0</xdr:rowOff>
    </xdr:from>
    <xdr:to>
      <xdr:col>30</xdr:col>
      <xdr:colOff>622300</xdr:colOff>
      <xdr:row>6</xdr:row>
      <xdr:rowOff>76200</xdr:rowOff>
    </xdr:to>
    <xdr:sp macro="" textlink="">
      <xdr:nvSpPr>
        <xdr:cNvPr id="4980" name="AutoShape 2932" descr="alert toggle">
          <a:extLst>
            <a:ext uri="{FF2B5EF4-FFF2-40B4-BE49-F238E27FC236}">
              <a16:creationId xmlns:a16="http://schemas.microsoft.com/office/drawing/2014/main" id="{09238B18-34A6-2CC3-CE91-AC645481D7DF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76200</xdr:rowOff>
    </xdr:to>
    <xdr:sp macro="" textlink="">
      <xdr:nvSpPr>
        <xdr:cNvPr id="4983" name="AutoShape 2935" descr="note-add">
          <a:extLst>
            <a:ext uri="{FF2B5EF4-FFF2-40B4-BE49-F238E27FC236}">
              <a16:creationId xmlns:a16="http://schemas.microsoft.com/office/drawing/2014/main" id="{C5741DA6-603B-C159-F1C2-D326D4632F86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16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6</xdr:row>
      <xdr:rowOff>0</xdr:rowOff>
    </xdr:from>
    <xdr:to>
      <xdr:col>30</xdr:col>
      <xdr:colOff>622300</xdr:colOff>
      <xdr:row>7</xdr:row>
      <xdr:rowOff>76200</xdr:rowOff>
    </xdr:to>
    <xdr:sp macro="" textlink="">
      <xdr:nvSpPr>
        <xdr:cNvPr id="4984" name="AutoShape 2936" descr="alert toggle">
          <a:extLst>
            <a:ext uri="{FF2B5EF4-FFF2-40B4-BE49-F238E27FC236}">
              <a16:creationId xmlns:a16="http://schemas.microsoft.com/office/drawing/2014/main" id="{C34E889D-59D8-7166-8F0F-03E72ED9C2BB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16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304800</xdr:colOff>
      <xdr:row>8</xdr:row>
      <xdr:rowOff>76200</xdr:rowOff>
    </xdr:to>
    <xdr:sp macro="" textlink="">
      <xdr:nvSpPr>
        <xdr:cNvPr id="4987" name="AutoShape 2939" descr="note-add">
          <a:extLst>
            <a:ext uri="{FF2B5EF4-FFF2-40B4-BE49-F238E27FC236}">
              <a16:creationId xmlns:a16="http://schemas.microsoft.com/office/drawing/2014/main" id="{E5F14B16-282C-00A1-0C57-FAAE8D37AE17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7</xdr:row>
      <xdr:rowOff>0</xdr:rowOff>
    </xdr:from>
    <xdr:to>
      <xdr:col>30</xdr:col>
      <xdr:colOff>622300</xdr:colOff>
      <xdr:row>8</xdr:row>
      <xdr:rowOff>76200</xdr:rowOff>
    </xdr:to>
    <xdr:sp macro="" textlink="">
      <xdr:nvSpPr>
        <xdr:cNvPr id="4988" name="AutoShape 2940" descr="alert toggle">
          <a:extLst>
            <a:ext uri="{FF2B5EF4-FFF2-40B4-BE49-F238E27FC236}">
              <a16:creationId xmlns:a16="http://schemas.microsoft.com/office/drawing/2014/main" id="{2FB6766D-FCDD-C65F-E8BC-91918A4A6798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18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304800</xdr:colOff>
      <xdr:row>9</xdr:row>
      <xdr:rowOff>76200</xdr:rowOff>
    </xdr:to>
    <xdr:sp macro="" textlink="">
      <xdr:nvSpPr>
        <xdr:cNvPr id="4991" name="AutoShape 2943" descr="note-add">
          <a:extLst>
            <a:ext uri="{FF2B5EF4-FFF2-40B4-BE49-F238E27FC236}">
              <a16:creationId xmlns:a16="http://schemas.microsoft.com/office/drawing/2014/main" id="{6B3F9658-F371-336C-E7B1-4A144A3491E9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8</xdr:row>
      <xdr:rowOff>0</xdr:rowOff>
    </xdr:from>
    <xdr:to>
      <xdr:col>30</xdr:col>
      <xdr:colOff>622300</xdr:colOff>
      <xdr:row>9</xdr:row>
      <xdr:rowOff>76200</xdr:rowOff>
    </xdr:to>
    <xdr:sp macro="" textlink="">
      <xdr:nvSpPr>
        <xdr:cNvPr id="4992" name="AutoShape 2944" descr="alert toggle">
          <a:extLst>
            <a:ext uri="{FF2B5EF4-FFF2-40B4-BE49-F238E27FC236}">
              <a16:creationId xmlns:a16="http://schemas.microsoft.com/office/drawing/2014/main" id="{CD00344A-10FB-DEA8-EE2F-DD346A69BB12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304800</xdr:colOff>
      <xdr:row>10</xdr:row>
      <xdr:rowOff>76200</xdr:rowOff>
    </xdr:to>
    <xdr:sp macro="" textlink="">
      <xdr:nvSpPr>
        <xdr:cNvPr id="4995" name="AutoShape 2947" descr="note-add">
          <a:extLst>
            <a:ext uri="{FF2B5EF4-FFF2-40B4-BE49-F238E27FC236}">
              <a16:creationId xmlns:a16="http://schemas.microsoft.com/office/drawing/2014/main" id="{F03ADA53-3AE8-1515-A4B0-1238A152A38E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24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9</xdr:row>
      <xdr:rowOff>0</xdr:rowOff>
    </xdr:from>
    <xdr:to>
      <xdr:col>30</xdr:col>
      <xdr:colOff>622300</xdr:colOff>
      <xdr:row>10</xdr:row>
      <xdr:rowOff>76200</xdr:rowOff>
    </xdr:to>
    <xdr:sp macro="" textlink="">
      <xdr:nvSpPr>
        <xdr:cNvPr id="4996" name="AutoShape 2948" descr="alert toggle">
          <a:extLst>
            <a:ext uri="{FF2B5EF4-FFF2-40B4-BE49-F238E27FC236}">
              <a16:creationId xmlns:a16="http://schemas.microsoft.com/office/drawing/2014/main" id="{E53CEB1D-4DA4-8675-45FD-6A72E2474693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245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10</xdr:row>
      <xdr:rowOff>0</xdr:rowOff>
    </xdr:from>
    <xdr:to>
      <xdr:col>30</xdr:col>
      <xdr:colOff>304800</xdr:colOff>
      <xdr:row>11</xdr:row>
      <xdr:rowOff>76200</xdr:rowOff>
    </xdr:to>
    <xdr:sp macro="" textlink="">
      <xdr:nvSpPr>
        <xdr:cNvPr id="4999" name="AutoShape 2951" descr="note-add">
          <a:extLst>
            <a:ext uri="{FF2B5EF4-FFF2-40B4-BE49-F238E27FC236}">
              <a16:creationId xmlns:a16="http://schemas.microsoft.com/office/drawing/2014/main" id="{A2D3644B-4C09-297B-264E-A5E439A12A42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27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10</xdr:row>
      <xdr:rowOff>0</xdr:rowOff>
    </xdr:from>
    <xdr:to>
      <xdr:col>30</xdr:col>
      <xdr:colOff>622300</xdr:colOff>
      <xdr:row>11</xdr:row>
      <xdr:rowOff>76200</xdr:rowOff>
    </xdr:to>
    <xdr:sp macro="" textlink="">
      <xdr:nvSpPr>
        <xdr:cNvPr id="5000" name="AutoShape 2952" descr="alert toggle">
          <a:extLst>
            <a:ext uri="{FF2B5EF4-FFF2-40B4-BE49-F238E27FC236}">
              <a16:creationId xmlns:a16="http://schemas.microsoft.com/office/drawing/2014/main" id="{4134560B-7CB3-E475-7010-598F7650B6A3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27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11</xdr:row>
      <xdr:rowOff>0</xdr:rowOff>
    </xdr:from>
    <xdr:to>
      <xdr:col>30</xdr:col>
      <xdr:colOff>304800</xdr:colOff>
      <xdr:row>12</xdr:row>
      <xdr:rowOff>76200</xdr:rowOff>
    </xdr:to>
    <xdr:sp macro="" textlink="">
      <xdr:nvSpPr>
        <xdr:cNvPr id="5003" name="AutoShape 2955" descr="note-add">
          <a:extLst>
            <a:ext uri="{FF2B5EF4-FFF2-40B4-BE49-F238E27FC236}">
              <a16:creationId xmlns:a16="http://schemas.microsoft.com/office/drawing/2014/main" id="{BC5BC53A-7140-C7C3-C325-7170BBEAD22A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11</xdr:row>
      <xdr:rowOff>0</xdr:rowOff>
    </xdr:from>
    <xdr:to>
      <xdr:col>30</xdr:col>
      <xdr:colOff>622300</xdr:colOff>
      <xdr:row>12</xdr:row>
      <xdr:rowOff>76200</xdr:rowOff>
    </xdr:to>
    <xdr:sp macro="" textlink="">
      <xdr:nvSpPr>
        <xdr:cNvPr id="5004" name="AutoShape 2956" descr="alert toggle">
          <a:extLst>
            <a:ext uri="{FF2B5EF4-FFF2-40B4-BE49-F238E27FC236}">
              <a16:creationId xmlns:a16="http://schemas.microsoft.com/office/drawing/2014/main" id="{4E69CCC8-6F24-DA5D-AEE1-FF14BF1B662B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30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304800</xdr:colOff>
      <xdr:row>13</xdr:row>
      <xdr:rowOff>76200</xdr:rowOff>
    </xdr:to>
    <xdr:sp macro="" textlink="">
      <xdr:nvSpPr>
        <xdr:cNvPr id="5007" name="AutoShape 2959" descr="note-add">
          <a:extLst>
            <a:ext uri="{FF2B5EF4-FFF2-40B4-BE49-F238E27FC236}">
              <a16:creationId xmlns:a16="http://schemas.microsoft.com/office/drawing/2014/main" id="{D58CAC7C-4CD6-D54D-18B3-CB3C05957392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3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12</xdr:row>
      <xdr:rowOff>0</xdr:rowOff>
    </xdr:from>
    <xdr:to>
      <xdr:col>30</xdr:col>
      <xdr:colOff>622300</xdr:colOff>
      <xdr:row>13</xdr:row>
      <xdr:rowOff>76200</xdr:rowOff>
    </xdr:to>
    <xdr:sp macro="" textlink="">
      <xdr:nvSpPr>
        <xdr:cNvPr id="5008" name="AutoShape 2960" descr="alert toggle">
          <a:extLst>
            <a:ext uri="{FF2B5EF4-FFF2-40B4-BE49-F238E27FC236}">
              <a16:creationId xmlns:a16="http://schemas.microsoft.com/office/drawing/2014/main" id="{F911109C-9650-4D90-FCCF-6AFFAF5CC9A0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3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304800</xdr:colOff>
      <xdr:row>14</xdr:row>
      <xdr:rowOff>76200</xdr:rowOff>
    </xdr:to>
    <xdr:sp macro="" textlink="">
      <xdr:nvSpPr>
        <xdr:cNvPr id="5011" name="AutoShape 2963" descr="note-add">
          <a:extLst>
            <a:ext uri="{FF2B5EF4-FFF2-40B4-BE49-F238E27FC236}">
              <a16:creationId xmlns:a16="http://schemas.microsoft.com/office/drawing/2014/main" id="{B8605E4C-6C84-F5B9-C5F0-272320B690F3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3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13</xdr:row>
      <xdr:rowOff>0</xdr:rowOff>
    </xdr:from>
    <xdr:to>
      <xdr:col>30</xdr:col>
      <xdr:colOff>622300</xdr:colOff>
      <xdr:row>14</xdr:row>
      <xdr:rowOff>76200</xdr:rowOff>
    </xdr:to>
    <xdr:sp macro="" textlink="">
      <xdr:nvSpPr>
        <xdr:cNvPr id="5012" name="AutoShape 2964" descr="alert toggle">
          <a:extLst>
            <a:ext uri="{FF2B5EF4-FFF2-40B4-BE49-F238E27FC236}">
              <a16:creationId xmlns:a16="http://schemas.microsoft.com/office/drawing/2014/main" id="{8EB02C74-FD4B-A23F-FD67-1F00C0E635E3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3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14</xdr:row>
      <xdr:rowOff>0</xdr:rowOff>
    </xdr:from>
    <xdr:to>
      <xdr:col>30</xdr:col>
      <xdr:colOff>304800</xdr:colOff>
      <xdr:row>15</xdr:row>
      <xdr:rowOff>76200</xdr:rowOff>
    </xdr:to>
    <xdr:sp macro="" textlink="">
      <xdr:nvSpPr>
        <xdr:cNvPr id="5015" name="AutoShape 2967" descr="note-add">
          <a:extLst>
            <a:ext uri="{FF2B5EF4-FFF2-40B4-BE49-F238E27FC236}">
              <a16:creationId xmlns:a16="http://schemas.microsoft.com/office/drawing/2014/main" id="{2E2F4063-7298-E8A0-2DF5-688DD1C59F90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14</xdr:row>
      <xdr:rowOff>0</xdr:rowOff>
    </xdr:from>
    <xdr:to>
      <xdr:col>30</xdr:col>
      <xdr:colOff>622300</xdr:colOff>
      <xdr:row>15</xdr:row>
      <xdr:rowOff>76200</xdr:rowOff>
    </xdr:to>
    <xdr:sp macro="" textlink="">
      <xdr:nvSpPr>
        <xdr:cNvPr id="5016" name="AutoShape 2968" descr="alert toggle">
          <a:extLst>
            <a:ext uri="{FF2B5EF4-FFF2-40B4-BE49-F238E27FC236}">
              <a16:creationId xmlns:a16="http://schemas.microsoft.com/office/drawing/2014/main" id="{DF193CF4-432C-2D75-6EC2-4B1FD79921F5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38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15</xdr:row>
      <xdr:rowOff>0</xdr:rowOff>
    </xdr:from>
    <xdr:to>
      <xdr:col>30</xdr:col>
      <xdr:colOff>304800</xdr:colOff>
      <xdr:row>16</xdr:row>
      <xdr:rowOff>76200</xdr:rowOff>
    </xdr:to>
    <xdr:sp macro="" textlink="">
      <xdr:nvSpPr>
        <xdr:cNvPr id="5019" name="AutoShape 2971" descr="note-add">
          <a:extLst>
            <a:ext uri="{FF2B5EF4-FFF2-40B4-BE49-F238E27FC236}">
              <a16:creationId xmlns:a16="http://schemas.microsoft.com/office/drawing/2014/main" id="{64976273-6024-D577-71AE-D4C5492D0D73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41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15</xdr:row>
      <xdr:rowOff>0</xdr:rowOff>
    </xdr:from>
    <xdr:to>
      <xdr:col>30</xdr:col>
      <xdr:colOff>622300</xdr:colOff>
      <xdr:row>16</xdr:row>
      <xdr:rowOff>76200</xdr:rowOff>
    </xdr:to>
    <xdr:sp macro="" textlink="">
      <xdr:nvSpPr>
        <xdr:cNvPr id="5020" name="AutoShape 2972" descr="alert toggle">
          <a:extLst>
            <a:ext uri="{FF2B5EF4-FFF2-40B4-BE49-F238E27FC236}">
              <a16:creationId xmlns:a16="http://schemas.microsoft.com/office/drawing/2014/main" id="{CAB789CF-BF12-50B9-591E-32979895976F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41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16</xdr:row>
      <xdr:rowOff>0</xdr:rowOff>
    </xdr:from>
    <xdr:to>
      <xdr:col>30</xdr:col>
      <xdr:colOff>304800</xdr:colOff>
      <xdr:row>17</xdr:row>
      <xdr:rowOff>76200</xdr:rowOff>
    </xdr:to>
    <xdr:sp macro="" textlink="">
      <xdr:nvSpPr>
        <xdr:cNvPr id="5023" name="AutoShape 2975" descr="note-add">
          <a:extLst>
            <a:ext uri="{FF2B5EF4-FFF2-40B4-BE49-F238E27FC236}">
              <a16:creationId xmlns:a16="http://schemas.microsoft.com/office/drawing/2014/main" id="{E6C76A9E-F4C6-D29A-B6F4-28A897959DD0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44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16</xdr:row>
      <xdr:rowOff>0</xdr:rowOff>
    </xdr:from>
    <xdr:to>
      <xdr:col>30</xdr:col>
      <xdr:colOff>622300</xdr:colOff>
      <xdr:row>17</xdr:row>
      <xdr:rowOff>76200</xdr:rowOff>
    </xdr:to>
    <xdr:sp macro="" textlink="">
      <xdr:nvSpPr>
        <xdr:cNvPr id="5024" name="AutoShape 2976" descr="alert toggle">
          <a:extLst>
            <a:ext uri="{FF2B5EF4-FFF2-40B4-BE49-F238E27FC236}">
              <a16:creationId xmlns:a16="http://schemas.microsoft.com/office/drawing/2014/main" id="{74B60D13-0D15-3396-8E08-DEC3B58B4672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44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17</xdr:row>
      <xdr:rowOff>0</xdr:rowOff>
    </xdr:from>
    <xdr:to>
      <xdr:col>30</xdr:col>
      <xdr:colOff>304800</xdr:colOff>
      <xdr:row>18</xdr:row>
      <xdr:rowOff>76200</xdr:rowOff>
    </xdr:to>
    <xdr:sp macro="" textlink="">
      <xdr:nvSpPr>
        <xdr:cNvPr id="5027" name="AutoShape 2979" descr="note-add">
          <a:extLst>
            <a:ext uri="{FF2B5EF4-FFF2-40B4-BE49-F238E27FC236}">
              <a16:creationId xmlns:a16="http://schemas.microsoft.com/office/drawing/2014/main" id="{7523E321-3CBE-1790-34FE-7B11BBDB7003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46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17</xdr:row>
      <xdr:rowOff>0</xdr:rowOff>
    </xdr:from>
    <xdr:to>
      <xdr:col>30</xdr:col>
      <xdr:colOff>622300</xdr:colOff>
      <xdr:row>18</xdr:row>
      <xdr:rowOff>76200</xdr:rowOff>
    </xdr:to>
    <xdr:sp macro="" textlink="">
      <xdr:nvSpPr>
        <xdr:cNvPr id="5028" name="AutoShape 2980" descr="alert toggle">
          <a:extLst>
            <a:ext uri="{FF2B5EF4-FFF2-40B4-BE49-F238E27FC236}">
              <a16:creationId xmlns:a16="http://schemas.microsoft.com/office/drawing/2014/main" id="{7C82C927-281A-EF86-B878-3131BFDA0CE6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46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18</xdr:row>
      <xdr:rowOff>0</xdr:rowOff>
    </xdr:from>
    <xdr:to>
      <xdr:col>30</xdr:col>
      <xdr:colOff>304800</xdr:colOff>
      <xdr:row>19</xdr:row>
      <xdr:rowOff>76200</xdr:rowOff>
    </xdr:to>
    <xdr:sp macro="" textlink="">
      <xdr:nvSpPr>
        <xdr:cNvPr id="5031" name="AutoShape 2983" descr="note-add">
          <a:extLst>
            <a:ext uri="{FF2B5EF4-FFF2-40B4-BE49-F238E27FC236}">
              <a16:creationId xmlns:a16="http://schemas.microsoft.com/office/drawing/2014/main" id="{316EB315-E5BF-66BC-5DAA-702F350FE5B0}"/>
            </a:ext>
          </a:extLst>
        </xdr:cNvPr>
        <xdr:cNvSpPr>
          <a:spLocks noChangeAspect="1" noChangeArrowheads="1"/>
        </xdr:cNvSpPr>
      </xdr:nvSpPr>
      <xdr:spPr bwMode="auto">
        <a:xfrm>
          <a:off x="38341300" y="49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317500</xdr:colOff>
      <xdr:row>18</xdr:row>
      <xdr:rowOff>0</xdr:rowOff>
    </xdr:from>
    <xdr:to>
      <xdr:col>30</xdr:col>
      <xdr:colOff>622300</xdr:colOff>
      <xdr:row>19</xdr:row>
      <xdr:rowOff>76200</xdr:rowOff>
    </xdr:to>
    <xdr:sp macro="" textlink="">
      <xdr:nvSpPr>
        <xdr:cNvPr id="5032" name="AutoShape 2984" descr="alert toggle">
          <a:extLst>
            <a:ext uri="{FF2B5EF4-FFF2-40B4-BE49-F238E27FC236}">
              <a16:creationId xmlns:a16="http://schemas.microsoft.com/office/drawing/2014/main" id="{7C49AD15-347B-3366-514C-1F60A4F3FCAB}"/>
            </a:ext>
          </a:extLst>
        </xdr:cNvPr>
        <xdr:cNvSpPr>
          <a:spLocks noChangeAspect="1" noChangeArrowheads="1"/>
        </xdr:cNvSpPr>
      </xdr:nvSpPr>
      <xdr:spPr bwMode="auto">
        <a:xfrm>
          <a:off x="38658800" y="49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130</xdr:row>
      <xdr:rowOff>0</xdr:rowOff>
    </xdr:from>
    <xdr:ext cx="304800" cy="279400"/>
    <xdr:sp macro="" textlink="">
      <xdr:nvSpPr>
        <xdr:cNvPr id="5149" name="AutoShape 3101" descr="note-add">
          <a:extLst>
            <a:ext uri="{FF2B5EF4-FFF2-40B4-BE49-F238E27FC236}">
              <a16:creationId xmlns:a16="http://schemas.microsoft.com/office/drawing/2014/main" id="{B5624056-5CB9-BFF3-2DA8-4CFF8923A6B2}"/>
            </a:ext>
          </a:extLst>
        </xdr:cNvPr>
        <xdr:cNvSpPr>
          <a:spLocks noChangeAspect="1" noChangeArrowheads="1"/>
        </xdr:cNvSpPr>
      </xdr:nvSpPr>
      <xdr:spPr bwMode="auto">
        <a:xfrm>
          <a:off x="20866100" y="95211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317500</xdr:colOff>
      <xdr:row>130</xdr:row>
      <xdr:rowOff>0</xdr:rowOff>
    </xdr:from>
    <xdr:ext cx="304800" cy="279400"/>
    <xdr:sp macro="" textlink="">
      <xdr:nvSpPr>
        <xdr:cNvPr id="5150" name="AutoShape 3102" descr="alert toggle">
          <a:extLst>
            <a:ext uri="{FF2B5EF4-FFF2-40B4-BE49-F238E27FC236}">
              <a16:creationId xmlns:a16="http://schemas.microsoft.com/office/drawing/2014/main" id="{47C1E80D-68B0-951B-A29C-E7A2C01731B4}"/>
            </a:ext>
          </a:extLst>
        </xdr:cNvPr>
        <xdr:cNvSpPr>
          <a:spLocks noChangeAspect="1" noChangeArrowheads="1"/>
        </xdr:cNvSpPr>
      </xdr:nvSpPr>
      <xdr:spPr bwMode="auto">
        <a:xfrm>
          <a:off x="21183600" y="95211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283</xdr:row>
      <xdr:rowOff>0</xdr:rowOff>
    </xdr:from>
    <xdr:to>
      <xdr:col>20</xdr:col>
      <xdr:colOff>304800</xdr:colOff>
      <xdr:row>284</xdr:row>
      <xdr:rowOff>76200</xdr:rowOff>
    </xdr:to>
    <xdr:sp macro="" textlink="">
      <xdr:nvSpPr>
        <xdr:cNvPr id="5153" name="AutoShape 3105" descr="note-add">
          <a:extLst>
            <a:ext uri="{FF2B5EF4-FFF2-40B4-BE49-F238E27FC236}">
              <a16:creationId xmlns:a16="http://schemas.microsoft.com/office/drawing/2014/main" id="{33A477C9-3552-1E31-104D-74C3C6E42441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549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283</xdr:row>
      <xdr:rowOff>0</xdr:rowOff>
    </xdr:from>
    <xdr:to>
      <xdr:col>20</xdr:col>
      <xdr:colOff>622300</xdr:colOff>
      <xdr:row>284</xdr:row>
      <xdr:rowOff>76200</xdr:rowOff>
    </xdr:to>
    <xdr:sp macro="" textlink="">
      <xdr:nvSpPr>
        <xdr:cNvPr id="5154" name="AutoShape 3106" descr="alert toggle">
          <a:extLst>
            <a:ext uri="{FF2B5EF4-FFF2-40B4-BE49-F238E27FC236}">
              <a16:creationId xmlns:a16="http://schemas.microsoft.com/office/drawing/2014/main" id="{B3129023-3F2E-379C-7708-AF0559DB39AD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549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284</xdr:row>
      <xdr:rowOff>0</xdr:rowOff>
    </xdr:from>
    <xdr:to>
      <xdr:col>20</xdr:col>
      <xdr:colOff>304800</xdr:colOff>
      <xdr:row>285</xdr:row>
      <xdr:rowOff>76200</xdr:rowOff>
    </xdr:to>
    <xdr:sp macro="" textlink="">
      <xdr:nvSpPr>
        <xdr:cNvPr id="5157" name="AutoShape 3109" descr="note-add">
          <a:extLst>
            <a:ext uri="{FF2B5EF4-FFF2-40B4-BE49-F238E27FC236}">
              <a16:creationId xmlns:a16="http://schemas.microsoft.com/office/drawing/2014/main" id="{4B039B6C-AED3-4537-95DE-D7A6D0458C21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577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284</xdr:row>
      <xdr:rowOff>0</xdr:rowOff>
    </xdr:from>
    <xdr:to>
      <xdr:col>20</xdr:col>
      <xdr:colOff>622300</xdr:colOff>
      <xdr:row>285</xdr:row>
      <xdr:rowOff>76200</xdr:rowOff>
    </xdr:to>
    <xdr:sp macro="" textlink="">
      <xdr:nvSpPr>
        <xdr:cNvPr id="5158" name="AutoShape 3110" descr="alert toggle">
          <a:extLst>
            <a:ext uri="{FF2B5EF4-FFF2-40B4-BE49-F238E27FC236}">
              <a16:creationId xmlns:a16="http://schemas.microsoft.com/office/drawing/2014/main" id="{A8E37EFD-40E5-8AC1-3484-F34FD78D1DCF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577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285</xdr:row>
      <xdr:rowOff>0</xdr:rowOff>
    </xdr:from>
    <xdr:to>
      <xdr:col>20</xdr:col>
      <xdr:colOff>304800</xdr:colOff>
      <xdr:row>286</xdr:row>
      <xdr:rowOff>76200</xdr:rowOff>
    </xdr:to>
    <xdr:sp macro="" textlink="">
      <xdr:nvSpPr>
        <xdr:cNvPr id="5161" name="AutoShape 3113" descr="note-add">
          <a:extLst>
            <a:ext uri="{FF2B5EF4-FFF2-40B4-BE49-F238E27FC236}">
              <a16:creationId xmlns:a16="http://schemas.microsoft.com/office/drawing/2014/main" id="{0D4B3777-3298-4029-4F7F-BA66604010E3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6050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285</xdr:row>
      <xdr:rowOff>0</xdr:rowOff>
    </xdr:from>
    <xdr:to>
      <xdr:col>20</xdr:col>
      <xdr:colOff>622300</xdr:colOff>
      <xdr:row>286</xdr:row>
      <xdr:rowOff>76200</xdr:rowOff>
    </xdr:to>
    <xdr:sp macro="" textlink="">
      <xdr:nvSpPr>
        <xdr:cNvPr id="5162" name="AutoShape 3114" descr="alert toggle">
          <a:extLst>
            <a:ext uri="{FF2B5EF4-FFF2-40B4-BE49-F238E27FC236}">
              <a16:creationId xmlns:a16="http://schemas.microsoft.com/office/drawing/2014/main" id="{283C52A9-6DBD-862A-1071-87CC6F560445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6050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285</xdr:row>
      <xdr:rowOff>0</xdr:rowOff>
    </xdr:from>
    <xdr:to>
      <xdr:col>20</xdr:col>
      <xdr:colOff>304800</xdr:colOff>
      <xdr:row>286</xdr:row>
      <xdr:rowOff>76200</xdr:rowOff>
    </xdr:to>
    <xdr:sp macro="" textlink="">
      <xdr:nvSpPr>
        <xdr:cNvPr id="5165" name="AutoShape 3117" descr="note-add">
          <a:extLst>
            <a:ext uri="{FF2B5EF4-FFF2-40B4-BE49-F238E27FC236}">
              <a16:creationId xmlns:a16="http://schemas.microsoft.com/office/drawing/2014/main" id="{89C02B86-2A4C-D6DD-05DC-A5806DB2758C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6329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285</xdr:row>
      <xdr:rowOff>0</xdr:rowOff>
    </xdr:from>
    <xdr:to>
      <xdr:col>20</xdr:col>
      <xdr:colOff>622300</xdr:colOff>
      <xdr:row>286</xdr:row>
      <xdr:rowOff>76200</xdr:rowOff>
    </xdr:to>
    <xdr:sp macro="" textlink="">
      <xdr:nvSpPr>
        <xdr:cNvPr id="5166" name="AutoShape 3118" descr="alert toggle">
          <a:extLst>
            <a:ext uri="{FF2B5EF4-FFF2-40B4-BE49-F238E27FC236}">
              <a16:creationId xmlns:a16="http://schemas.microsoft.com/office/drawing/2014/main" id="{05694811-BCA7-FB70-F66D-24D80FEAB8C6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6329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285</xdr:row>
      <xdr:rowOff>0</xdr:rowOff>
    </xdr:from>
    <xdr:to>
      <xdr:col>20</xdr:col>
      <xdr:colOff>304800</xdr:colOff>
      <xdr:row>286</xdr:row>
      <xdr:rowOff>76200</xdr:rowOff>
    </xdr:to>
    <xdr:sp macro="" textlink="">
      <xdr:nvSpPr>
        <xdr:cNvPr id="5169" name="AutoShape 3121" descr="note-add">
          <a:extLst>
            <a:ext uri="{FF2B5EF4-FFF2-40B4-BE49-F238E27FC236}">
              <a16:creationId xmlns:a16="http://schemas.microsoft.com/office/drawing/2014/main" id="{B8D9BFD5-7A1E-3FCC-7710-534D2691CF69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660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285</xdr:row>
      <xdr:rowOff>0</xdr:rowOff>
    </xdr:from>
    <xdr:to>
      <xdr:col>20</xdr:col>
      <xdr:colOff>622300</xdr:colOff>
      <xdr:row>286</xdr:row>
      <xdr:rowOff>76200</xdr:rowOff>
    </xdr:to>
    <xdr:sp macro="" textlink="">
      <xdr:nvSpPr>
        <xdr:cNvPr id="5170" name="AutoShape 3122" descr="alert toggle">
          <a:extLst>
            <a:ext uri="{FF2B5EF4-FFF2-40B4-BE49-F238E27FC236}">
              <a16:creationId xmlns:a16="http://schemas.microsoft.com/office/drawing/2014/main" id="{B78CA11D-181F-15BE-8E02-A28FAF266071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660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286</xdr:row>
      <xdr:rowOff>0</xdr:rowOff>
    </xdr:from>
    <xdr:to>
      <xdr:col>20</xdr:col>
      <xdr:colOff>304800</xdr:colOff>
      <xdr:row>287</xdr:row>
      <xdr:rowOff>76200</xdr:rowOff>
    </xdr:to>
    <xdr:sp macro="" textlink="">
      <xdr:nvSpPr>
        <xdr:cNvPr id="5173" name="AutoShape 3125" descr="note-add">
          <a:extLst>
            <a:ext uri="{FF2B5EF4-FFF2-40B4-BE49-F238E27FC236}">
              <a16:creationId xmlns:a16="http://schemas.microsoft.com/office/drawing/2014/main" id="{BD9A1E73-FD53-9BC1-9264-6B9A4F3551B8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688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286</xdr:row>
      <xdr:rowOff>0</xdr:rowOff>
    </xdr:from>
    <xdr:to>
      <xdr:col>20</xdr:col>
      <xdr:colOff>622300</xdr:colOff>
      <xdr:row>287</xdr:row>
      <xdr:rowOff>76200</xdr:rowOff>
    </xdr:to>
    <xdr:sp macro="" textlink="">
      <xdr:nvSpPr>
        <xdr:cNvPr id="5174" name="AutoShape 3126" descr="alert toggle">
          <a:extLst>
            <a:ext uri="{FF2B5EF4-FFF2-40B4-BE49-F238E27FC236}">
              <a16:creationId xmlns:a16="http://schemas.microsoft.com/office/drawing/2014/main" id="{2367F5A7-FE2D-3A7C-8F16-30BD2C6FF762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688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287</xdr:row>
      <xdr:rowOff>0</xdr:rowOff>
    </xdr:from>
    <xdr:to>
      <xdr:col>20</xdr:col>
      <xdr:colOff>304800</xdr:colOff>
      <xdr:row>288</xdr:row>
      <xdr:rowOff>76200</xdr:rowOff>
    </xdr:to>
    <xdr:sp macro="" textlink="">
      <xdr:nvSpPr>
        <xdr:cNvPr id="5177" name="AutoShape 3129" descr="note-add">
          <a:extLst>
            <a:ext uri="{FF2B5EF4-FFF2-40B4-BE49-F238E27FC236}">
              <a16:creationId xmlns:a16="http://schemas.microsoft.com/office/drawing/2014/main" id="{A5B52EA3-35F7-5970-8EB8-FF280FDD0A39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716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287</xdr:row>
      <xdr:rowOff>0</xdr:rowOff>
    </xdr:from>
    <xdr:to>
      <xdr:col>20</xdr:col>
      <xdr:colOff>622300</xdr:colOff>
      <xdr:row>288</xdr:row>
      <xdr:rowOff>76200</xdr:rowOff>
    </xdr:to>
    <xdr:sp macro="" textlink="">
      <xdr:nvSpPr>
        <xdr:cNvPr id="5178" name="AutoShape 3130" descr="alert toggle">
          <a:extLst>
            <a:ext uri="{FF2B5EF4-FFF2-40B4-BE49-F238E27FC236}">
              <a16:creationId xmlns:a16="http://schemas.microsoft.com/office/drawing/2014/main" id="{0DD9649B-96B7-DA56-8619-C8C65A9CCE4B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716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287</xdr:row>
      <xdr:rowOff>0</xdr:rowOff>
    </xdr:from>
    <xdr:to>
      <xdr:col>20</xdr:col>
      <xdr:colOff>304800</xdr:colOff>
      <xdr:row>288</xdr:row>
      <xdr:rowOff>76200</xdr:rowOff>
    </xdr:to>
    <xdr:sp macro="" textlink="">
      <xdr:nvSpPr>
        <xdr:cNvPr id="5181" name="AutoShape 3133" descr="note-add">
          <a:extLst>
            <a:ext uri="{FF2B5EF4-FFF2-40B4-BE49-F238E27FC236}">
              <a16:creationId xmlns:a16="http://schemas.microsoft.com/office/drawing/2014/main" id="{8942847E-B1C2-B48C-4A07-FE6FF2020920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744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287</xdr:row>
      <xdr:rowOff>0</xdr:rowOff>
    </xdr:from>
    <xdr:to>
      <xdr:col>20</xdr:col>
      <xdr:colOff>622300</xdr:colOff>
      <xdr:row>288</xdr:row>
      <xdr:rowOff>76200</xdr:rowOff>
    </xdr:to>
    <xdr:sp macro="" textlink="">
      <xdr:nvSpPr>
        <xdr:cNvPr id="5182" name="AutoShape 3134" descr="alert toggle">
          <a:extLst>
            <a:ext uri="{FF2B5EF4-FFF2-40B4-BE49-F238E27FC236}">
              <a16:creationId xmlns:a16="http://schemas.microsoft.com/office/drawing/2014/main" id="{AE585F83-3F0B-4C58-3891-31E9FB41FCCB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744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288</xdr:row>
      <xdr:rowOff>0</xdr:rowOff>
    </xdr:from>
    <xdr:to>
      <xdr:col>20</xdr:col>
      <xdr:colOff>304800</xdr:colOff>
      <xdr:row>289</xdr:row>
      <xdr:rowOff>76200</xdr:rowOff>
    </xdr:to>
    <xdr:sp macro="" textlink="">
      <xdr:nvSpPr>
        <xdr:cNvPr id="5185" name="AutoShape 3137" descr="note-add">
          <a:extLst>
            <a:ext uri="{FF2B5EF4-FFF2-40B4-BE49-F238E27FC236}">
              <a16:creationId xmlns:a16="http://schemas.microsoft.com/office/drawing/2014/main" id="{382B9114-5B01-F07C-6399-57B2CF186564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772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288</xdr:row>
      <xdr:rowOff>0</xdr:rowOff>
    </xdr:from>
    <xdr:to>
      <xdr:col>20</xdr:col>
      <xdr:colOff>622300</xdr:colOff>
      <xdr:row>289</xdr:row>
      <xdr:rowOff>76200</xdr:rowOff>
    </xdr:to>
    <xdr:sp macro="" textlink="">
      <xdr:nvSpPr>
        <xdr:cNvPr id="5186" name="AutoShape 3138" descr="alert toggle">
          <a:extLst>
            <a:ext uri="{FF2B5EF4-FFF2-40B4-BE49-F238E27FC236}">
              <a16:creationId xmlns:a16="http://schemas.microsoft.com/office/drawing/2014/main" id="{1253E228-E898-4459-4CA2-0BDEC54ED1A6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772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289</xdr:row>
      <xdr:rowOff>0</xdr:rowOff>
    </xdr:from>
    <xdr:to>
      <xdr:col>20</xdr:col>
      <xdr:colOff>304800</xdr:colOff>
      <xdr:row>290</xdr:row>
      <xdr:rowOff>76200</xdr:rowOff>
    </xdr:to>
    <xdr:sp macro="" textlink="">
      <xdr:nvSpPr>
        <xdr:cNvPr id="5189" name="AutoShape 3141" descr="note-add">
          <a:extLst>
            <a:ext uri="{FF2B5EF4-FFF2-40B4-BE49-F238E27FC236}">
              <a16:creationId xmlns:a16="http://schemas.microsoft.com/office/drawing/2014/main" id="{9E8A5A55-2CD5-DCA1-AECD-AD87609CD92A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800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289</xdr:row>
      <xdr:rowOff>0</xdr:rowOff>
    </xdr:from>
    <xdr:to>
      <xdr:col>20</xdr:col>
      <xdr:colOff>622300</xdr:colOff>
      <xdr:row>290</xdr:row>
      <xdr:rowOff>76200</xdr:rowOff>
    </xdr:to>
    <xdr:sp macro="" textlink="">
      <xdr:nvSpPr>
        <xdr:cNvPr id="5190" name="AutoShape 3142" descr="alert toggle">
          <a:extLst>
            <a:ext uri="{FF2B5EF4-FFF2-40B4-BE49-F238E27FC236}">
              <a16:creationId xmlns:a16="http://schemas.microsoft.com/office/drawing/2014/main" id="{575CAB67-D833-BD80-3DD8-6E287F3FA7A7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800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290</xdr:row>
      <xdr:rowOff>0</xdr:rowOff>
    </xdr:from>
    <xdr:to>
      <xdr:col>20</xdr:col>
      <xdr:colOff>304800</xdr:colOff>
      <xdr:row>291</xdr:row>
      <xdr:rowOff>76200</xdr:rowOff>
    </xdr:to>
    <xdr:sp macro="" textlink="">
      <xdr:nvSpPr>
        <xdr:cNvPr id="5193" name="AutoShape 3145" descr="note-add">
          <a:extLst>
            <a:ext uri="{FF2B5EF4-FFF2-40B4-BE49-F238E27FC236}">
              <a16:creationId xmlns:a16="http://schemas.microsoft.com/office/drawing/2014/main" id="{0E7F272A-7257-7A10-71DF-86D98FD34F40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828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290</xdr:row>
      <xdr:rowOff>0</xdr:rowOff>
    </xdr:from>
    <xdr:to>
      <xdr:col>20</xdr:col>
      <xdr:colOff>622300</xdr:colOff>
      <xdr:row>291</xdr:row>
      <xdr:rowOff>76200</xdr:rowOff>
    </xdr:to>
    <xdr:sp macro="" textlink="">
      <xdr:nvSpPr>
        <xdr:cNvPr id="5194" name="AutoShape 3146" descr="alert toggle">
          <a:extLst>
            <a:ext uri="{FF2B5EF4-FFF2-40B4-BE49-F238E27FC236}">
              <a16:creationId xmlns:a16="http://schemas.microsoft.com/office/drawing/2014/main" id="{AF374A1B-D539-ADBC-AEF3-7C5DE48D5FD8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828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291</xdr:row>
      <xdr:rowOff>0</xdr:rowOff>
    </xdr:from>
    <xdr:to>
      <xdr:col>20</xdr:col>
      <xdr:colOff>304800</xdr:colOff>
      <xdr:row>292</xdr:row>
      <xdr:rowOff>88900</xdr:rowOff>
    </xdr:to>
    <xdr:sp macro="" textlink="">
      <xdr:nvSpPr>
        <xdr:cNvPr id="5197" name="AutoShape 3149" descr="note-add">
          <a:extLst>
            <a:ext uri="{FF2B5EF4-FFF2-40B4-BE49-F238E27FC236}">
              <a16:creationId xmlns:a16="http://schemas.microsoft.com/office/drawing/2014/main" id="{E73BA4E2-A624-860D-94F7-56FF7578799C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856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291</xdr:row>
      <xdr:rowOff>0</xdr:rowOff>
    </xdr:from>
    <xdr:to>
      <xdr:col>20</xdr:col>
      <xdr:colOff>622300</xdr:colOff>
      <xdr:row>292</xdr:row>
      <xdr:rowOff>88900</xdr:rowOff>
    </xdr:to>
    <xdr:sp macro="" textlink="">
      <xdr:nvSpPr>
        <xdr:cNvPr id="5198" name="AutoShape 3150" descr="alert toggle">
          <a:extLst>
            <a:ext uri="{FF2B5EF4-FFF2-40B4-BE49-F238E27FC236}">
              <a16:creationId xmlns:a16="http://schemas.microsoft.com/office/drawing/2014/main" id="{B0115615-3793-9E0C-A1C5-6EE8B5DB8151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856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292</xdr:row>
      <xdr:rowOff>0</xdr:rowOff>
    </xdr:from>
    <xdr:to>
      <xdr:col>20</xdr:col>
      <xdr:colOff>304800</xdr:colOff>
      <xdr:row>293</xdr:row>
      <xdr:rowOff>76200</xdr:rowOff>
    </xdr:to>
    <xdr:sp macro="" textlink="">
      <xdr:nvSpPr>
        <xdr:cNvPr id="5201" name="AutoShape 3153" descr="note-add">
          <a:extLst>
            <a:ext uri="{FF2B5EF4-FFF2-40B4-BE49-F238E27FC236}">
              <a16:creationId xmlns:a16="http://schemas.microsoft.com/office/drawing/2014/main" id="{48F83F88-375D-1401-438F-7EF00830A589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884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292</xdr:row>
      <xdr:rowOff>0</xdr:rowOff>
    </xdr:from>
    <xdr:to>
      <xdr:col>20</xdr:col>
      <xdr:colOff>622300</xdr:colOff>
      <xdr:row>293</xdr:row>
      <xdr:rowOff>76200</xdr:rowOff>
    </xdr:to>
    <xdr:sp macro="" textlink="">
      <xdr:nvSpPr>
        <xdr:cNvPr id="5202" name="AutoShape 3154" descr="alert toggle">
          <a:extLst>
            <a:ext uri="{FF2B5EF4-FFF2-40B4-BE49-F238E27FC236}">
              <a16:creationId xmlns:a16="http://schemas.microsoft.com/office/drawing/2014/main" id="{9A890501-0DE0-E5A3-04CE-4B43453A6EB0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884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292</xdr:row>
      <xdr:rowOff>0</xdr:rowOff>
    </xdr:from>
    <xdr:to>
      <xdr:col>20</xdr:col>
      <xdr:colOff>304800</xdr:colOff>
      <xdr:row>293</xdr:row>
      <xdr:rowOff>76200</xdr:rowOff>
    </xdr:to>
    <xdr:sp macro="" textlink="">
      <xdr:nvSpPr>
        <xdr:cNvPr id="5205" name="AutoShape 3157" descr="note-add">
          <a:extLst>
            <a:ext uri="{FF2B5EF4-FFF2-40B4-BE49-F238E27FC236}">
              <a16:creationId xmlns:a16="http://schemas.microsoft.com/office/drawing/2014/main" id="{3AE32772-7F9C-4E71-77AB-A7AC20ADCA74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9912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292</xdr:row>
      <xdr:rowOff>0</xdr:rowOff>
    </xdr:from>
    <xdr:to>
      <xdr:col>20</xdr:col>
      <xdr:colOff>622300</xdr:colOff>
      <xdr:row>293</xdr:row>
      <xdr:rowOff>76200</xdr:rowOff>
    </xdr:to>
    <xdr:sp macro="" textlink="">
      <xdr:nvSpPr>
        <xdr:cNvPr id="5206" name="AutoShape 3158" descr="alert toggle">
          <a:extLst>
            <a:ext uri="{FF2B5EF4-FFF2-40B4-BE49-F238E27FC236}">
              <a16:creationId xmlns:a16="http://schemas.microsoft.com/office/drawing/2014/main" id="{304E89CA-85C7-9B9C-379F-98F7179D889B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9912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133</xdr:row>
      <xdr:rowOff>0</xdr:rowOff>
    </xdr:from>
    <xdr:ext cx="304800" cy="279400"/>
    <xdr:sp macro="" textlink="">
      <xdr:nvSpPr>
        <xdr:cNvPr id="5326" name="AutoShape 3278" descr="note-add">
          <a:extLst>
            <a:ext uri="{FF2B5EF4-FFF2-40B4-BE49-F238E27FC236}">
              <a16:creationId xmlns:a16="http://schemas.microsoft.com/office/drawing/2014/main" id="{E82E98F1-2392-5988-7D61-4917CB856126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660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133</xdr:row>
      <xdr:rowOff>0</xdr:rowOff>
    </xdr:from>
    <xdr:ext cx="304800" cy="279400"/>
    <xdr:sp macro="" textlink="">
      <xdr:nvSpPr>
        <xdr:cNvPr id="5327" name="AutoShape 3279" descr="alert toggle">
          <a:extLst>
            <a:ext uri="{FF2B5EF4-FFF2-40B4-BE49-F238E27FC236}">
              <a16:creationId xmlns:a16="http://schemas.microsoft.com/office/drawing/2014/main" id="{36B07D87-5955-4DAB-CE28-63C9B2CA7BE9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660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135</xdr:row>
      <xdr:rowOff>0</xdr:rowOff>
    </xdr:from>
    <xdr:ext cx="304800" cy="279400"/>
    <xdr:sp macro="" textlink="">
      <xdr:nvSpPr>
        <xdr:cNvPr id="5330" name="AutoShape 3282" descr="note-add">
          <a:extLst>
            <a:ext uri="{FF2B5EF4-FFF2-40B4-BE49-F238E27FC236}">
              <a16:creationId xmlns:a16="http://schemas.microsoft.com/office/drawing/2014/main" id="{7A0A439C-FC77-B345-9A84-D34CC403DEDE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716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135</xdr:row>
      <xdr:rowOff>0</xdr:rowOff>
    </xdr:from>
    <xdr:ext cx="304800" cy="279400"/>
    <xdr:sp macro="" textlink="">
      <xdr:nvSpPr>
        <xdr:cNvPr id="5334" name="AutoShape 3286" descr="note-add">
          <a:extLst>
            <a:ext uri="{FF2B5EF4-FFF2-40B4-BE49-F238E27FC236}">
              <a16:creationId xmlns:a16="http://schemas.microsoft.com/office/drawing/2014/main" id="{EE9C96CE-B5DF-ED53-D388-399715941BB4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744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135</xdr:row>
      <xdr:rowOff>0</xdr:rowOff>
    </xdr:from>
    <xdr:ext cx="304800" cy="279400"/>
    <xdr:sp macro="" textlink="">
      <xdr:nvSpPr>
        <xdr:cNvPr id="5335" name="AutoShape 3287" descr="alert toggle">
          <a:extLst>
            <a:ext uri="{FF2B5EF4-FFF2-40B4-BE49-F238E27FC236}">
              <a16:creationId xmlns:a16="http://schemas.microsoft.com/office/drawing/2014/main" id="{5FD6CF2D-2697-0804-6DD5-AB7DD4EE8C52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744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136</xdr:row>
      <xdr:rowOff>0</xdr:rowOff>
    </xdr:from>
    <xdr:ext cx="304800" cy="279400"/>
    <xdr:sp macro="" textlink="">
      <xdr:nvSpPr>
        <xdr:cNvPr id="5338" name="AutoShape 3290" descr="note-add">
          <a:extLst>
            <a:ext uri="{FF2B5EF4-FFF2-40B4-BE49-F238E27FC236}">
              <a16:creationId xmlns:a16="http://schemas.microsoft.com/office/drawing/2014/main" id="{328CFC54-A641-A3A6-47F8-B80A86E0F6DA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772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136</xdr:row>
      <xdr:rowOff>0</xdr:rowOff>
    </xdr:from>
    <xdr:ext cx="304800" cy="279400"/>
    <xdr:sp macro="" textlink="">
      <xdr:nvSpPr>
        <xdr:cNvPr id="5339" name="AutoShape 3291" descr="alert toggle">
          <a:extLst>
            <a:ext uri="{FF2B5EF4-FFF2-40B4-BE49-F238E27FC236}">
              <a16:creationId xmlns:a16="http://schemas.microsoft.com/office/drawing/2014/main" id="{D03EF809-8360-AB9E-A0CF-7647F0C3CFA2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772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137</xdr:row>
      <xdr:rowOff>0</xdr:rowOff>
    </xdr:from>
    <xdr:ext cx="304800" cy="279400"/>
    <xdr:sp macro="" textlink="">
      <xdr:nvSpPr>
        <xdr:cNvPr id="5342" name="AutoShape 3294" descr="note-add">
          <a:extLst>
            <a:ext uri="{FF2B5EF4-FFF2-40B4-BE49-F238E27FC236}">
              <a16:creationId xmlns:a16="http://schemas.microsoft.com/office/drawing/2014/main" id="{180A35FC-08DF-90F8-AA91-7758EC1D0D62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800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137</xdr:row>
      <xdr:rowOff>0</xdr:rowOff>
    </xdr:from>
    <xdr:ext cx="304800" cy="279400"/>
    <xdr:sp macro="" textlink="">
      <xdr:nvSpPr>
        <xdr:cNvPr id="5343" name="AutoShape 3295" descr="alert toggle">
          <a:extLst>
            <a:ext uri="{FF2B5EF4-FFF2-40B4-BE49-F238E27FC236}">
              <a16:creationId xmlns:a16="http://schemas.microsoft.com/office/drawing/2014/main" id="{D0A0EC59-2509-B9F6-7BA6-AD953A1EA905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800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138</xdr:row>
      <xdr:rowOff>0</xdr:rowOff>
    </xdr:from>
    <xdr:ext cx="304800" cy="279400"/>
    <xdr:sp macro="" textlink="">
      <xdr:nvSpPr>
        <xdr:cNvPr id="5346" name="AutoShape 3298" descr="note-add">
          <a:extLst>
            <a:ext uri="{FF2B5EF4-FFF2-40B4-BE49-F238E27FC236}">
              <a16:creationId xmlns:a16="http://schemas.microsoft.com/office/drawing/2014/main" id="{F63D4DAE-BD79-69C7-2FA3-1A9723701344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828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138</xdr:row>
      <xdr:rowOff>0</xdr:rowOff>
    </xdr:from>
    <xdr:ext cx="304800" cy="279400"/>
    <xdr:sp macro="" textlink="">
      <xdr:nvSpPr>
        <xdr:cNvPr id="5347" name="AutoShape 3299" descr="alert toggle">
          <a:extLst>
            <a:ext uri="{FF2B5EF4-FFF2-40B4-BE49-F238E27FC236}">
              <a16:creationId xmlns:a16="http://schemas.microsoft.com/office/drawing/2014/main" id="{583849F3-A149-B1CB-2B87-01DA8505E18D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828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139</xdr:row>
      <xdr:rowOff>0</xdr:rowOff>
    </xdr:from>
    <xdr:ext cx="304800" cy="279400"/>
    <xdr:sp macro="" textlink="">
      <xdr:nvSpPr>
        <xdr:cNvPr id="5350" name="AutoShape 3302" descr="note-add">
          <a:extLst>
            <a:ext uri="{FF2B5EF4-FFF2-40B4-BE49-F238E27FC236}">
              <a16:creationId xmlns:a16="http://schemas.microsoft.com/office/drawing/2014/main" id="{CFF4A449-D827-B3FF-1D1A-7674564F1BC3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856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139</xdr:row>
      <xdr:rowOff>0</xdr:rowOff>
    </xdr:from>
    <xdr:ext cx="304800" cy="279400"/>
    <xdr:sp macro="" textlink="">
      <xdr:nvSpPr>
        <xdr:cNvPr id="5351" name="AutoShape 3303" descr="alert toggle">
          <a:extLst>
            <a:ext uri="{FF2B5EF4-FFF2-40B4-BE49-F238E27FC236}">
              <a16:creationId xmlns:a16="http://schemas.microsoft.com/office/drawing/2014/main" id="{63EA2033-2C4B-EE7E-50E8-783C1B7CDC26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856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140</xdr:row>
      <xdr:rowOff>0</xdr:rowOff>
    </xdr:from>
    <xdr:ext cx="304800" cy="279400"/>
    <xdr:sp macro="" textlink="">
      <xdr:nvSpPr>
        <xdr:cNvPr id="5354" name="AutoShape 3306" descr="note-add">
          <a:extLst>
            <a:ext uri="{FF2B5EF4-FFF2-40B4-BE49-F238E27FC236}">
              <a16:creationId xmlns:a16="http://schemas.microsoft.com/office/drawing/2014/main" id="{9F38F0FA-9559-09AB-F123-96A742DA7182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884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140</xdr:row>
      <xdr:rowOff>0</xdr:rowOff>
    </xdr:from>
    <xdr:ext cx="304800" cy="279400"/>
    <xdr:sp macro="" textlink="">
      <xdr:nvSpPr>
        <xdr:cNvPr id="5355" name="AutoShape 3307" descr="alert toggle">
          <a:extLst>
            <a:ext uri="{FF2B5EF4-FFF2-40B4-BE49-F238E27FC236}">
              <a16:creationId xmlns:a16="http://schemas.microsoft.com/office/drawing/2014/main" id="{D9B221A6-47CA-FC2A-2186-B33478991FE4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884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140</xdr:row>
      <xdr:rowOff>0</xdr:rowOff>
    </xdr:from>
    <xdr:ext cx="304800" cy="279400"/>
    <xdr:sp macro="" textlink="">
      <xdr:nvSpPr>
        <xdr:cNvPr id="5358" name="AutoShape 3310" descr="note-add">
          <a:extLst>
            <a:ext uri="{FF2B5EF4-FFF2-40B4-BE49-F238E27FC236}">
              <a16:creationId xmlns:a16="http://schemas.microsoft.com/office/drawing/2014/main" id="{C2F4C0E5-EE03-432B-601B-BED33D1BFEDB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912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140</xdr:row>
      <xdr:rowOff>0</xdr:rowOff>
    </xdr:from>
    <xdr:ext cx="304800" cy="279400"/>
    <xdr:sp macro="" textlink="">
      <xdr:nvSpPr>
        <xdr:cNvPr id="5359" name="AutoShape 3311" descr="alert toggle">
          <a:extLst>
            <a:ext uri="{FF2B5EF4-FFF2-40B4-BE49-F238E27FC236}">
              <a16:creationId xmlns:a16="http://schemas.microsoft.com/office/drawing/2014/main" id="{A7EF3167-1DFF-EA28-545A-6E881289BDD6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912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141</xdr:row>
      <xdr:rowOff>0</xdr:rowOff>
    </xdr:from>
    <xdr:ext cx="304800" cy="279400"/>
    <xdr:sp macro="" textlink="">
      <xdr:nvSpPr>
        <xdr:cNvPr id="5362" name="AutoShape 3314" descr="note-add">
          <a:extLst>
            <a:ext uri="{FF2B5EF4-FFF2-40B4-BE49-F238E27FC236}">
              <a16:creationId xmlns:a16="http://schemas.microsoft.com/office/drawing/2014/main" id="{AA642CDF-588A-FA7A-ADB5-9B7FDC8764A6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9402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141</xdr:row>
      <xdr:rowOff>0</xdr:rowOff>
    </xdr:from>
    <xdr:ext cx="304800" cy="279400"/>
    <xdr:sp macro="" textlink="">
      <xdr:nvSpPr>
        <xdr:cNvPr id="5363" name="AutoShape 3315" descr="alert toggle">
          <a:extLst>
            <a:ext uri="{FF2B5EF4-FFF2-40B4-BE49-F238E27FC236}">
              <a16:creationId xmlns:a16="http://schemas.microsoft.com/office/drawing/2014/main" id="{4720B02D-4288-4370-C5AA-02E52089A28D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9402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143</xdr:row>
      <xdr:rowOff>0</xdr:rowOff>
    </xdr:from>
    <xdr:ext cx="304800" cy="279400"/>
    <xdr:sp macro="" textlink="">
      <xdr:nvSpPr>
        <xdr:cNvPr id="5366" name="AutoShape 3318" descr="note-add">
          <a:extLst>
            <a:ext uri="{FF2B5EF4-FFF2-40B4-BE49-F238E27FC236}">
              <a16:creationId xmlns:a16="http://schemas.microsoft.com/office/drawing/2014/main" id="{C3F76CF9-5369-5DEC-C985-D4C2D0594CEA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9961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143</xdr:row>
      <xdr:rowOff>0</xdr:rowOff>
    </xdr:from>
    <xdr:ext cx="304800" cy="279400"/>
    <xdr:sp macro="" textlink="">
      <xdr:nvSpPr>
        <xdr:cNvPr id="5367" name="AutoShape 3319" descr="alert toggle">
          <a:extLst>
            <a:ext uri="{FF2B5EF4-FFF2-40B4-BE49-F238E27FC236}">
              <a16:creationId xmlns:a16="http://schemas.microsoft.com/office/drawing/2014/main" id="{EE624238-27F7-74E1-6E48-9DF7E09A7897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9961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143</xdr:row>
      <xdr:rowOff>0</xdr:rowOff>
    </xdr:from>
    <xdr:ext cx="304800" cy="279400"/>
    <xdr:sp macro="" textlink="">
      <xdr:nvSpPr>
        <xdr:cNvPr id="5370" name="AutoShape 3322" descr="note-add">
          <a:extLst>
            <a:ext uri="{FF2B5EF4-FFF2-40B4-BE49-F238E27FC236}">
              <a16:creationId xmlns:a16="http://schemas.microsoft.com/office/drawing/2014/main" id="{FCA85781-A817-BB83-0265-B0193678259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10024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143</xdr:row>
      <xdr:rowOff>0</xdr:rowOff>
    </xdr:from>
    <xdr:ext cx="304800" cy="279400"/>
    <xdr:sp macro="" textlink="">
      <xdr:nvSpPr>
        <xdr:cNvPr id="5371" name="AutoShape 3323" descr="alert toggle">
          <a:extLst>
            <a:ext uri="{FF2B5EF4-FFF2-40B4-BE49-F238E27FC236}">
              <a16:creationId xmlns:a16="http://schemas.microsoft.com/office/drawing/2014/main" id="{88FCE7B0-470F-E9FE-8F34-E97D78F2CA3B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10024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151</xdr:row>
      <xdr:rowOff>0</xdr:rowOff>
    </xdr:from>
    <xdr:ext cx="304800" cy="279400"/>
    <xdr:sp macro="" textlink="">
      <xdr:nvSpPr>
        <xdr:cNvPr id="5374" name="AutoShape 3326" descr="note-add">
          <a:extLst>
            <a:ext uri="{FF2B5EF4-FFF2-40B4-BE49-F238E27FC236}">
              <a16:creationId xmlns:a16="http://schemas.microsoft.com/office/drawing/2014/main" id="{66719204-ACB6-EC52-427D-9D50FF07B395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100520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143</xdr:row>
      <xdr:rowOff>0</xdr:rowOff>
    </xdr:from>
    <xdr:ext cx="304800" cy="279400"/>
    <xdr:sp macro="" textlink="">
      <xdr:nvSpPr>
        <xdr:cNvPr id="5378" name="AutoShape 3330" descr="note-add">
          <a:extLst>
            <a:ext uri="{FF2B5EF4-FFF2-40B4-BE49-F238E27FC236}">
              <a16:creationId xmlns:a16="http://schemas.microsoft.com/office/drawing/2014/main" id="{42555042-2FEA-EC9B-75C6-3BF9BE30AF3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99961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143</xdr:row>
      <xdr:rowOff>0</xdr:rowOff>
    </xdr:from>
    <xdr:ext cx="304800" cy="279400"/>
    <xdr:sp macro="" textlink="">
      <xdr:nvSpPr>
        <xdr:cNvPr id="5379" name="AutoShape 3331" descr="alert toggle">
          <a:extLst>
            <a:ext uri="{FF2B5EF4-FFF2-40B4-BE49-F238E27FC236}">
              <a16:creationId xmlns:a16="http://schemas.microsoft.com/office/drawing/2014/main" id="{BA8CC091-2E29-E3E1-A371-66593A9AD78A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99961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143</xdr:row>
      <xdr:rowOff>0</xdr:rowOff>
    </xdr:from>
    <xdr:ext cx="304800" cy="279400"/>
    <xdr:sp macro="" textlink="">
      <xdr:nvSpPr>
        <xdr:cNvPr id="5382" name="AutoShape 3334" descr="note-add">
          <a:extLst>
            <a:ext uri="{FF2B5EF4-FFF2-40B4-BE49-F238E27FC236}">
              <a16:creationId xmlns:a16="http://schemas.microsoft.com/office/drawing/2014/main" id="{D367F08B-8D77-A386-0D99-6385C90B7DA3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10024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143</xdr:row>
      <xdr:rowOff>0</xdr:rowOff>
    </xdr:from>
    <xdr:ext cx="304800" cy="279400"/>
    <xdr:sp macro="" textlink="">
      <xdr:nvSpPr>
        <xdr:cNvPr id="5383" name="AutoShape 3335" descr="alert toggle">
          <a:extLst>
            <a:ext uri="{FF2B5EF4-FFF2-40B4-BE49-F238E27FC236}">
              <a16:creationId xmlns:a16="http://schemas.microsoft.com/office/drawing/2014/main" id="{11D6757A-3DA7-5A75-3EBE-421127CD62CB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10024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21</xdr:col>
      <xdr:colOff>0</xdr:colOff>
      <xdr:row>265</xdr:row>
      <xdr:rowOff>0</xdr:rowOff>
    </xdr:from>
    <xdr:to>
      <xdr:col>21</xdr:col>
      <xdr:colOff>304800</xdr:colOff>
      <xdr:row>266</xdr:row>
      <xdr:rowOff>76199</xdr:rowOff>
    </xdr:to>
    <xdr:sp macro="" textlink="">
      <xdr:nvSpPr>
        <xdr:cNvPr id="5622" name="AutoShape 3574" descr="note-add">
          <a:extLst>
            <a:ext uri="{FF2B5EF4-FFF2-40B4-BE49-F238E27FC236}">
              <a16:creationId xmlns:a16="http://schemas.microsoft.com/office/drawing/2014/main" id="{9473A421-4953-0E9B-4843-0254EF7051C7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88506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265</xdr:row>
      <xdr:rowOff>0</xdr:rowOff>
    </xdr:from>
    <xdr:to>
      <xdr:col>21</xdr:col>
      <xdr:colOff>622300</xdr:colOff>
      <xdr:row>266</xdr:row>
      <xdr:rowOff>76199</xdr:rowOff>
    </xdr:to>
    <xdr:sp macro="" textlink="">
      <xdr:nvSpPr>
        <xdr:cNvPr id="5623" name="AutoShape 3575" descr="alert toggle">
          <a:extLst>
            <a:ext uri="{FF2B5EF4-FFF2-40B4-BE49-F238E27FC236}">
              <a16:creationId xmlns:a16="http://schemas.microsoft.com/office/drawing/2014/main" id="{6F4DD5FA-E35E-7A81-AF0F-8ABFC22E7189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88506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266</xdr:row>
      <xdr:rowOff>0</xdr:rowOff>
    </xdr:from>
    <xdr:to>
      <xdr:col>24</xdr:col>
      <xdr:colOff>304800</xdr:colOff>
      <xdr:row>267</xdr:row>
      <xdr:rowOff>76199</xdr:rowOff>
    </xdr:to>
    <xdr:sp macro="" textlink="">
      <xdr:nvSpPr>
        <xdr:cNvPr id="5626" name="AutoShape 3578" descr="note-add">
          <a:extLst>
            <a:ext uri="{FF2B5EF4-FFF2-40B4-BE49-F238E27FC236}">
              <a16:creationId xmlns:a16="http://schemas.microsoft.com/office/drawing/2014/main" id="{FBD8C4F9-B6FC-4A1A-11D4-7DB5362BAD95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88785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266</xdr:row>
      <xdr:rowOff>0</xdr:rowOff>
    </xdr:from>
    <xdr:to>
      <xdr:col>24</xdr:col>
      <xdr:colOff>622300</xdr:colOff>
      <xdr:row>267</xdr:row>
      <xdr:rowOff>76199</xdr:rowOff>
    </xdr:to>
    <xdr:sp macro="" textlink="">
      <xdr:nvSpPr>
        <xdr:cNvPr id="5627" name="AutoShape 3579" descr="alert toggle">
          <a:extLst>
            <a:ext uri="{FF2B5EF4-FFF2-40B4-BE49-F238E27FC236}">
              <a16:creationId xmlns:a16="http://schemas.microsoft.com/office/drawing/2014/main" id="{4F80AA46-4A81-D88E-A668-037B5C086B60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88785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267</xdr:row>
      <xdr:rowOff>0</xdr:rowOff>
    </xdr:from>
    <xdr:to>
      <xdr:col>24</xdr:col>
      <xdr:colOff>304800</xdr:colOff>
      <xdr:row>268</xdr:row>
      <xdr:rowOff>76199</xdr:rowOff>
    </xdr:to>
    <xdr:sp macro="" textlink="">
      <xdr:nvSpPr>
        <xdr:cNvPr id="5630" name="AutoShape 3582" descr="note-add">
          <a:extLst>
            <a:ext uri="{FF2B5EF4-FFF2-40B4-BE49-F238E27FC236}">
              <a16:creationId xmlns:a16="http://schemas.microsoft.com/office/drawing/2014/main" id="{BB2C83D8-E8D2-3699-04C7-CFEEE660E445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89065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267</xdr:row>
      <xdr:rowOff>0</xdr:rowOff>
    </xdr:from>
    <xdr:to>
      <xdr:col>24</xdr:col>
      <xdr:colOff>622300</xdr:colOff>
      <xdr:row>268</xdr:row>
      <xdr:rowOff>76199</xdr:rowOff>
    </xdr:to>
    <xdr:sp macro="" textlink="">
      <xdr:nvSpPr>
        <xdr:cNvPr id="5631" name="AutoShape 3583" descr="alert toggle">
          <a:extLst>
            <a:ext uri="{FF2B5EF4-FFF2-40B4-BE49-F238E27FC236}">
              <a16:creationId xmlns:a16="http://schemas.microsoft.com/office/drawing/2014/main" id="{B3931865-0EC7-B19C-150F-71CE170E768C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89065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268</xdr:row>
      <xdr:rowOff>0</xdr:rowOff>
    </xdr:from>
    <xdr:to>
      <xdr:col>24</xdr:col>
      <xdr:colOff>304800</xdr:colOff>
      <xdr:row>269</xdr:row>
      <xdr:rowOff>76199</xdr:rowOff>
    </xdr:to>
    <xdr:sp macro="" textlink="">
      <xdr:nvSpPr>
        <xdr:cNvPr id="5634" name="AutoShape 3586" descr="note-add">
          <a:extLst>
            <a:ext uri="{FF2B5EF4-FFF2-40B4-BE49-F238E27FC236}">
              <a16:creationId xmlns:a16="http://schemas.microsoft.com/office/drawing/2014/main" id="{E31F749E-80F9-9560-75FF-FC59CB68C913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89344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268</xdr:row>
      <xdr:rowOff>0</xdr:rowOff>
    </xdr:from>
    <xdr:to>
      <xdr:col>24</xdr:col>
      <xdr:colOff>622300</xdr:colOff>
      <xdr:row>269</xdr:row>
      <xdr:rowOff>76199</xdr:rowOff>
    </xdr:to>
    <xdr:sp macro="" textlink="">
      <xdr:nvSpPr>
        <xdr:cNvPr id="5635" name="AutoShape 3587" descr="alert toggle">
          <a:extLst>
            <a:ext uri="{FF2B5EF4-FFF2-40B4-BE49-F238E27FC236}">
              <a16:creationId xmlns:a16="http://schemas.microsoft.com/office/drawing/2014/main" id="{92D9D7F5-6F63-A317-685E-120CA74069BE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89344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269</xdr:row>
      <xdr:rowOff>0</xdr:rowOff>
    </xdr:from>
    <xdr:to>
      <xdr:col>24</xdr:col>
      <xdr:colOff>304800</xdr:colOff>
      <xdr:row>270</xdr:row>
      <xdr:rowOff>76199</xdr:rowOff>
    </xdr:to>
    <xdr:sp macro="" textlink="">
      <xdr:nvSpPr>
        <xdr:cNvPr id="5638" name="AutoShape 3590" descr="note-add">
          <a:extLst>
            <a:ext uri="{FF2B5EF4-FFF2-40B4-BE49-F238E27FC236}">
              <a16:creationId xmlns:a16="http://schemas.microsoft.com/office/drawing/2014/main" id="{AF0E0ADD-1155-136C-670B-40FEEF103751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89623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269</xdr:row>
      <xdr:rowOff>0</xdr:rowOff>
    </xdr:from>
    <xdr:to>
      <xdr:col>24</xdr:col>
      <xdr:colOff>622300</xdr:colOff>
      <xdr:row>270</xdr:row>
      <xdr:rowOff>76199</xdr:rowOff>
    </xdr:to>
    <xdr:sp macro="" textlink="">
      <xdr:nvSpPr>
        <xdr:cNvPr id="5639" name="AutoShape 3591" descr="alert toggle">
          <a:extLst>
            <a:ext uri="{FF2B5EF4-FFF2-40B4-BE49-F238E27FC236}">
              <a16:creationId xmlns:a16="http://schemas.microsoft.com/office/drawing/2014/main" id="{FBE20FC7-5CE2-84BB-DF2A-FC9F51FADE6E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89623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270</xdr:row>
      <xdr:rowOff>0</xdr:rowOff>
    </xdr:from>
    <xdr:to>
      <xdr:col>24</xdr:col>
      <xdr:colOff>304800</xdr:colOff>
      <xdr:row>271</xdr:row>
      <xdr:rowOff>76199</xdr:rowOff>
    </xdr:to>
    <xdr:sp macro="" textlink="">
      <xdr:nvSpPr>
        <xdr:cNvPr id="5642" name="AutoShape 3594" descr="note-add">
          <a:extLst>
            <a:ext uri="{FF2B5EF4-FFF2-40B4-BE49-F238E27FC236}">
              <a16:creationId xmlns:a16="http://schemas.microsoft.com/office/drawing/2014/main" id="{DDB33256-C433-F75C-4A72-A85EFBA10E52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89903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270</xdr:row>
      <xdr:rowOff>0</xdr:rowOff>
    </xdr:from>
    <xdr:to>
      <xdr:col>24</xdr:col>
      <xdr:colOff>622300</xdr:colOff>
      <xdr:row>271</xdr:row>
      <xdr:rowOff>76199</xdr:rowOff>
    </xdr:to>
    <xdr:sp macro="" textlink="">
      <xdr:nvSpPr>
        <xdr:cNvPr id="5643" name="AutoShape 3595" descr="alert toggle">
          <a:extLst>
            <a:ext uri="{FF2B5EF4-FFF2-40B4-BE49-F238E27FC236}">
              <a16:creationId xmlns:a16="http://schemas.microsoft.com/office/drawing/2014/main" id="{29F3DAAB-94E2-E811-7406-191B11C61A96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89903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271</xdr:row>
      <xdr:rowOff>0</xdr:rowOff>
    </xdr:from>
    <xdr:to>
      <xdr:col>24</xdr:col>
      <xdr:colOff>304800</xdr:colOff>
      <xdr:row>272</xdr:row>
      <xdr:rowOff>98424</xdr:rowOff>
    </xdr:to>
    <xdr:sp macro="" textlink="">
      <xdr:nvSpPr>
        <xdr:cNvPr id="5646" name="AutoShape 3598" descr="note-add">
          <a:extLst>
            <a:ext uri="{FF2B5EF4-FFF2-40B4-BE49-F238E27FC236}">
              <a16:creationId xmlns:a16="http://schemas.microsoft.com/office/drawing/2014/main" id="{3AB7CC12-6A9C-D0C0-02D4-E09B7002A576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0182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271</xdr:row>
      <xdr:rowOff>0</xdr:rowOff>
    </xdr:from>
    <xdr:to>
      <xdr:col>24</xdr:col>
      <xdr:colOff>622300</xdr:colOff>
      <xdr:row>272</xdr:row>
      <xdr:rowOff>98424</xdr:rowOff>
    </xdr:to>
    <xdr:sp macro="" textlink="">
      <xdr:nvSpPr>
        <xdr:cNvPr id="5647" name="AutoShape 3599" descr="alert toggle">
          <a:extLst>
            <a:ext uri="{FF2B5EF4-FFF2-40B4-BE49-F238E27FC236}">
              <a16:creationId xmlns:a16="http://schemas.microsoft.com/office/drawing/2014/main" id="{D4C3A5C3-8078-CE87-AA2A-C3C41D19A3E4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0182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272</xdr:row>
      <xdr:rowOff>0</xdr:rowOff>
    </xdr:from>
    <xdr:to>
      <xdr:col>24</xdr:col>
      <xdr:colOff>304800</xdr:colOff>
      <xdr:row>273</xdr:row>
      <xdr:rowOff>76199</xdr:rowOff>
    </xdr:to>
    <xdr:sp macro="" textlink="">
      <xdr:nvSpPr>
        <xdr:cNvPr id="5650" name="AutoShape 3602" descr="note-add">
          <a:extLst>
            <a:ext uri="{FF2B5EF4-FFF2-40B4-BE49-F238E27FC236}">
              <a16:creationId xmlns:a16="http://schemas.microsoft.com/office/drawing/2014/main" id="{7E0D6AD4-9857-F7D4-093F-7D5C8C805600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0462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272</xdr:row>
      <xdr:rowOff>0</xdr:rowOff>
    </xdr:from>
    <xdr:to>
      <xdr:col>24</xdr:col>
      <xdr:colOff>622300</xdr:colOff>
      <xdr:row>273</xdr:row>
      <xdr:rowOff>76199</xdr:rowOff>
    </xdr:to>
    <xdr:sp macro="" textlink="">
      <xdr:nvSpPr>
        <xdr:cNvPr id="5651" name="AutoShape 3603" descr="alert toggle">
          <a:extLst>
            <a:ext uri="{FF2B5EF4-FFF2-40B4-BE49-F238E27FC236}">
              <a16:creationId xmlns:a16="http://schemas.microsoft.com/office/drawing/2014/main" id="{1BDA4BC7-6D8C-8766-091A-42D4996A4D74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0462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272</xdr:row>
      <xdr:rowOff>0</xdr:rowOff>
    </xdr:from>
    <xdr:to>
      <xdr:col>24</xdr:col>
      <xdr:colOff>304800</xdr:colOff>
      <xdr:row>273</xdr:row>
      <xdr:rowOff>76200</xdr:rowOff>
    </xdr:to>
    <xdr:sp macro="" textlink="">
      <xdr:nvSpPr>
        <xdr:cNvPr id="5654" name="AutoShape 3606" descr="note-add">
          <a:extLst>
            <a:ext uri="{FF2B5EF4-FFF2-40B4-BE49-F238E27FC236}">
              <a16:creationId xmlns:a16="http://schemas.microsoft.com/office/drawing/2014/main" id="{5882E4E8-CB4B-3DB2-3D55-CDDFD2783AFB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0741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272</xdr:row>
      <xdr:rowOff>0</xdr:rowOff>
    </xdr:from>
    <xdr:to>
      <xdr:col>24</xdr:col>
      <xdr:colOff>622300</xdr:colOff>
      <xdr:row>273</xdr:row>
      <xdr:rowOff>76200</xdr:rowOff>
    </xdr:to>
    <xdr:sp macro="" textlink="">
      <xdr:nvSpPr>
        <xdr:cNvPr id="5655" name="AutoShape 3607" descr="alert toggle">
          <a:extLst>
            <a:ext uri="{FF2B5EF4-FFF2-40B4-BE49-F238E27FC236}">
              <a16:creationId xmlns:a16="http://schemas.microsoft.com/office/drawing/2014/main" id="{4901E770-6F65-EF0B-1AF3-1420FFA27A3A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0741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272</xdr:row>
      <xdr:rowOff>0</xdr:rowOff>
    </xdr:from>
    <xdr:to>
      <xdr:col>24</xdr:col>
      <xdr:colOff>304800</xdr:colOff>
      <xdr:row>273</xdr:row>
      <xdr:rowOff>76199</xdr:rowOff>
    </xdr:to>
    <xdr:sp macro="" textlink="">
      <xdr:nvSpPr>
        <xdr:cNvPr id="5658" name="AutoShape 3610" descr="note-add">
          <a:extLst>
            <a:ext uri="{FF2B5EF4-FFF2-40B4-BE49-F238E27FC236}">
              <a16:creationId xmlns:a16="http://schemas.microsoft.com/office/drawing/2014/main" id="{21BB3EA4-01E5-616A-DD1D-06AA2C42F092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1020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272</xdr:row>
      <xdr:rowOff>0</xdr:rowOff>
    </xdr:from>
    <xdr:to>
      <xdr:col>24</xdr:col>
      <xdr:colOff>622300</xdr:colOff>
      <xdr:row>273</xdr:row>
      <xdr:rowOff>76199</xdr:rowOff>
    </xdr:to>
    <xdr:sp macro="" textlink="">
      <xdr:nvSpPr>
        <xdr:cNvPr id="5659" name="AutoShape 3611" descr="alert toggle">
          <a:extLst>
            <a:ext uri="{FF2B5EF4-FFF2-40B4-BE49-F238E27FC236}">
              <a16:creationId xmlns:a16="http://schemas.microsoft.com/office/drawing/2014/main" id="{4B5EFAFB-88CA-4831-441F-A4682632F49A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1020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273</xdr:row>
      <xdr:rowOff>0</xdr:rowOff>
    </xdr:from>
    <xdr:to>
      <xdr:col>24</xdr:col>
      <xdr:colOff>304800</xdr:colOff>
      <xdr:row>274</xdr:row>
      <xdr:rowOff>76199</xdr:rowOff>
    </xdr:to>
    <xdr:sp macro="" textlink="">
      <xdr:nvSpPr>
        <xdr:cNvPr id="5662" name="AutoShape 3614" descr="note-add">
          <a:extLst>
            <a:ext uri="{FF2B5EF4-FFF2-40B4-BE49-F238E27FC236}">
              <a16:creationId xmlns:a16="http://schemas.microsoft.com/office/drawing/2014/main" id="{CD1C530F-282B-CAAC-ABE5-DF1CBB765A45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1300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273</xdr:row>
      <xdr:rowOff>0</xdr:rowOff>
    </xdr:from>
    <xdr:to>
      <xdr:col>24</xdr:col>
      <xdr:colOff>622300</xdr:colOff>
      <xdr:row>274</xdr:row>
      <xdr:rowOff>76199</xdr:rowOff>
    </xdr:to>
    <xdr:sp macro="" textlink="">
      <xdr:nvSpPr>
        <xdr:cNvPr id="5663" name="AutoShape 3615" descr="alert toggle">
          <a:extLst>
            <a:ext uri="{FF2B5EF4-FFF2-40B4-BE49-F238E27FC236}">
              <a16:creationId xmlns:a16="http://schemas.microsoft.com/office/drawing/2014/main" id="{A6ECCED4-2763-AE3F-D114-6270935C16EC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1300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274</xdr:row>
      <xdr:rowOff>0</xdr:rowOff>
    </xdr:from>
    <xdr:to>
      <xdr:col>24</xdr:col>
      <xdr:colOff>304800</xdr:colOff>
      <xdr:row>275</xdr:row>
      <xdr:rowOff>76199</xdr:rowOff>
    </xdr:to>
    <xdr:sp macro="" textlink="">
      <xdr:nvSpPr>
        <xdr:cNvPr id="5666" name="AutoShape 3618" descr="note-add">
          <a:extLst>
            <a:ext uri="{FF2B5EF4-FFF2-40B4-BE49-F238E27FC236}">
              <a16:creationId xmlns:a16="http://schemas.microsoft.com/office/drawing/2014/main" id="{DEB2EBF6-5F57-33F5-783A-9FAF199E071A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1579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274</xdr:row>
      <xdr:rowOff>0</xdr:rowOff>
    </xdr:from>
    <xdr:to>
      <xdr:col>24</xdr:col>
      <xdr:colOff>622300</xdr:colOff>
      <xdr:row>275</xdr:row>
      <xdr:rowOff>76199</xdr:rowOff>
    </xdr:to>
    <xdr:sp macro="" textlink="">
      <xdr:nvSpPr>
        <xdr:cNvPr id="5667" name="AutoShape 3619" descr="alert toggle">
          <a:extLst>
            <a:ext uri="{FF2B5EF4-FFF2-40B4-BE49-F238E27FC236}">
              <a16:creationId xmlns:a16="http://schemas.microsoft.com/office/drawing/2014/main" id="{0D7070F3-E4B5-435A-C8AD-1ABC36E8BD8B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1579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275</xdr:row>
      <xdr:rowOff>0</xdr:rowOff>
    </xdr:from>
    <xdr:to>
      <xdr:col>24</xdr:col>
      <xdr:colOff>304800</xdr:colOff>
      <xdr:row>276</xdr:row>
      <xdr:rowOff>76200</xdr:rowOff>
    </xdr:to>
    <xdr:sp macro="" textlink="">
      <xdr:nvSpPr>
        <xdr:cNvPr id="5670" name="AutoShape 3622" descr="note-add">
          <a:extLst>
            <a:ext uri="{FF2B5EF4-FFF2-40B4-BE49-F238E27FC236}">
              <a16:creationId xmlns:a16="http://schemas.microsoft.com/office/drawing/2014/main" id="{8D0E381B-AC11-52DD-6639-64F4998CA283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1859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275</xdr:row>
      <xdr:rowOff>0</xdr:rowOff>
    </xdr:from>
    <xdr:to>
      <xdr:col>24</xdr:col>
      <xdr:colOff>622300</xdr:colOff>
      <xdr:row>276</xdr:row>
      <xdr:rowOff>76200</xdr:rowOff>
    </xdr:to>
    <xdr:sp macro="" textlink="">
      <xdr:nvSpPr>
        <xdr:cNvPr id="5671" name="AutoShape 3623" descr="alert toggle">
          <a:extLst>
            <a:ext uri="{FF2B5EF4-FFF2-40B4-BE49-F238E27FC236}">
              <a16:creationId xmlns:a16="http://schemas.microsoft.com/office/drawing/2014/main" id="{C93BCBCF-B173-A107-787A-DDD93BCDC673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1859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276</xdr:row>
      <xdr:rowOff>0</xdr:rowOff>
    </xdr:from>
    <xdr:to>
      <xdr:col>24</xdr:col>
      <xdr:colOff>304800</xdr:colOff>
      <xdr:row>277</xdr:row>
      <xdr:rowOff>88899</xdr:rowOff>
    </xdr:to>
    <xdr:sp macro="" textlink="">
      <xdr:nvSpPr>
        <xdr:cNvPr id="5674" name="AutoShape 3626" descr="note-add">
          <a:extLst>
            <a:ext uri="{FF2B5EF4-FFF2-40B4-BE49-F238E27FC236}">
              <a16:creationId xmlns:a16="http://schemas.microsoft.com/office/drawing/2014/main" id="{951AE7AB-35AC-D9A6-9353-8EABFDCB9B8E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2138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276</xdr:row>
      <xdr:rowOff>0</xdr:rowOff>
    </xdr:from>
    <xdr:to>
      <xdr:col>24</xdr:col>
      <xdr:colOff>622300</xdr:colOff>
      <xdr:row>277</xdr:row>
      <xdr:rowOff>88899</xdr:rowOff>
    </xdr:to>
    <xdr:sp macro="" textlink="">
      <xdr:nvSpPr>
        <xdr:cNvPr id="5675" name="AutoShape 3627" descr="alert toggle">
          <a:extLst>
            <a:ext uri="{FF2B5EF4-FFF2-40B4-BE49-F238E27FC236}">
              <a16:creationId xmlns:a16="http://schemas.microsoft.com/office/drawing/2014/main" id="{68F9A321-D4A4-4FA2-E177-9194EFD475B0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92138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276</xdr:row>
      <xdr:rowOff>0</xdr:rowOff>
    </xdr:from>
    <xdr:to>
      <xdr:col>24</xdr:col>
      <xdr:colOff>304800</xdr:colOff>
      <xdr:row>277</xdr:row>
      <xdr:rowOff>88900</xdr:rowOff>
    </xdr:to>
    <xdr:sp macro="" textlink="">
      <xdr:nvSpPr>
        <xdr:cNvPr id="5678" name="AutoShape 3630" descr="note-add">
          <a:extLst>
            <a:ext uri="{FF2B5EF4-FFF2-40B4-BE49-F238E27FC236}">
              <a16:creationId xmlns:a16="http://schemas.microsoft.com/office/drawing/2014/main" id="{93C11872-C4BB-AC78-1EAB-1A32F9B2681E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92417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205</xdr:row>
      <xdr:rowOff>0</xdr:rowOff>
    </xdr:from>
    <xdr:to>
      <xdr:col>22</xdr:col>
      <xdr:colOff>304800</xdr:colOff>
      <xdr:row>206</xdr:row>
      <xdr:rowOff>114301</xdr:rowOff>
    </xdr:to>
    <xdr:sp macro="" textlink="">
      <xdr:nvSpPr>
        <xdr:cNvPr id="5737" name="AutoShape 3689" descr="note-add">
          <a:extLst>
            <a:ext uri="{FF2B5EF4-FFF2-40B4-BE49-F238E27FC236}">
              <a16:creationId xmlns:a16="http://schemas.microsoft.com/office/drawing/2014/main" id="{FF7F8E36-8284-AD02-6E76-E5154C9E6EBF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675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317500</xdr:colOff>
      <xdr:row>205</xdr:row>
      <xdr:rowOff>0</xdr:rowOff>
    </xdr:from>
    <xdr:to>
      <xdr:col>22</xdr:col>
      <xdr:colOff>622300</xdr:colOff>
      <xdr:row>206</xdr:row>
      <xdr:rowOff>114301</xdr:rowOff>
    </xdr:to>
    <xdr:sp macro="" textlink="">
      <xdr:nvSpPr>
        <xdr:cNvPr id="5738" name="AutoShape 3690" descr="alert toggle">
          <a:extLst>
            <a:ext uri="{FF2B5EF4-FFF2-40B4-BE49-F238E27FC236}">
              <a16:creationId xmlns:a16="http://schemas.microsoft.com/office/drawing/2014/main" id="{EA658EF5-FA05-EDA0-D6FA-5CB89DB51EBC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675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206</xdr:row>
      <xdr:rowOff>0</xdr:rowOff>
    </xdr:from>
    <xdr:to>
      <xdr:col>25</xdr:col>
      <xdr:colOff>304800</xdr:colOff>
      <xdr:row>207</xdr:row>
      <xdr:rowOff>114300</xdr:rowOff>
    </xdr:to>
    <xdr:sp macro="" textlink="">
      <xdr:nvSpPr>
        <xdr:cNvPr id="5741" name="AutoShape 3693" descr="note-add">
          <a:extLst>
            <a:ext uri="{FF2B5EF4-FFF2-40B4-BE49-F238E27FC236}">
              <a16:creationId xmlns:a16="http://schemas.microsoft.com/office/drawing/2014/main" id="{B1701BB1-8AAE-D43B-C382-1772654C7449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78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206</xdr:row>
      <xdr:rowOff>0</xdr:rowOff>
    </xdr:from>
    <xdr:to>
      <xdr:col>25</xdr:col>
      <xdr:colOff>622300</xdr:colOff>
      <xdr:row>207</xdr:row>
      <xdr:rowOff>114300</xdr:rowOff>
    </xdr:to>
    <xdr:sp macro="" textlink="">
      <xdr:nvSpPr>
        <xdr:cNvPr id="5742" name="AutoShape 3694" descr="alert toggle">
          <a:extLst>
            <a:ext uri="{FF2B5EF4-FFF2-40B4-BE49-F238E27FC236}">
              <a16:creationId xmlns:a16="http://schemas.microsoft.com/office/drawing/2014/main" id="{07BF16A2-A38A-0158-B871-2E2506EB6075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78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207</xdr:row>
      <xdr:rowOff>0</xdr:rowOff>
    </xdr:from>
    <xdr:to>
      <xdr:col>25</xdr:col>
      <xdr:colOff>304800</xdr:colOff>
      <xdr:row>208</xdr:row>
      <xdr:rowOff>101601</xdr:rowOff>
    </xdr:to>
    <xdr:sp macro="" textlink="">
      <xdr:nvSpPr>
        <xdr:cNvPr id="5745" name="AutoShape 3697" descr="note-add">
          <a:extLst>
            <a:ext uri="{FF2B5EF4-FFF2-40B4-BE49-F238E27FC236}">
              <a16:creationId xmlns:a16="http://schemas.microsoft.com/office/drawing/2014/main" id="{50459ECD-34BD-DCC1-0441-7949A3D69963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81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207</xdr:row>
      <xdr:rowOff>0</xdr:rowOff>
    </xdr:from>
    <xdr:to>
      <xdr:col>25</xdr:col>
      <xdr:colOff>622300</xdr:colOff>
      <xdr:row>208</xdr:row>
      <xdr:rowOff>101601</xdr:rowOff>
    </xdr:to>
    <xdr:sp macro="" textlink="">
      <xdr:nvSpPr>
        <xdr:cNvPr id="5746" name="AutoShape 3698" descr="alert toggle">
          <a:extLst>
            <a:ext uri="{FF2B5EF4-FFF2-40B4-BE49-F238E27FC236}">
              <a16:creationId xmlns:a16="http://schemas.microsoft.com/office/drawing/2014/main" id="{A100CA9C-BFEF-479C-C043-B6EF4CCE1DFF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81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208</xdr:row>
      <xdr:rowOff>0</xdr:rowOff>
    </xdr:from>
    <xdr:to>
      <xdr:col>25</xdr:col>
      <xdr:colOff>304800</xdr:colOff>
      <xdr:row>209</xdr:row>
      <xdr:rowOff>101600</xdr:rowOff>
    </xdr:to>
    <xdr:sp macro="" textlink="">
      <xdr:nvSpPr>
        <xdr:cNvPr id="5749" name="AutoShape 3701" descr="note-add">
          <a:extLst>
            <a:ext uri="{FF2B5EF4-FFF2-40B4-BE49-F238E27FC236}">
              <a16:creationId xmlns:a16="http://schemas.microsoft.com/office/drawing/2014/main" id="{A95046A6-6288-9B5F-49C6-0AF18B82AC32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208</xdr:row>
      <xdr:rowOff>0</xdr:rowOff>
    </xdr:from>
    <xdr:to>
      <xdr:col>25</xdr:col>
      <xdr:colOff>622300</xdr:colOff>
      <xdr:row>209</xdr:row>
      <xdr:rowOff>101600</xdr:rowOff>
    </xdr:to>
    <xdr:sp macro="" textlink="">
      <xdr:nvSpPr>
        <xdr:cNvPr id="5750" name="AutoShape 3702" descr="alert toggle">
          <a:extLst>
            <a:ext uri="{FF2B5EF4-FFF2-40B4-BE49-F238E27FC236}">
              <a16:creationId xmlns:a16="http://schemas.microsoft.com/office/drawing/2014/main" id="{762773B7-BD97-E900-65B4-8BB480D6EB17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83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209</xdr:row>
      <xdr:rowOff>0</xdr:rowOff>
    </xdr:from>
    <xdr:to>
      <xdr:col>25</xdr:col>
      <xdr:colOff>304800</xdr:colOff>
      <xdr:row>210</xdr:row>
      <xdr:rowOff>101601</xdr:rowOff>
    </xdr:to>
    <xdr:sp macro="" textlink="">
      <xdr:nvSpPr>
        <xdr:cNvPr id="5753" name="AutoShape 3705" descr="note-add">
          <a:extLst>
            <a:ext uri="{FF2B5EF4-FFF2-40B4-BE49-F238E27FC236}">
              <a16:creationId xmlns:a16="http://schemas.microsoft.com/office/drawing/2014/main" id="{B8FECC73-3600-1345-3315-D419D4FEDA90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8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209</xdr:row>
      <xdr:rowOff>0</xdr:rowOff>
    </xdr:from>
    <xdr:to>
      <xdr:col>25</xdr:col>
      <xdr:colOff>622300</xdr:colOff>
      <xdr:row>210</xdr:row>
      <xdr:rowOff>101601</xdr:rowOff>
    </xdr:to>
    <xdr:sp macro="" textlink="">
      <xdr:nvSpPr>
        <xdr:cNvPr id="5754" name="AutoShape 3706" descr="alert toggle">
          <a:extLst>
            <a:ext uri="{FF2B5EF4-FFF2-40B4-BE49-F238E27FC236}">
              <a16:creationId xmlns:a16="http://schemas.microsoft.com/office/drawing/2014/main" id="{71E11FE7-557F-F9FF-2335-0689FEBD8CB3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8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209</xdr:row>
      <xdr:rowOff>0</xdr:rowOff>
    </xdr:from>
    <xdr:to>
      <xdr:col>25</xdr:col>
      <xdr:colOff>304800</xdr:colOff>
      <xdr:row>210</xdr:row>
      <xdr:rowOff>101599</xdr:rowOff>
    </xdr:to>
    <xdr:sp macro="" textlink="">
      <xdr:nvSpPr>
        <xdr:cNvPr id="5757" name="AutoShape 3709" descr="note-add">
          <a:extLst>
            <a:ext uri="{FF2B5EF4-FFF2-40B4-BE49-F238E27FC236}">
              <a16:creationId xmlns:a16="http://schemas.microsoft.com/office/drawing/2014/main" id="{0A8203D1-EFD7-BFF4-D762-036B1133DA7B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89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209</xdr:row>
      <xdr:rowOff>0</xdr:rowOff>
    </xdr:from>
    <xdr:to>
      <xdr:col>25</xdr:col>
      <xdr:colOff>622300</xdr:colOff>
      <xdr:row>210</xdr:row>
      <xdr:rowOff>101599</xdr:rowOff>
    </xdr:to>
    <xdr:sp macro="" textlink="">
      <xdr:nvSpPr>
        <xdr:cNvPr id="5758" name="AutoShape 3710" descr="alert toggle">
          <a:extLst>
            <a:ext uri="{FF2B5EF4-FFF2-40B4-BE49-F238E27FC236}">
              <a16:creationId xmlns:a16="http://schemas.microsoft.com/office/drawing/2014/main" id="{C9A24AD9-1A3C-CB96-C3A9-8F8422A1FB7F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89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209</xdr:row>
      <xdr:rowOff>0</xdr:rowOff>
    </xdr:from>
    <xdr:to>
      <xdr:col>25</xdr:col>
      <xdr:colOff>304800</xdr:colOff>
      <xdr:row>210</xdr:row>
      <xdr:rowOff>101600</xdr:rowOff>
    </xdr:to>
    <xdr:sp macro="" textlink="">
      <xdr:nvSpPr>
        <xdr:cNvPr id="5761" name="AutoShape 3713" descr="note-add">
          <a:extLst>
            <a:ext uri="{FF2B5EF4-FFF2-40B4-BE49-F238E27FC236}">
              <a16:creationId xmlns:a16="http://schemas.microsoft.com/office/drawing/2014/main" id="{F8769C27-4E3E-D3D0-5149-C28D5A3C394F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92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209</xdr:row>
      <xdr:rowOff>0</xdr:rowOff>
    </xdr:from>
    <xdr:to>
      <xdr:col>25</xdr:col>
      <xdr:colOff>622300</xdr:colOff>
      <xdr:row>210</xdr:row>
      <xdr:rowOff>101600</xdr:rowOff>
    </xdr:to>
    <xdr:sp macro="" textlink="">
      <xdr:nvSpPr>
        <xdr:cNvPr id="5762" name="AutoShape 3714" descr="alert toggle">
          <a:extLst>
            <a:ext uri="{FF2B5EF4-FFF2-40B4-BE49-F238E27FC236}">
              <a16:creationId xmlns:a16="http://schemas.microsoft.com/office/drawing/2014/main" id="{31A27494-59AB-58FC-FC9E-247A4357FFB9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92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210</xdr:row>
      <xdr:rowOff>0</xdr:rowOff>
    </xdr:from>
    <xdr:to>
      <xdr:col>25</xdr:col>
      <xdr:colOff>304800</xdr:colOff>
      <xdr:row>211</xdr:row>
      <xdr:rowOff>101600</xdr:rowOff>
    </xdr:to>
    <xdr:sp macro="" textlink="">
      <xdr:nvSpPr>
        <xdr:cNvPr id="5765" name="AutoShape 3717" descr="note-add">
          <a:extLst>
            <a:ext uri="{FF2B5EF4-FFF2-40B4-BE49-F238E27FC236}">
              <a16:creationId xmlns:a16="http://schemas.microsoft.com/office/drawing/2014/main" id="{2F1F74F9-70F7-76CF-0F5E-5A5B19F1673A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95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210</xdr:row>
      <xdr:rowOff>0</xdr:rowOff>
    </xdr:from>
    <xdr:to>
      <xdr:col>25</xdr:col>
      <xdr:colOff>622300</xdr:colOff>
      <xdr:row>211</xdr:row>
      <xdr:rowOff>101600</xdr:rowOff>
    </xdr:to>
    <xdr:sp macro="" textlink="">
      <xdr:nvSpPr>
        <xdr:cNvPr id="5766" name="AutoShape 3718" descr="alert toggle">
          <a:extLst>
            <a:ext uri="{FF2B5EF4-FFF2-40B4-BE49-F238E27FC236}">
              <a16:creationId xmlns:a16="http://schemas.microsoft.com/office/drawing/2014/main" id="{16A2ACE9-0D35-AE86-E3BB-8138DAE4F0F4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95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211</xdr:row>
      <xdr:rowOff>0</xdr:rowOff>
    </xdr:from>
    <xdr:to>
      <xdr:col>25</xdr:col>
      <xdr:colOff>304800</xdr:colOff>
      <xdr:row>212</xdr:row>
      <xdr:rowOff>101601</xdr:rowOff>
    </xdr:to>
    <xdr:sp macro="" textlink="">
      <xdr:nvSpPr>
        <xdr:cNvPr id="5769" name="AutoShape 3721" descr="note-add">
          <a:extLst>
            <a:ext uri="{FF2B5EF4-FFF2-40B4-BE49-F238E27FC236}">
              <a16:creationId xmlns:a16="http://schemas.microsoft.com/office/drawing/2014/main" id="{282508EA-B127-7847-2A2F-1928E9FC980F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697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211</xdr:row>
      <xdr:rowOff>0</xdr:rowOff>
    </xdr:from>
    <xdr:to>
      <xdr:col>25</xdr:col>
      <xdr:colOff>622300</xdr:colOff>
      <xdr:row>212</xdr:row>
      <xdr:rowOff>101601</xdr:rowOff>
    </xdr:to>
    <xdr:sp macro="" textlink="">
      <xdr:nvSpPr>
        <xdr:cNvPr id="5770" name="AutoShape 3722" descr="alert toggle">
          <a:extLst>
            <a:ext uri="{FF2B5EF4-FFF2-40B4-BE49-F238E27FC236}">
              <a16:creationId xmlns:a16="http://schemas.microsoft.com/office/drawing/2014/main" id="{4C457C73-B8B8-5337-0851-8FAC1BE25529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697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212</xdr:row>
      <xdr:rowOff>0</xdr:rowOff>
    </xdr:from>
    <xdr:to>
      <xdr:col>25</xdr:col>
      <xdr:colOff>304800</xdr:colOff>
      <xdr:row>213</xdr:row>
      <xdr:rowOff>101600</xdr:rowOff>
    </xdr:to>
    <xdr:sp macro="" textlink="">
      <xdr:nvSpPr>
        <xdr:cNvPr id="5773" name="AutoShape 3725" descr="note-add">
          <a:extLst>
            <a:ext uri="{FF2B5EF4-FFF2-40B4-BE49-F238E27FC236}">
              <a16:creationId xmlns:a16="http://schemas.microsoft.com/office/drawing/2014/main" id="{69BF83D7-9689-BB19-BA20-CDE767E556D7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700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212</xdr:row>
      <xdr:rowOff>0</xdr:rowOff>
    </xdr:from>
    <xdr:to>
      <xdr:col>25</xdr:col>
      <xdr:colOff>622300</xdr:colOff>
      <xdr:row>213</xdr:row>
      <xdr:rowOff>101600</xdr:rowOff>
    </xdr:to>
    <xdr:sp macro="" textlink="">
      <xdr:nvSpPr>
        <xdr:cNvPr id="5774" name="AutoShape 3726" descr="alert toggle">
          <a:extLst>
            <a:ext uri="{FF2B5EF4-FFF2-40B4-BE49-F238E27FC236}">
              <a16:creationId xmlns:a16="http://schemas.microsoft.com/office/drawing/2014/main" id="{A5AE757E-C35E-2945-7C03-CC7BB679676C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700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213</xdr:row>
      <xdr:rowOff>0</xdr:rowOff>
    </xdr:from>
    <xdr:to>
      <xdr:col>25</xdr:col>
      <xdr:colOff>304800</xdr:colOff>
      <xdr:row>214</xdr:row>
      <xdr:rowOff>101601</xdr:rowOff>
    </xdr:to>
    <xdr:sp macro="" textlink="">
      <xdr:nvSpPr>
        <xdr:cNvPr id="5777" name="AutoShape 3729" descr="note-add">
          <a:extLst>
            <a:ext uri="{FF2B5EF4-FFF2-40B4-BE49-F238E27FC236}">
              <a16:creationId xmlns:a16="http://schemas.microsoft.com/office/drawing/2014/main" id="{E4267879-FEA7-6434-7C91-A9A50BCB9222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703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213</xdr:row>
      <xdr:rowOff>0</xdr:rowOff>
    </xdr:from>
    <xdr:to>
      <xdr:col>25</xdr:col>
      <xdr:colOff>622300</xdr:colOff>
      <xdr:row>214</xdr:row>
      <xdr:rowOff>101601</xdr:rowOff>
    </xdr:to>
    <xdr:sp macro="" textlink="">
      <xdr:nvSpPr>
        <xdr:cNvPr id="5778" name="AutoShape 3730" descr="alert toggle">
          <a:extLst>
            <a:ext uri="{FF2B5EF4-FFF2-40B4-BE49-F238E27FC236}">
              <a16:creationId xmlns:a16="http://schemas.microsoft.com/office/drawing/2014/main" id="{46FF681F-499F-69E0-B8D2-BF6941C800FA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703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214</xdr:row>
      <xdr:rowOff>0</xdr:rowOff>
    </xdr:from>
    <xdr:to>
      <xdr:col>25</xdr:col>
      <xdr:colOff>304800</xdr:colOff>
      <xdr:row>215</xdr:row>
      <xdr:rowOff>101601</xdr:rowOff>
    </xdr:to>
    <xdr:sp macro="" textlink="">
      <xdr:nvSpPr>
        <xdr:cNvPr id="5781" name="AutoShape 3733" descr="note-add">
          <a:extLst>
            <a:ext uri="{FF2B5EF4-FFF2-40B4-BE49-F238E27FC236}">
              <a16:creationId xmlns:a16="http://schemas.microsoft.com/office/drawing/2014/main" id="{30AEB72D-E1A8-2D29-03AA-2E2D2BBA3F46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706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214</xdr:row>
      <xdr:rowOff>0</xdr:rowOff>
    </xdr:from>
    <xdr:to>
      <xdr:col>25</xdr:col>
      <xdr:colOff>622300</xdr:colOff>
      <xdr:row>215</xdr:row>
      <xdr:rowOff>101601</xdr:rowOff>
    </xdr:to>
    <xdr:sp macro="" textlink="">
      <xdr:nvSpPr>
        <xdr:cNvPr id="5782" name="AutoShape 3734" descr="alert toggle">
          <a:extLst>
            <a:ext uri="{FF2B5EF4-FFF2-40B4-BE49-F238E27FC236}">
              <a16:creationId xmlns:a16="http://schemas.microsoft.com/office/drawing/2014/main" id="{137FDD50-822C-2F6D-C2C6-43DDAD745081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706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215</xdr:row>
      <xdr:rowOff>0</xdr:rowOff>
    </xdr:from>
    <xdr:to>
      <xdr:col>25</xdr:col>
      <xdr:colOff>304800</xdr:colOff>
      <xdr:row>216</xdr:row>
      <xdr:rowOff>101601</xdr:rowOff>
    </xdr:to>
    <xdr:sp macro="" textlink="">
      <xdr:nvSpPr>
        <xdr:cNvPr id="5785" name="AutoShape 3737" descr="note-add">
          <a:extLst>
            <a:ext uri="{FF2B5EF4-FFF2-40B4-BE49-F238E27FC236}">
              <a16:creationId xmlns:a16="http://schemas.microsoft.com/office/drawing/2014/main" id="{DDB7FA08-58D5-7C37-7070-3220D601D989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709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215</xdr:row>
      <xdr:rowOff>0</xdr:rowOff>
    </xdr:from>
    <xdr:to>
      <xdr:col>25</xdr:col>
      <xdr:colOff>622300</xdr:colOff>
      <xdr:row>216</xdr:row>
      <xdr:rowOff>101601</xdr:rowOff>
    </xdr:to>
    <xdr:sp macro="" textlink="">
      <xdr:nvSpPr>
        <xdr:cNvPr id="5786" name="AutoShape 3738" descr="alert toggle">
          <a:extLst>
            <a:ext uri="{FF2B5EF4-FFF2-40B4-BE49-F238E27FC236}">
              <a16:creationId xmlns:a16="http://schemas.microsoft.com/office/drawing/2014/main" id="{B65C399C-23E3-9A12-5650-A8549915B911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709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216</xdr:row>
      <xdr:rowOff>0</xdr:rowOff>
    </xdr:from>
    <xdr:to>
      <xdr:col>25</xdr:col>
      <xdr:colOff>304800</xdr:colOff>
      <xdr:row>217</xdr:row>
      <xdr:rowOff>101600</xdr:rowOff>
    </xdr:to>
    <xdr:sp macro="" textlink="">
      <xdr:nvSpPr>
        <xdr:cNvPr id="5789" name="AutoShape 3741" descr="note-add">
          <a:extLst>
            <a:ext uri="{FF2B5EF4-FFF2-40B4-BE49-F238E27FC236}">
              <a16:creationId xmlns:a16="http://schemas.microsoft.com/office/drawing/2014/main" id="{B9603D12-00A4-2141-1BC2-0421C12A576B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711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216</xdr:row>
      <xdr:rowOff>0</xdr:rowOff>
    </xdr:from>
    <xdr:to>
      <xdr:col>25</xdr:col>
      <xdr:colOff>622300</xdr:colOff>
      <xdr:row>217</xdr:row>
      <xdr:rowOff>101600</xdr:rowOff>
    </xdr:to>
    <xdr:sp macro="" textlink="">
      <xdr:nvSpPr>
        <xdr:cNvPr id="5790" name="AutoShape 3742" descr="alert toggle">
          <a:extLst>
            <a:ext uri="{FF2B5EF4-FFF2-40B4-BE49-F238E27FC236}">
              <a16:creationId xmlns:a16="http://schemas.microsoft.com/office/drawing/2014/main" id="{065C82C6-58C5-608E-3B0B-08E56157D1CD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711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125</xdr:row>
      <xdr:rowOff>0</xdr:rowOff>
    </xdr:from>
    <xdr:to>
      <xdr:col>23</xdr:col>
      <xdr:colOff>304800</xdr:colOff>
      <xdr:row>126</xdr:row>
      <xdr:rowOff>76200</xdr:rowOff>
    </xdr:to>
    <xdr:sp macro="" textlink="">
      <xdr:nvSpPr>
        <xdr:cNvPr id="5847" name="AutoShape 3799" descr="note-add">
          <a:extLst>
            <a:ext uri="{FF2B5EF4-FFF2-40B4-BE49-F238E27FC236}">
              <a16:creationId xmlns:a16="http://schemas.microsoft.com/office/drawing/2014/main" id="{A59095CC-73C8-74B0-D5A2-F76CA330EE5C}"/>
            </a:ext>
          </a:extLst>
        </xdr:cNvPr>
        <xdr:cNvSpPr>
          <a:spLocks noChangeAspect="1" noChangeArrowheads="1"/>
        </xdr:cNvSpPr>
      </xdr:nvSpPr>
      <xdr:spPr bwMode="auto">
        <a:xfrm>
          <a:off x="31343600" y="40449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125</xdr:row>
      <xdr:rowOff>0</xdr:rowOff>
    </xdr:from>
    <xdr:to>
      <xdr:col>23</xdr:col>
      <xdr:colOff>622300</xdr:colOff>
      <xdr:row>126</xdr:row>
      <xdr:rowOff>76200</xdr:rowOff>
    </xdr:to>
    <xdr:sp macro="" textlink="">
      <xdr:nvSpPr>
        <xdr:cNvPr id="5848" name="AutoShape 3800" descr="alert toggle">
          <a:extLst>
            <a:ext uri="{FF2B5EF4-FFF2-40B4-BE49-F238E27FC236}">
              <a16:creationId xmlns:a16="http://schemas.microsoft.com/office/drawing/2014/main" id="{674F8BFB-EAC7-8DDC-B7D1-56D1E993B840}"/>
            </a:ext>
          </a:extLst>
        </xdr:cNvPr>
        <xdr:cNvSpPr>
          <a:spLocks noChangeAspect="1" noChangeArrowheads="1"/>
        </xdr:cNvSpPr>
      </xdr:nvSpPr>
      <xdr:spPr bwMode="auto">
        <a:xfrm>
          <a:off x="31661100" y="40449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126</xdr:row>
      <xdr:rowOff>0</xdr:rowOff>
    </xdr:from>
    <xdr:to>
      <xdr:col>26</xdr:col>
      <xdr:colOff>304800</xdr:colOff>
      <xdr:row>127</xdr:row>
      <xdr:rowOff>76200</xdr:rowOff>
    </xdr:to>
    <xdr:sp macro="" textlink="">
      <xdr:nvSpPr>
        <xdr:cNvPr id="5851" name="AutoShape 3803" descr="note-add">
          <a:extLst>
            <a:ext uri="{FF2B5EF4-FFF2-40B4-BE49-F238E27FC236}">
              <a16:creationId xmlns:a16="http://schemas.microsoft.com/office/drawing/2014/main" id="{F59809D1-16BB-63E5-7FE6-89AA6A8C07A2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072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126</xdr:row>
      <xdr:rowOff>0</xdr:rowOff>
    </xdr:from>
    <xdr:to>
      <xdr:col>26</xdr:col>
      <xdr:colOff>622300</xdr:colOff>
      <xdr:row>127</xdr:row>
      <xdr:rowOff>76200</xdr:rowOff>
    </xdr:to>
    <xdr:sp macro="" textlink="">
      <xdr:nvSpPr>
        <xdr:cNvPr id="5852" name="AutoShape 3804" descr="alert toggle">
          <a:extLst>
            <a:ext uri="{FF2B5EF4-FFF2-40B4-BE49-F238E27FC236}">
              <a16:creationId xmlns:a16="http://schemas.microsoft.com/office/drawing/2014/main" id="{7ED1F3D5-E87B-A7AE-A998-253B280F9AA2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072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126</xdr:row>
      <xdr:rowOff>0</xdr:rowOff>
    </xdr:from>
    <xdr:to>
      <xdr:col>26</xdr:col>
      <xdr:colOff>304800</xdr:colOff>
      <xdr:row>127</xdr:row>
      <xdr:rowOff>76200</xdr:rowOff>
    </xdr:to>
    <xdr:sp macro="" textlink="">
      <xdr:nvSpPr>
        <xdr:cNvPr id="5855" name="AutoShape 3807" descr="note-add">
          <a:extLst>
            <a:ext uri="{FF2B5EF4-FFF2-40B4-BE49-F238E27FC236}">
              <a16:creationId xmlns:a16="http://schemas.microsoft.com/office/drawing/2014/main" id="{17D3B010-9642-1D42-5EC5-BD74A16B3BDC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100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126</xdr:row>
      <xdr:rowOff>0</xdr:rowOff>
    </xdr:from>
    <xdr:to>
      <xdr:col>26</xdr:col>
      <xdr:colOff>622300</xdr:colOff>
      <xdr:row>127</xdr:row>
      <xdr:rowOff>76200</xdr:rowOff>
    </xdr:to>
    <xdr:sp macro="" textlink="">
      <xdr:nvSpPr>
        <xdr:cNvPr id="5856" name="AutoShape 3808" descr="alert toggle">
          <a:extLst>
            <a:ext uri="{FF2B5EF4-FFF2-40B4-BE49-F238E27FC236}">
              <a16:creationId xmlns:a16="http://schemas.microsoft.com/office/drawing/2014/main" id="{B5E22380-AC97-9F9F-ABC4-D86AFDD4E67C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100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126</xdr:row>
      <xdr:rowOff>0</xdr:rowOff>
    </xdr:from>
    <xdr:to>
      <xdr:col>26</xdr:col>
      <xdr:colOff>304800</xdr:colOff>
      <xdr:row>127</xdr:row>
      <xdr:rowOff>76200</xdr:rowOff>
    </xdr:to>
    <xdr:sp macro="" textlink="">
      <xdr:nvSpPr>
        <xdr:cNvPr id="5859" name="AutoShape 3811" descr="note-add">
          <a:extLst>
            <a:ext uri="{FF2B5EF4-FFF2-40B4-BE49-F238E27FC236}">
              <a16:creationId xmlns:a16="http://schemas.microsoft.com/office/drawing/2014/main" id="{FC056710-5E4C-3E4F-F9BE-844FC74EF68A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128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126</xdr:row>
      <xdr:rowOff>0</xdr:rowOff>
    </xdr:from>
    <xdr:to>
      <xdr:col>26</xdr:col>
      <xdr:colOff>622300</xdr:colOff>
      <xdr:row>127</xdr:row>
      <xdr:rowOff>76200</xdr:rowOff>
    </xdr:to>
    <xdr:sp macro="" textlink="">
      <xdr:nvSpPr>
        <xdr:cNvPr id="5860" name="AutoShape 3812" descr="alert toggle">
          <a:extLst>
            <a:ext uri="{FF2B5EF4-FFF2-40B4-BE49-F238E27FC236}">
              <a16:creationId xmlns:a16="http://schemas.microsoft.com/office/drawing/2014/main" id="{5B213601-0DEF-B52C-588D-20B24C6C850B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128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127</xdr:row>
      <xdr:rowOff>0</xdr:rowOff>
    </xdr:from>
    <xdr:to>
      <xdr:col>26</xdr:col>
      <xdr:colOff>304800</xdr:colOff>
      <xdr:row>128</xdr:row>
      <xdr:rowOff>76200</xdr:rowOff>
    </xdr:to>
    <xdr:sp macro="" textlink="">
      <xdr:nvSpPr>
        <xdr:cNvPr id="5863" name="AutoShape 3815" descr="note-add">
          <a:extLst>
            <a:ext uri="{FF2B5EF4-FFF2-40B4-BE49-F238E27FC236}">
              <a16:creationId xmlns:a16="http://schemas.microsoft.com/office/drawing/2014/main" id="{EB1C1240-7F2F-783D-3CC7-3F36D3EAD802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156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127</xdr:row>
      <xdr:rowOff>0</xdr:rowOff>
    </xdr:from>
    <xdr:to>
      <xdr:col>26</xdr:col>
      <xdr:colOff>622300</xdr:colOff>
      <xdr:row>128</xdr:row>
      <xdr:rowOff>76200</xdr:rowOff>
    </xdr:to>
    <xdr:sp macro="" textlink="">
      <xdr:nvSpPr>
        <xdr:cNvPr id="5864" name="AutoShape 3816" descr="alert toggle">
          <a:extLst>
            <a:ext uri="{FF2B5EF4-FFF2-40B4-BE49-F238E27FC236}">
              <a16:creationId xmlns:a16="http://schemas.microsoft.com/office/drawing/2014/main" id="{BE4F2DA6-4472-2DEA-EE23-18807A7AAE76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156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128</xdr:row>
      <xdr:rowOff>0</xdr:rowOff>
    </xdr:from>
    <xdr:to>
      <xdr:col>26</xdr:col>
      <xdr:colOff>304800</xdr:colOff>
      <xdr:row>129</xdr:row>
      <xdr:rowOff>76200</xdr:rowOff>
    </xdr:to>
    <xdr:sp macro="" textlink="">
      <xdr:nvSpPr>
        <xdr:cNvPr id="5867" name="AutoShape 3819" descr="note-add">
          <a:extLst>
            <a:ext uri="{FF2B5EF4-FFF2-40B4-BE49-F238E27FC236}">
              <a16:creationId xmlns:a16="http://schemas.microsoft.com/office/drawing/2014/main" id="{F0137A8E-F131-2143-342D-412A5BC37471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184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128</xdr:row>
      <xdr:rowOff>0</xdr:rowOff>
    </xdr:from>
    <xdr:to>
      <xdr:col>26</xdr:col>
      <xdr:colOff>622300</xdr:colOff>
      <xdr:row>129</xdr:row>
      <xdr:rowOff>76200</xdr:rowOff>
    </xdr:to>
    <xdr:sp macro="" textlink="">
      <xdr:nvSpPr>
        <xdr:cNvPr id="5868" name="AutoShape 3820" descr="alert toggle">
          <a:extLst>
            <a:ext uri="{FF2B5EF4-FFF2-40B4-BE49-F238E27FC236}">
              <a16:creationId xmlns:a16="http://schemas.microsoft.com/office/drawing/2014/main" id="{FA71057E-1509-5291-79B2-344188D15EEA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184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129</xdr:row>
      <xdr:rowOff>0</xdr:rowOff>
    </xdr:from>
    <xdr:to>
      <xdr:col>26</xdr:col>
      <xdr:colOff>304800</xdr:colOff>
      <xdr:row>130</xdr:row>
      <xdr:rowOff>76200</xdr:rowOff>
    </xdr:to>
    <xdr:sp macro="" textlink="">
      <xdr:nvSpPr>
        <xdr:cNvPr id="5871" name="AutoShape 3823" descr="note-add">
          <a:extLst>
            <a:ext uri="{FF2B5EF4-FFF2-40B4-BE49-F238E27FC236}">
              <a16:creationId xmlns:a16="http://schemas.microsoft.com/office/drawing/2014/main" id="{AE19D3CE-5DBA-E818-A7AB-42B9F76C7C12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212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129</xdr:row>
      <xdr:rowOff>0</xdr:rowOff>
    </xdr:from>
    <xdr:to>
      <xdr:col>26</xdr:col>
      <xdr:colOff>622300</xdr:colOff>
      <xdr:row>130</xdr:row>
      <xdr:rowOff>76200</xdr:rowOff>
    </xdr:to>
    <xdr:sp macro="" textlink="">
      <xdr:nvSpPr>
        <xdr:cNvPr id="5872" name="AutoShape 3824" descr="alert toggle">
          <a:extLst>
            <a:ext uri="{FF2B5EF4-FFF2-40B4-BE49-F238E27FC236}">
              <a16:creationId xmlns:a16="http://schemas.microsoft.com/office/drawing/2014/main" id="{D5E2FAC2-3A89-AD21-C36E-56E1E1E5F831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212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130</xdr:row>
      <xdr:rowOff>0</xdr:rowOff>
    </xdr:from>
    <xdr:to>
      <xdr:col>26</xdr:col>
      <xdr:colOff>304800</xdr:colOff>
      <xdr:row>131</xdr:row>
      <xdr:rowOff>76200</xdr:rowOff>
    </xdr:to>
    <xdr:sp macro="" textlink="">
      <xdr:nvSpPr>
        <xdr:cNvPr id="5875" name="AutoShape 3827" descr="note-add">
          <a:extLst>
            <a:ext uri="{FF2B5EF4-FFF2-40B4-BE49-F238E27FC236}">
              <a16:creationId xmlns:a16="http://schemas.microsoft.com/office/drawing/2014/main" id="{68AAF15B-5771-5F19-4EC8-5381253772C1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240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130</xdr:row>
      <xdr:rowOff>0</xdr:rowOff>
    </xdr:from>
    <xdr:to>
      <xdr:col>26</xdr:col>
      <xdr:colOff>622300</xdr:colOff>
      <xdr:row>131</xdr:row>
      <xdr:rowOff>76200</xdr:rowOff>
    </xdr:to>
    <xdr:sp macro="" textlink="">
      <xdr:nvSpPr>
        <xdr:cNvPr id="5876" name="AutoShape 3828" descr="alert toggle">
          <a:extLst>
            <a:ext uri="{FF2B5EF4-FFF2-40B4-BE49-F238E27FC236}">
              <a16:creationId xmlns:a16="http://schemas.microsoft.com/office/drawing/2014/main" id="{DF64F70F-9A78-9652-2323-C2CCE010C3FB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240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131</xdr:row>
      <xdr:rowOff>0</xdr:rowOff>
    </xdr:from>
    <xdr:to>
      <xdr:col>26</xdr:col>
      <xdr:colOff>304800</xdr:colOff>
      <xdr:row>132</xdr:row>
      <xdr:rowOff>76200</xdr:rowOff>
    </xdr:to>
    <xdr:sp macro="" textlink="">
      <xdr:nvSpPr>
        <xdr:cNvPr id="5879" name="AutoShape 3831" descr="note-add">
          <a:extLst>
            <a:ext uri="{FF2B5EF4-FFF2-40B4-BE49-F238E27FC236}">
              <a16:creationId xmlns:a16="http://schemas.microsoft.com/office/drawing/2014/main" id="{356707F3-8078-3516-E81B-430FE20AB650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268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131</xdr:row>
      <xdr:rowOff>0</xdr:rowOff>
    </xdr:from>
    <xdr:to>
      <xdr:col>26</xdr:col>
      <xdr:colOff>622300</xdr:colOff>
      <xdr:row>132</xdr:row>
      <xdr:rowOff>76200</xdr:rowOff>
    </xdr:to>
    <xdr:sp macro="" textlink="">
      <xdr:nvSpPr>
        <xdr:cNvPr id="5880" name="AutoShape 3832" descr="alert toggle">
          <a:extLst>
            <a:ext uri="{FF2B5EF4-FFF2-40B4-BE49-F238E27FC236}">
              <a16:creationId xmlns:a16="http://schemas.microsoft.com/office/drawing/2014/main" id="{64C78886-4D4E-B66F-FDA7-B645C410F66D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2684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132</xdr:row>
      <xdr:rowOff>0</xdr:rowOff>
    </xdr:from>
    <xdr:to>
      <xdr:col>26</xdr:col>
      <xdr:colOff>304800</xdr:colOff>
      <xdr:row>133</xdr:row>
      <xdr:rowOff>76200</xdr:rowOff>
    </xdr:to>
    <xdr:sp macro="" textlink="">
      <xdr:nvSpPr>
        <xdr:cNvPr id="5883" name="AutoShape 3835" descr="note-add">
          <a:extLst>
            <a:ext uri="{FF2B5EF4-FFF2-40B4-BE49-F238E27FC236}">
              <a16:creationId xmlns:a16="http://schemas.microsoft.com/office/drawing/2014/main" id="{4988F0D5-0ABF-638D-8DD9-D23A47C7C12D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296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132</xdr:row>
      <xdr:rowOff>0</xdr:rowOff>
    </xdr:from>
    <xdr:to>
      <xdr:col>26</xdr:col>
      <xdr:colOff>622300</xdr:colOff>
      <xdr:row>133</xdr:row>
      <xdr:rowOff>76200</xdr:rowOff>
    </xdr:to>
    <xdr:sp macro="" textlink="">
      <xdr:nvSpPr>
        <xdr:cNvPr id="5884" name="AutoShape 3836" descr="alert toggle">
          <a:extLst>
            <a:ext uri="{FF2B5EF4-FFF2-40B4-BE49-F238E27FC236}">
              <a16:creationId xmlns:a16="http://schemas.microsoft.com/office/drawing/2014/main" id="{B7F54E99-4AC9-5D01-CBDE-7FE4C1AF7838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296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132</xdr:row>
      <xdr:rowOff>0</xdr:rowOff>
    </xdr:from>
    <xdr:to>
      <xdr:col>26</xdr:col>
      <xdr:colOff>304800</xdr:colOff>
      <xdr:row>133</xdr:row>
      <xdr:rowOff>76199</xdr:rowOff>
    </xdr:to>
    <xdr:sp macro="" textlink="">
      <xdr:nvSpPr>
        <xdr:cNvPr id="5887" name="AutoShape 3839" descr="note-add">
          <a:extLst>
            <a:ext uri="{FF2B5EF4-FFF2-40B4-BE49-F238E27FC236}">
              <a16:creationId xmlns:a16="http://schemas.microsoft.com/office/drawing/2014/main" id="{BB67E562-0640-2930-E22F-6D49F9F2FF76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324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132</xdr:row>
      <xdr:rowOff>0</xdr:rowOff>
    </xdr:from>
    <xdr:to>
      <xdr:col>26</xdr:col>
      <xdr:colOff>622300</xdr:colOff>
      <xdr:row>133</xdr:row>
      <xdr:rowOff>76199</xdr:rowOff>
    </xdr:to>
    <xdr:sp macro="" textlink="">
      <xdr:nvSpPr>
        <xdr:cNvPr id="5888" name="AutoShape 3840" descr="alert toggle">
          <a:extLst>
            <a:ext uri="{FF2B5EF4-FFF2-40B4-BE49-F238E27FC236}">
              <a16:creationId xmlns:a16="http://schemas.microsoft.com/office/drawing/2014/main" id="{6339ED4D-2240-C626-A762-806966FA995B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324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133</xdr:row>
      <xdr:rowOff>0</xdr:rowOff>
    </xdr:from>
    <xdr:to>
      <xdr:col>26</xdr:col>
      <xdr:colOff>304800</xdr:colOff>
      <xdr:row>134</xdr:row>
      <xdr:rowOff>76199</xdr:rowOff>
    </xdr:to>
    <xdr:sp macro="" textlink="">
      <xdr:nvSpPr>
        <xdr:cNvPr id="5891" name="AutoShape 3843" descr="note-add">
          <a:extLst>
            <a:ext uri="{FF2B5EF4-FFF2-40B4-BE49-F238E27FC236}">
              <a16:creationId xmlns:a16="http://schemas.microsoft.com/office/drawing/2014/main" id="{2B7565ED-D498-8F7A-714B-1AEFE2B18C6F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3522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133</xdr:row>
      <xdr:rowOff>0</xdr:rowOff>
    </xdr:from>
    <xdr:to>
      <xdr:col>26</xdr:col>
      <xdr:colOff>622300</xdr:colOff>
      <xdr:row>134</xdr:row>
      <xdr:rowOff>76199</xdr:rowOff>
    </xdr:to>
    <xdr:sp macro="" textlink="">
      <xdr:nvSpPr>
        <xdr:cNvPr id="5892" name="AutoShape 3844" descr="alert toggle">
          <a:extLst>
            <a:ext uri="{FF2B5EF4-FFF2-40B4-BE49-F238E27FC236}">
              <a16:creationId xmlns:a16="http://schemas.microsoft.com/office/drawing/2014/main" id="{1CEC6D55-B390-071A-8203-2B3F21A4E374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3522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134</xdr:row>
      <xdr:rowOff>0</xdr:rowOff>
    </xdr:from>
    <xdr:to>
      <xdr:col>26</xdr:col>
      <xdr:colOff>304800</xdr:colOff>
      <xdr:row>135</xdr:row>
      <xdr:rowOff>76199</xdr:rowOff>
    </xdr:to>
    <xdr:sp macro="" textlink="">
      <xdr:nvSpPr>
        <xdr:cNvPr id="5895" name="AutoShape 3847" descr="note-add">
          <a:extLst>
            <a:ext uri="{FF2B5EF4-FFF2-40B4-BE49-F238E27FC236}">
              <a16:creationId xmlns:a16="http://schemas.microsoft.com/office/drawing/2014/main" id="{EF32B968-C335-41CE-D88E-3DA37B617B47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3802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134</xdr:row>
      <xdr:rowOff>0</xdr:rowOff>
    </xdr:from>
    <xdr:to>
      <xdr:col>26</xdr:col>
      <xdr:colOff>622300</xdr:colOff>
      <xdr:row>135</xdr:row>
      <xdr:rowOff>76199</xdr:rowOff>
    </xdr:to>
    <xdr:sp macro="" textlink="">
      <xdr:nvSpPr>
        <xdr:cNvPr id="5896" name="AutoShape 3848" descr="alert toggle">
          <a:extLst>
            <a:ext uri="{FF2B5EF4-FFF2-40B4-BE49-F238E27FC236}">
              <a16:creationId xmlns:a16="http://schemas.microsoft.com/office/drawing/2014/main" id="{7A0D4E08-BA19-F998-6474-0F55DAACFC79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43802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135</xdr:row>
      <xdr:rowOff>0</xdr:rowOff>
    </xdr:from>
    <xdr:to>
      <xdr:col>26</xdr:col>
      <xdr:colOff>304800</xdr:colOff>
      <xdr:row>136</xdr:row>
      <xdr:rowOff>101600</xdr:rowOff>
    </xdr:to>
    <xdr:sp macro="" textlink="">
      <xdr:nvSpPr>
        <xdr:cNvPr id="5899" name="AutoShape 3851" descr="note-add">
          <a:extLst>
            <a:ext uri="{FF2B5EF4-FFF2-40B4-BE49-F238E27FC236}">
              <a16:creationId xmlns:a16="http://schemas.microsoft.com/office/drawing/2014/main" id="{15C236B9-2721-FB1D-E74D-0697AA5190EC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440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375</xdr:row>
      <xdr:rowOff>0</xdr:rowOff>
    </xdr:from>
    <xdr:ext cx="304800" cy="279400"/>
    <xdr:sp macro="" textlink="">
      <xdr:nvSpPr>
        <xdr:cNvPr id="5900" name="AutoShape 3852" descr="note-add">
          <a:extLst>
            <a:ext uri="{FF2B5EF4-FFF2-40B4-BE49-F238E27FC236}">
              <a16:creationId xmlns:a16="http://schemas.microsoft.com/office/drawing/2014/main" id="{071F71C7-92B9-D4F4-FECE-936084847307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167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375</xdr:row>
      <xdr:rowOff>0</xdr:rowOff>
    </xdr:from>
    <xdr:ext cx="304800" cy="279400"/>
    <xdr:sp macro="" textlink="">
      <xdr:nvSpPr>
        <xdr:cNvPr id="5901" name="AutoShape 3853" descr="alert toggle">
          <a:extLst>
            <a:ext uri="{FF2B5EF4-FFF2-40B4-BE49-F238E27FC236}">
              <a16:creationId xmlns:a16="http://schemas.microsoft.com/office/drawing/2014/main" id="{22D707AB-7856-DC00-54CF-155A6B5E5AC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167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376</xdr:row>
      <xdr:rowOff>0</xdr:rowOff>
    </xdr:from>
    <xdr:ext cx="304800" cy="279400"/>
    <xdr:sp macro="" textlink="">
      <xdr:nvSpPr>
        <xdr:cNvPr id="5904" name="AutoShape 3856" descr="note-add">
          <a:extLst>
            <a:ext uri="{FF2B5EF4-FFF2-40B4-BE49-F238E27FC236}">
              <a16:creationId xmlns:a16="http://schemas.microsoft.com/office/drawing/2014/main" id="{CD5122A7-C17C-673E-3489-884C960F1C4E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195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376</xdr:row>
      <xdr:rowOff>0</xdr:rowOff>
    </xdr:from>
    <xdr:ext cx="304800" cy="279400"/>
    <xdr:sp macro="" textlink="">
      <xdr:nvSpPr>
        <xdr:cNvPr id="5905" name="AutoShape 3857" descr="alert toggle">
          <a:extLst>
            <a:ext uri="{FF2B5EF4-FFF2-40B4-BE49-F238E27FC236}">
              <a16:creationId xmlns:a16="http://schemas.microsoft.com/office/drawing/2014/main" id="{6C59685C-D677-1FA1-CABA-B14F96058B1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195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378</xdr:row>
      <xdr:rowOff>0</xdr:rowOff>
    </xdr:from>
    <xdr:ext cx="304800" cy="279400"/>
    <xdr:sp macro="" textlink="">
      <xdr:nvSpPr>
        <xdr:cNvPr id="5908" name="AutoShape 3860" descr="note-add">
          <a:extLst>
            <a:ext uri="{FF2B5EF4-FFF2-40B4-BE49-F238E27FC236}">
              <a16:creationId xmlns:a16="http://schemas.microsoft.com/office/drawing/2014/main" id="{083D68F8-A6EE-47A0-ED25-9B264CDBFD9B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278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378</xdr:row>
      <xdr:rowOff>0</xdr:rowOff>
    </xdr:from>
    <xdr:ext cx="304800" cy="279400"/>
    <xdr:sp macro="" textlink="">
      <xdr:nvSpPr>
        <xdr:cNvPr id="5909" name="AutoShape 3861" descr="alert toggle">
          <a:extLst>
            <a:ext uri="{FF2B5EF4-FFF2-40B4-BE49-F238E27FC236}">
              <a16:creationId xmlns:a16="http://schemas.microsoft.com/office/drawing/2014/main" id="{C550893D-7911-ABCF-0E06-E3D1EBD541D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2788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379</xdr:row>
      <xdr:rowOff>0</xdr:rowOff>
    </xdr:from>
    <xdr:ext cx="304800" cy="279400"/>
    <xdr:sp macro="" textlink="">
      <xdr:nvSpPr>
        <xdr:cNvPr id="5912" name="AutoShape 3864" descr="note-add">
          <a:extLst>
            <a:ext uri="{FF2B5EF4-FFF2-40B4-BE49-F238E27FC236}">
              <a16:creationId xmlns:a16="http://schemas.microsoft.com/office/drawing/2014/main" id="{3AC2B80A-51DE-3864-4877-FD47CAE23843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306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379</xdr:row>
      <xdr:rowOff>0</xdr:rowOff>
    </xdr:from>
    <xdr:ext cx="304800" cy="279400"/>
    <xdr:sp macro="" textlink="">
      <xdr:nvSpPr>
        <xdr:cNvPr id="5913" name="AutoShape 3865" descr="alert toggle">
          <a:extLst>
            <a:ext uri="{FF2B5EF4-FFF2-40B4-BE49-F238E27FC236}">
              <a16:creationId xmlns:a16="http://schemas.microsoft.com/office/drawing/2014/main" id="{F5E061C6-1139-ECAE-0145-E37B6EE0722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3068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380</xdr:row>
      <xdr:rowOff>0</xdr:rowOff>
    </xdr:from>
    <xdr:ext cx="304800" cy="279400"/>
    <xdr:sp macro="" textlink="">
      <xdr:nvSpPr>
        <xdr:cNvPr id="5916" name="AutoShape 3868" descr="note-add">
          <a:extLst>
            <a:ext uri="{FF2B5EF4-FFF2-40B4-BE49-F238E27FC236}">
              <a16:creationId xmlns:a16="http://schemas.microsoft.com/office/drawing/2014/main" id="{65D8288B-874C-DDEA-DFC2-B0CAFB5E1D12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334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380</xdr:row>
      <xdr:rowOff>0</xdr:rowOff>
    </xdr:from>
    <xdr:ext cx="304800" cy="279400"/>
    <xdr:sp macro="" textlink="">
      <xdr:nvSpPr>
        <xdr:cNvPr id="5917" name="AutoShape 3869" descr="alert toggle">
          <a:extLst>
            <a:ext uri="{FF2B5EF4-FFF2-40B4-BE49-F238E27FC236}">
              <a16:creationId xmlns:a16="http://schemas.microsoft.com/office/drawing/2014/main" id="{DE8F0E7E-76D7-4341-2C5B-FE57CE270A9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3347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381</xdr:row>
      <xdr:rowOff>0</xdr:rowOff>
    </xdr:from>
    <xdr:ext cx="304800" cy="279400"/>
    <xdr:sp macro="" textlink="">
      <xdr:nvSpPr>
        <xdr:cNvPr id="5920" name="AutoShape 3872" descr="note-add">
          <a:extLst>
            <a:ext uri="{FF2B5EF4-FFF2-40B4-BE49-F238E27FC236}">
              <a16:creationId xmlns:a16="http://schemas.microsoft.com/office/drawing/2014/main" id="{44703ADB-C952-E93C-6D1B-8DA973C9596B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362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381</xdr:row>
      <xdr:rowOff>0</xdr:rowOff>
    </xdr:from>
    <xdr:ext cx="304800" cy="279400"/>
    <xdr:sp macro="" textlink="">
      <xdr:nvSpPr>
        <xdr:cNvPr id="5921" name="AutoShape 3873" descr="alert toggle">
          <a:extLst>
            <a:ext uri="{FF2B5EF4-FFF2-40B4-BE49-F238E27FC236}">
              <a16:creationId xmlns:a16="http://schemas.microsoft.com/office/drawing/2014/main" id="{5C1A23EB-6060-99AB-7454-98D6B0C80D3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3627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382</xdr:row>
      <xdr:rowOff>0</xdr:rowOff>
    </xdr:from>
    <xdr:ext cx="304800" cy="279400"/>
    <xdr:sp macro="" textlink="">
      <xdr:nvSpPr>
        <xdr:cNvPr id="5924" name="AutoShape 3876" descr="note-add">
          <a:extLst>
            <a:ext uri="{FF2B5EF4-FFF2-40B4-BE49-F238E27FC236}">
              <a16:creationId xmlns:a16="http://schemas.microsoft.com/office/drawing/2014/main" id="{E978F2FD-2A67-BBC3-4D45-F32E01BCEE74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390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382</xdr:row>
      <xdr:rowOff>0</xdr:rowOff>
    </xdr:from>
    <xdr:ext cx="304800" cy="279400"/>
    <xdr:sp macro="" textlink="">
      <xdr:nvSpPr>
        <xdr:cNvPr id="5925" name="AutoShape 3877" descr="alert toggle">
          <a:extLst>
            <a:ext uri="{FF2B5EF4-FFF2-40B4-BE49-F238E27FC236}">
              <a16:creationId xmlns:a16="http://schemas.microsoft.com/office/drawing/2014/main" id="{3CE8A498-403E-F12C-45AA-85AFCD59ADB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390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383</xdr:row>
      <xdr:rowOff>0</xdr:rowOff>
    </xdr:from>
    <xdr:ext cx="304800" cy="279400"/>
    <xdr:sp macro="" textlink="">
      <xdr:nvSpPr>
        <xdr:cNvPr id="5928" name="AutoShape 3880" descr="note-add">
          <a:extLst>
            <a:ext uri="{FF2B5EF4-FFF2-40B4-BE49-F238E27FC236}">
              <a16:creationId xmlns:a16="http://schemas.microsoft.com/office/drawing/2014/main" id="{A035F322-A372-0FE4-6F70-2B999B8D1850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418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383</xdr:row>
      <xdr:rowOff>0</xdr:rowOff>
    </xdr:from>
    <xdr:ext cx="304800" cy="279400"/>
    <xdr:sp macro="" textlink="">
      <xdr:nvSpPr>
        <xdr:cNvPr id="5929" name="AutoShape 3881" descr="alert toggle">
          <a:extLst>
            <a:ext uri="{FF2B5EF4-FFF2-40B4-BE49-F238E27FC236}">
              <a16:creationId xmlns:a16="http://schemas.microsoft.com/office/drawing/2014/main" id="{B27EB0FF-C601-0817-2ADF-A24753BE845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4185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384</xdr:row>
      <xdr:rowOff>0</xdr:rowOff>
    </xdr:from>
    <xdr:ext cx="304800" cy="279400"/>
    <xdr:sp macro="" textlink="">
      <xdr:nvSpPr>
        <xdr:cNvPr id="5932" name="AutoShape 3884" descr="note-add">
          <a:extLst>
            <a:ext uri="{FF2B5EF4-FFF2-40B4-BE49-F238E27FC236}">
              <a16:creationId xmlns:a16="http://schemas.microsoft.com/office/drawing/2014/main" id="{4BD1BBF3-8997-F0F5-4BFC-6BD1522CF74C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446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384</xdr:row>
      <xdr:rowOff>0</xdr:rowOff>
    </xdr:from>
    <xdr:ext cx="304800" cy="279400"/>
    <xdr:sp macro="" textlink="">
      <xdr:nvSpPr>
        <xdr:cNvPr id="5933" name="AutoShape 3885" descr="alert toggle">
          <a:extLst>
            <a:ext uri="{FF2B5EF4-FFF2-40B4-BE49-F238E27FC236}">
              <a16:creationId xmlns:a16="http://schemas.microsoft.com/office/drawing/2014/main" id="{91A5E22C-56DB-7398-ABA4-B17CBF2A4B1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4465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386</xdr:row>
      <xdr:rowOff>0</xdr:rowOff>
    </xdr:from>
    <xdr:ext cx="304800" cy="279400"/>
    <xdr:sp macro="" textlink="">
      <xdr:nvSpPr>
        <xdr:cNvPr id="5936" name="AutoShape 3888" descr="note-add">
          <a:extLst>
            <a:ext uri="{FF2B5EF4-FFF2-40B4-BE49-F238E27FC236}">
              <a16:creationId xmlns:a16="http://schemas.microsoft.com/office/drawing/2014/main" id="{6FB0F574-45E1-172D-3278-FC2CF3A2C5EE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502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386</xdr:row>
      <xdr:rowOff>0</xdr:rowOff>
    </xdr:from>
    <xdr:ext cx="304800" cy="279400"/>
    <xdr:sp macro="" textlink="">
      <xdr:nvSpPr>
        <xdr:cNvPr id="5937" name="AutoShape 3889" descr="alert toggle">
          <a:extLst>
            <a:ext uri="{FF2B5EF4-FFF2-40B4-BE49-F238E27FC236}">
              <a16:creationId xmlns:a16="http://schemas.microsoft.com/office/drawing/2014/main" id="{8A594178-17E2-DD0B-9E09-1D887B1E233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5024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387</xdr:row>
      <xdr:rowOff>0</xdr:rowOff>
    </xdr:from>
    <xdr:ext cx="304800" cy="279400"/>
    <xdr:sp macro="" textlink="">
      <xdr:nvSpPr>
        <xdr:cNvPr id="5940" name="AutoShape 3892" descr="note-add">
          <a:extLst>
            <a:ext uri="{FF2B5EF4-FFF2-40B4-BE49-F238E27FC236}">
              <a16:creationId xmlns:a16="http://schemas.microsoft.com/office/drawing/2014/main" id="{B18A3F8E-2760-0C54-3420-5CCF7FBB9E80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530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387</xdr:row>
      <xdr:rowOff>0</xdr:rowOff>
    </xdr:from>
    <xdr:ext cx="304800" cy="279400"/>
    <xdr:sp macro="" textlink="">
      <xdr:nvSpPr>
        <xdr:cNvPr id="5941" name="AutoShape 3893" descr="alert toggle">
          <a:extLst>
            <a:ext uri="{FF2B5EF4-FFF2-40B4-BE49-F238E27FC236}">
              <a16:creationId xmlns:a16="http://schemas.microsoft.com/office/drawing/2014/main" id="{0D5673EE-602E-B0B7-428F-A393890E390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5303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389</xdr:row>
      <xdr:rowOff>0</xdr:rowOff>
    </xdr:from>
    <xdr:ext cx="304800" cy="279400"/>
    <xdr:sp macro="" textlink="">
      <xdr:nvSpPr>
        <xdr:cNvPr id="5944" name="AutoShape 3896" descr="note-add">
          <a:extLst>
            <a:ext uri="{FF2B5EF4-FFF2-40B4-BE49-F238E27FC236}">
              <a16:creationId xmlns:a16="http://schemas.microsoft.com/office/drawing/2014/main" id="{3F9F35C6-A7B3-0FFE-385A-523AA5F907EF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5862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389</xdr:row>
      <xdr:rowOff>0</xdr:rowOff>
    </xdr:from>
    <xdr:ext cx="304800" cy="279400"/>
    <xdr:sp macro="" textlink="">
      <xdr:nvSpPr>
        <xdr:cNvPr id="5945" name="AutoShape 3897" descr="alert toggle">
          <a:extLst>
            <a:ext uri="{FF2B5EF4-FFF2-40B4-BE49-F238E27FC236}">
              <a16:creationId xmlns:a16="http://schemas.microsoft.com/office/drawing/2014/main" id="{681B43CA-30A8-FBEA-CB9E-FFE84F7D5D3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5862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390</xdr:row>
      <xdr:rowOff>0</xdr:rowOff>
    </xdr:from>
    <xdr:ext cx="304800" cy="279400"/>
    <xdr:sp macro="" textlink="">
      <xdr:nvSpPr>
        <xdr:cNvPr id="5948" name="AutoShape 3900" descr="note-add">
          <a:extLst>
            <a:ext uri="{FF2B5EF4-FFF2-40B4-BE49-F238E27FC236}">
              <a16:creationId xmlns:a16="http://schemas.microsoft.com/office/drawing/2014/main" id="{8B3D46A5-BD62-EFF0-70D4-48B5162EB700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141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391</xdr:row>
      <xdr:rowOff>0</xdr:rowOff>
    </xdr:from>
    <xdr:ext cx="304800" cy="279400"/>
    <xdr:sp macro="" textlink="">
      <xdr:nvSpPr>
        <xdr:cNvPr id="5952" name="AutoShape 3904" descr="note-add">
          <a:extLst>
            <a:ext uri="{FF2B5EF4-FFF2-40B4-BE49-F238E27FC236}">
              <a16:creationId xmlns:a16="http://schemas.microsoft.com/office/drawing/2014/main" id="{772E8A70-46C1-1B84-C084-D7366E72FF6D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421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304801"/>
    <xdr:sp macro="" textlink="">
      <xdr:nvSpPr>
        <xdr:cNvPr id="7545" name="AutoShape 4473" descr="note-add">
          <a:extLst>
            <a:ext uri="{FF2B5EF4-FFF2-40B4-BE49-F238E27FC236}">
              <a16:creationId xmlns:a16="http://schemas.microsoft.com/office/drawing/2014/main" id="{573E3BAC-BE44-C8BC-4123-F0A33C18C344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72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</xdr:row>
      <xdr:rowOff>0</xdr:rowOff>
    </xdr:from>
    <xdr:ext cx="304800" cy="304801"/>
    <xdr:sp macro="" textlink="">
      <xdr:nvSpPr>
        <xdr:cNvPr id="7546" name="AutoShape 4474" descr="alert toggle">
          <a:extLst>
            <a:ext uri="{FF2B5EF4-FFF2-40B4-BE49-F238E27FC236}">
              <a16:creationId xmlns:a16="http://schemas.microsoft.com/office/drawing/2014/main" id="{136A7844-ED56-E5F1-23F3-98B38D92FB24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72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799"/>
    <xdr:sp macro="" textlink="">
      <xdr:nvSpPr>
        <xdr:cNvPr id="7549" name="AutoShape 4477" descr="note-add">
          <a:extLst>
            <a:ext uri="{FF2B5EF4-FFF2-40B4-BE49-F238E27FC236}">
              <a16:creationId xmlns:a16="http://schemas.microsoft.com/office/drawing/2014/main" id="{52E5B595-81D4-6133-859B-0558BA728152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75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11</xdr:row>
      <xdr:rowOff>0</xdr:rowOff>
    </xdr:from>
    <xdr:ext cx="304800" cy="304799"/>
    <xdr:sp macro="" textlink="">
      <xdr:nvSpPr>
        <xdr:cNvPr id="7550" name="AutoShape 4478" descr="alert toggle">
          <a:extLst>
            <a:ext uri="{FF2B5EF4-FFF2-40B4-BE49-F238E27FC236}">
              <a16:creationId xmlns:a16="http://schemas.microsoft.com/office/drawing/2014/main" id="{96C39A59-525E-B2C4-1831-ADBF4C144D1D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75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</xdr:row>
      <xdr:rowOff>0</xdr:rowOff>
    </xdr:from>
    <xdr:ext cx="304800" cy="304799"/>
    <xdr:sp macro="" textlink="">
      <xdr:nvSpPr>
        <xdr:cNvPr id="7553" name="AutoShape 4481" descr="note-add">
          <a:extLst>
            <a:ext uri="{FF2B5EF4-FFF2-40B4-BE49-F238E27FC236}">
              <a16:creationId xmlns:a16="http://schemas.microsoft.com/office/drawing/2014/main" id="{6CA88468-AE08-3B80-DB0A-F7824A1B7DE9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7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12</xdr:row>
      <xdr:rowOff>0</xdr:rowOff>
    </xdr:from>
    <xdr:ext cx="304800" cy="304799"/>
    <xdr:sp macro="" textlink="">
      <xdr:nvSpPr>
        <xdr:cNvPr id="7554" name="AutoShape 4482" descr="alert toggle">
          <a:extLst>
            <a:ext uri="{FF2B5EF4-FFF2-40B4-BE49-F238E27FC236}">
              <a16:creationId xmlns:a16="http://schemas.microsoft.com/office/drawing/2014/main" id="{C8D1E5C0-F02D-D488-2FE5-EE91E292B295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7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1"/>
    <xdr:sp macro="" textlink="">
      <xdr:nvSpPr>
        <xdr:cNvPr id="7557" name="AutoShape 4485" descr="note-add">
          <a:extLst>
            <a:ext uri="{FF2B5EF4-FFF2-40B4-BE49-F238E27FC236}">
              <a16:creationId xmlns:a16="http://schemas.microsoft.com/office/drawing/2014/main" id="{563FA1BD-CC47-2C3E-F001-98C5127CBED8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81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</xdr:row>
      <xdr:rowOff>0</xdr:rowOff>
    </xdr:from>
    <xdr:ext cx="304800" cy="304801"/>
    <xdr:sp macro="" textlink="">
      <xdr:nvSpPr>
        <xdr:cNvPr id="7558" name="AutoShape 4486" descr="alert toggle">
          <a:extLst>
            <a:ext uri="{FF2B5EF4-FFF2-40B4-BE49-F238E27FC236}">
              <a16:creationId xmlns:a16="http://schemas.microsoft.com/office/drawing/2014/main" id="{2E58DE0A-3978-37B2-00A7-AF3649673E33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81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561" name="AutoShape 4489" descr="note-add">
          <a:extLst>
            <a:ext uri="{FF2B5EF4-FFF2-40B4-BE49-F238E27FC236}">
              <a16:creationId xmlns:a16="http://schemas.microsoft.com/office/drawing/2014/main" id="{B28B067D-6620-58D8-1B88-2F898E4ED1DE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84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</xdr:row>
      <xdr:rowOff>0</xdr:rowOff>
    </xdr:from>
    <xdr:ext cx="304800" cy="304800"/>
    <xdr:sp macro="" textlink="">
      <xdr:nvSpPr>
        <xdr:cNvPr id="7562" name="AutoShape 4490" descr="alert toggle">
          <a:extLst>
            <a:ext uri="{FF2B5EF4-FFF2-40B4-BE49-F238E27FC236}">
              <a16:creationId xmlns:a16="http://schemas.microsoft.com/office/drawing/2014/main" id="{8FE54FDF-E6EF-7A7B-0F81-4DFEA4FB56F9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84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7565" name="AutoShape 4493" descr="note-add">
          <a:extLst>
            <a:ext uri="{FF2B5EF4-FFF2-40B4-BE49-F238E27FC236}">
              <a16:creationId xmlns:a16="http://schemas.microsoft.com/office/drawing/2014/main" id="{D99FC0CA-97DF-7148-280B-C535E20E5F28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86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</xdr:row>
      <xdr:rowOff>0</xdr:rowOff>
    </xdr:from>
    <xdr:ext cx="304800" cy="304799"/>
    <xdr:sp macro="" textlink="">
      <xdr:nvSpPr>
        <xdr:cNvPr id="7569" name="AutoShape 4497" descr="note-add">
          <a:extLst>
            <a:ext uri="{FF2B5EF4-FFF2-40B4-BE49-F238E27FC236}">
              <a16:creationId xmlns:a16="http://schemas.microsoft.com/office/drawing/2014/main" id="{13126817-140F-3098-BC32-15A625D0EEC9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89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12</xdr:row>
      <xdr:rowOff>0</xdr:rowOff>
    </xdr:from>
    <xdr:ext cx="304800" cy="304799"/>
    <xdr:sp macro="" textlink="">
      <xdr:nvSpPr>
        <xdr:cNvPr id="7570" name="AutoShape 4498" descr="alert toggle">
          <a:extLst>
            <a:ext uri="{FF2B5EF4-FFF2-40B4-BE49-F238E27FC236}">
              <a16:creationId xmlns:a16="http://schemas.microsoft.com/office/drawing/2014/main" id="{82B0877F-A71F-AE34-8F75-157F37BBECE4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89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7573" name="AutoShape 4501" descr="note-add">
          <a:extLst>
            <a:ext uri="{FF2B5EF4-FFF2-40B4-BE49-F238E27FC236}">
              <a16:creationId xmlns:a16="http://schemas.microsoft.com/office/drawing/2014/main" id="{DF16C3E6-55A3-6A85-8262-3EFE8CFE23AD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92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9</xdr:row>
      <xdr:rowOff>0</xdr:rowOff>
    </xdr:from>
    <xdr:ext cx="304800" cy="304800"/>
    <xdr:sp macro="" textlink="">
      <xdr:nvSpPr>
        <xdr:cNvPr id="7574" name="AutoShape 4502" descr="alert toggle">
          <a:extLst>
            <a:ext uri="{FF2B5EF4-FFF2-40B4-BE49-F238E27FC236}">
              <a16:creationId xmlns:a16="http://schemas.microsoft.com/office/drawing/2014/main" id="{42B5A849-2485-73FC-EE9C-08AE47B5ECCC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92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0</xdr:colOff>
      <xdr:row>353</xdr:row>
      <xdr:rowOff>0</xdr:rowOff>
    </xdr:from>
    <xdr:to>
      <xdr:col>22</xdr:col>
      <xdr:colOff>304800</xdr:colOff>
      <xdr:row>354</xdr:row>
      <xdr:rowOff>101601</xdr:rowOff>
    </xdr:to>
    <xdr:sp macro="" textlink="">
      <xdr:nvSpPr>
        <xdr:cNvPr id="7577" name="AutoShape 4505" descr="note-add">
          <a:extLst>
            <a:ext uri="{FF2B5EF4-FFF2-40B4-BE49-F238E27FC236}">
              <a16:creationId xmlns:a16="http://schemas.microsoft.com/office/drawing/2014/main" id="{76BABA0B-BB36-C613-BF3A-2366AC832E69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195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317500</xdr:colOff>
      <xdr:row>353</xdr:row>
      <xdr:rowOff>0</xdr:rowOff>
    </xdr:from>
    <xdr:to>
      <xdr:col>22</xdr:col>
      <xdr:colOff>622300</xdr:colOff>
      <xdr:row>354</xdr:row>
      <xdr:rowOff>101601</xdr:rowOff>
    </xdr:to>
    <xdr:sp macro="" textlink="">
      <xdr:nvSpPr>
        <xdr:cNvPr id="7578" name="AutoShape 4506" descr="alert toggle">
          <a:extLst>
            <a:ext uri="{FF2B5EF4-FFF2-40B4-BE49-F238E27FC236}">
              <a16:creationId xmlns:a16="http://schemas.microsoft.com/office/drawing/2014/main" id="{334E677A-098C-04F3-C0FA-A7016BF653F4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195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399</xdr:row>
      <xdr:rowOff>0</xdr:rowOff>
    </xdr:from>
    <xdr:ext cx="304800" cy="279400"/>
    <xdr:sp macro="" textlink="">
      <xdr:nvSpPr>
        <xdr:cNvPr id="5954" name="AutoShape 3906" descr="note-add">
          <a:extLst>
            <a:ext uri="{FF2B5EF4-FFF2-40B4-BE49-F238E27FC236}">
              <a16:creationId xmlns:a16="http://schemas.microsoft.com/office/drawing/2014/main" id="{91998C2F-C686-0E90-C1CC-720DA7FC3574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8935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399</xdr:row>
      <xdr:rowOff>0</xdr:rowOff>
    </xdr:from>
    <xdr:ext cx="304800" cy="279400"/>
    <xdr:sp macro="" textlink="">
      <xdr:nvSpPr>
        <xdr:cNvPr id="5955" name="AutoShape 3907" descr="alert toggle">
          <a:extLst>
            <a:ext uri="{FF2B5EF4-FFF2-40B4-BE49-F238E27FC236}">
              <a16:creationId xmlns:a16="http://schemas.microsoft.com/office/drawing/2014/main" id="{D9392E9E-8D73-2147-3548-C72D955A145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8935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400</xdr:row>
      <xdr:rowOff>0</xdr:rowOff>
    </xdr:from>
    <xdr:ext cx="304800" cy="279400"/>
    <xdr:sp macro="" textlink="">
      <xdr:nvSpPr>
        <xdr:cNvPr id="5958" name="AutoShape 3910" descr="note-add">
          <a:extLst>
            <a:ext uri="{FF2B5EF4-FFF2-40B4-BE49-F238E27FC236}">
              <a16:creationId xmlns:a16="http://schemas.microsoft.com/office/drawing/2014/main" id="{E111076B-5649-A57E-55AA-BEC29336B43F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9215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400</xdr:row>
      <xdr:rowOff>0</xdr:rowOff>
    </xdr:from>
    <xdr:ext cx="304800" cy="279400"/>
    <xdr:sp macro="" textlink="">
      <xdr:nvSpPr>
        <xdr:cNvPr id="5959" name="AutoShape 3911" descr="alert toggle">
          <a:extLst>
            <a:ext uri="{FF2B5EF4-FFF2-40B4-BE49-F238E27FC236}">
              <a16:creationId xmlns:a16="http://schemas.microsoft.com/office/drawing/2014/main" id="{26271F24-B0D7-1BD9-07BB-FE756B336D2D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9215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397</xdr:row>
      <xdr:rowOff>0</xdr:rowOff>
    </xdr:from>
    <xdr:ext cx="304800" cy="279400"/>
    <xdr:sp macro="" textlink="">
      <xdr:nvSpPr>
        <xdr:cNvPr id="5962" name="AutoShape 3914" descr="note-add">
          <a:extLst>
            <a:ext uri="{FF2B5EF4-FFF2-40B4-BE49-F238E27FC236}">
              <a16:creationId xmlns:a16="http://schemas.microsoft.com/office/drawing/2014/main" id="{8E2CB805-A041-6A13-4AFD-F82E779E142E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8376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397</xdr:row>
      <xdr:rowOff>0</xdr:rowOff>
    </xdr:from>
    <xdr:ext cx="304800" cy="279400"/>
    <xdr:sp macro="" textlink="">
      <xdr:nvSpPr>
        <xdr:cNvPr id="5963" name="AutoShape 3915" descr="alert toggle">
          <a:extLst>
            <a:ext uri="{FF2B5EF4-FFF2-40B4-BE49-F238E27FC236}">
              <a16:creationId xmlns:a16="http://schemas.microsoft.com/office/drawing/2014/main" id="{A22FA5AA-E370-78C8-3379-A7E7A640EE9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18376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407</xdr:row>
      <xdr:rowOff>0</xdr:rowOff>
    </xdr:from>
    <xdr:ext cx="304800" cy="279400"/>
    <xdr:sp macro="" textlink="">
      <xdr:nvSpPr>
        <xdr:cNvPr id="5966" name="AutoShape 3918" descr="note-add">
          <a:extLst>
            <a:ext uri="{FF2B5EF4-FFF2-40B4-BE49-F238E27FC236}">
              <a16:creationId xmlns:a16="http://schemas.microsoft.com/office/drawing/2014/main" id="{08A3943B-1748-4983-B2C0-77511BFFD064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2288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407</xdr:row>
      <xdr:rowOff>0</xdr:rowOff>
    </xdr:from>
    <xdr:ext cx="304800" cy="279400"/>
    <xdr:sp macro="" textlink="">
      <xdr:nvSpPr>
        <xdr:cNvPr id="5967" name="AutoShape 3919" descr="alert toggle">
          <a:extLst>
            <a:ext uri="{FF2B5EF4-FFF2-40B4-BE49-F238E27FC236}">
              <a16:creationId xmlns:a16="http://schemas.microsoft.com/office/drawing/2014/main" id="{CE1FE4C2-A59C-49F1-637D-35AC46AB5954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2288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313</xdr:row>
      <xdr:rowOff>0</xdr:rowOff>
    </xdr:from>
    <xdr:ext cx="304800" cy="279400"/>
    <xdr:sp macro="" textlink="">
      <xdr:nvSpPr>
        <xdr:cNvPr id="5994" name="AutoShape 3946" descr="note-add">
          <a:extLst>
            <a:ext uri="{FF2B5EF4-FFF2-40B4-BE49-F238E27FC236}">
              <a16:creationId xmlns:a16="http://schemas.microsoft.com/office/drawing/2014/main" id="{C0740D84-0250-FDDC-2A01-1C09A53DBA92}"/>
            </a:ext>
          </a:extLst>
        </xdr:cNvPr>
        <xdr:cNvSpPr>
          <a:spLocks noChangeAspect="1" noChangeArrowheads="1"/>
        </xdr:cNvSpPr>
      </xdr:nvSpPr>
      <xdr:spPr bwMode="auto">
        <a:xfrm>
          <a:off x="23342600" y="48272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317500</xdr:colOff>
      <xdr:row>313</xdr:row>
      <xdr:rowOff>0</xdr:rowOff>
    </xdr:from>
    <xdr:ext cx="304800" cy="279400"/>
    <xdr:sp macro="" textlink="">
      <xdr:nvSpPr>
        <xdr:cNvPr id="5995" name="AutoShape 3947" descr="alert toggle">
          <a:extLst>
            <a:ext uri="{FF2B5EF4-FFF2-40B4-BE49-F238E27FC236}">
              <a16:creationId xmlns:a16="http://schemas.microsoft.com/office/drawing/2014/main" id="{CDF5ED72-2847-4C18-3664-562A4AE904AA}"/>
            </a:ext>
          </a:extLst>
        </xdr:cNvPr>
        <xdr:cNvSpPr>
          <a:spLocks noChangeAspect="1" noChangeArrowheads="1"/>
        </xdr:cNvSpPr>
      </xdr:nvSpPr>
      <xdr:spPr bwMode="auto">
        <a:xfrm>
          <a:off x="23660100" y="48272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20</xdr:col>
      <xdr:colOff>0</xdr:colOff>
      <xdr:row>148</xdr:row>
      <xdr:rowOff>0</xdr:rowOff>
    </xdr:from>
    <xdr:to>
      <xdr:col>20</xdr:col>
      <xdr:colOff>304800</xdr:colOff>
      <xdr:row>149</xdr:row>
      <xdr:rowOff>76200</xdr:rowOff>
    </xdr:to>
    <xdr:sp macro="" textlink="">
      <xdr:nvSpPr>
        <xdr:cNvPr id="5998" name="AutoShape 3950" descr="note-add">
          <a:extLst>
            <a:ext uri="{FF2B5EF4-FFF2-40B4-BE49-F238E27FC236}">
              <a16:creationId xmlns:a16="http://schemas.microsoft.com/office/drawing/2014/main" id="{A263FF0E-D199-4237-BBB0-435DA2F9E30A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48552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148</xdr:row>
      <xdr:rowOff>0</xdr:rowOff>
    </xdr:from>
    <xdr:to>
      <xdr:col>20</xdr:col>
      <xdr:colOff>622300</xdr:colOff>
      <xdr:row>149</xdr:row>
      <xdr:rowOff>76200</xdr:rowOff>
    </xdr:to>
    <xdr:sp macro="" textlink="">
      <xdr:nvSpPr>
        <xdr:cNvPr id="5999" name="AutoShape 3951" descr="alert toggle">
          <a:extLst>
            <a:ext uri="{FF2B5EF4-FFF2-40B4-BE49-F238E27FC236}">
              <a16:creationId xmlns:a16="http://schemas.microsoft.com/office/drawing/2014/main" id="{6C64F11F-C77D-B70A-68F6-E9944ED79679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48552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149</xdr:row>
      <xdr:rowOff>0</xdr:rowOff>
    </xdr:from>
    <xdr:to>
      <xdr:col>20</xdr:col>
      <xdr:colOff>304800</xdr:colOff>
      <xdr:row>150</xdr:row>
      <xdr:rowOff>76200</xdr:rowOff>
    </xdr:to>
    <xdr:sp macro="" textlink="">
      <xdr:nvSpPr>
        <xdr:cNvPr id="6002" name="AutoShape 3954" descr="note-add">
          <a:extLst>
            <a:ext uri="{FF2B5EF4-FFF2-40B4-BE49-F238E27FC236}">
              <a16:creationId xmlns:a16="http://schemas.microsoft.com/office/drawing/2014/main" id="{8FA02D2D-6E9A-D7AB-7B1B-D89264EF0B55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48831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317500</xdr:colOff>
      <xdr:row>149</xdr:row>
      <xdr:rowOff>0</xdr:rowOff>
    </xdr:from>
    <xdr:to>
      <xdr:col>20</xdr:col>
      <xdr:colOff>622300</xdr:colOff>
      <xdr:row>150</xdr:row>
      <xdr:rowOff>76200</xdr:rowOff>
    </xdr:to>
    <xdr:sp macro="" textlink="">
      <xdr:nvSpPr>
        <xdr:cNvPr id="6003" name="AutoShape 3955" descr="alert toggle">
          <a:extLst>
            <a:ext uri="{FF2B5EF4-FFF2-40B4-BE49-F238E27FC236}">
              <a16:creationId xmlns:a16="http://schemas.microsoft.com/office/drawing/2014/main" id="{AE078630-45F3-F5AB-9323-B666F4B32E06}"/>
            </a:ext>
          </a:extLst>
        </xdr:cNvPr>
        <xdr:cNvSpPr>
          <a:spLocks noChangeAspect="1" noChangeArrowheads="1"/>
        </xdr:cNvSpPr>
      </xdr:nvSpPr>
      <xdr:spPr bwMode="auto">
        <a:xfrm>
          <a:off x="26797000" y="48831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227</xdr:row>
      <xdr:rowOff>0</xdr:rowOff>
    </xdr:from>
    <xdr:to>
      <xdr:col>19</xdr:col>
      <xdr:colOff>304800</xdr:colOff>
      <xdr:row>228</xdr:row>
      <xdr:rowOff>76200</xdr:rowOff>
    </xdr:to>
    <xdr:sp macro="" textlink="">
      <xdr:nvSpPr>
        <xdr:cNvPr id="6006" name="AutoShape 3958" descr="note-add">
          <a:extLst>
            <a:ext uri="{FF2B5EF4-FFF2-40B4-BE49-F238E27FC236}">
              <a16:creationId xmlns:a16="http://schemas.microsoft.com/office/drawing/2014/main" id="{29968103-520B-F038-9C6D-8942EE7EBF2C}"/>
            </a:ext>
          </a:extLst>
        </xdr:cNvPr>
        <xdr:cNvSpPr>
          <a:spLocks noChangeAspect="1" noChangeArrowheads="1"/>
        </xdr:cNvSpPr>
      </xdr:nvSpPr>
      <xdr:spPr bwMode="auto">
        <a:xfrm>
          <a:off x="24993600" y="74815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317500</xdr:colOff>
      <xdr:row>227</xdr:row>
      <xdr:rowOff>0</xdr:rowOff>
    </xdr:from>
    <xdr:to>
      <xdr:col>19</xdr:col>
      <xdr:colOff>622300</xdr:colOff>
      <xdr:row>228</xdr:row>
      <xdr:rowOff>76200</xdr:rowOff>
    </xdr:to>
    <xdr:sp macro="" textlink="">
      <xdr:nvSpPr>
        <xdr:cNvPr id="6007" name="AutoShape 3959" descr="alert toggle">
          <a:extLst>
            <a:ext uri="{FF2B5EF4-FFF2-40B4-BE49-F238E27FC236}">
              <a16:creationId xmlns:a16="http://schemas.microsoft.com/office/drawing/2014/main" id="{AD1AE18C-8931-08D4-5403-1C11217EEA3A}"/>
            </a:ext>
          </a:extLst>
        </xdr:cNvPr>
        <xdr:cNvSpPr>
          <a:spLocks noChangeAspect="1" noChangeArrowheads="1"/>
        </xdr:cNvSpPr>
      </xdr:nvSpPr>
      <xdr:spPr bwMode="auto">
        <a:xfrm>
          <a:off x="25311100" y="74815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233</xdr:row>
      <xdr:rowOff>0</xdr:rowOff>
    </xdr:from>
    <xdr:ext cx="304800" cy="279400"/>
    <xdr:sp macro="" textlink="">
      <xdr:nvSpPr>
        <xdr:cNvPr id="6010" name="AutoShape 3962" descr="note-add">
          <a:extLst>
            <a:ext uri="{FF2B5EF4-FFF2-40B4-BE49-F238E27FC236}">
              <a16:creationId xmlns:a16="http://schemas.microsoft.com/office/drawing/2014/main" id="{1D79C5C5-EB9C-6396-74FD-E45EC0AC490F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75095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233</xdr:row>
      <xdr:rowOff>0</xdr:rowOff>
    </xdr:from>
    <xdr:ext cx="304800" cy="279400"/>
    <xdr:sp macro="" textlink="">
      <xdr:nvSpPr>
        <xdr:cNvPr id="6011" name="AutoShape 3963" descr="alert toggle">
          <a:extLst>
            <a:ext uri="{FF2B5EF4-FFF2-40B4-BE49-F238E27FC236}">
              <a16:creationId xmlns:a16="http://schemas.microsoft.com/office/drawing/2014/main" id="{998091B0-8A07-6952-9EFD-16DE5DF72528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5095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235</xdr:row>
      <xdr:rowOff>0</xdr:rowOff>
    </xdr:from>
    <xdr:ext cx="304800" cy="279400"/>
    <xdr:sp macro="" textlink="">
      <xdr:nvSpPr>
        <xdr:cNvPr id="6014" name="AutoShape 3966" descr="note-add">
          <a:extLst>
            <a:ext uri="{FF2B5EF4-FFF2-40B4-BE49-F238E27FC236}">
              <a16:creationId xmlns:a16="http://schemas.microsoft.com/office/drawing/2014/main" id="{6F60A90A-A249-BD4D-98AA-E38DB247F683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77609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235</xdr:row>
      <xdr:rowOff>0</xdr:rowOff>
    </xdr:from>
    <xdr:ext cx="304800" cy="279400"/>
    <xdr:sp macro="" textlink="">
      <xdr:nvSpPr>
        <xdr:cNvPr id="6015" name="AutoShape 3967" descr="alert toggle">
          <a:extLst>
            <a:ext uri="{FF2B5EF4-FFF2-40B4-BE49-F238E27FC236}">
              <a16:creationId xmlns:a16="http://schemas.microsoft.com/office/drawing/2014/main" id="{C4BB1A07-482C-E010-3C3A-0F0890AC94E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609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235</xdr:row>
      <xdr:rowOff>0</xdr:rowOff>
    </xdr:from>
    <xdr:ext cx="304800" cy="279400"/>
    <xdr:sp macro="" textlink="">
      <xdr:nvSpPr>
        <xdr:cNvPr id="6018" name="AutoShape 3970" descr="note-add">
          <a:extLst>
            <a:ext uri="{FF2B5EF4-FFF2-40B4-BE49-F238E27FC236}">
              <a16:creationId xmlns:a16="http://schemas.microsoft.com/office/drawing/2014/main" id="{34EDC8E6-459A-8756-5C2E-DEDA468E36D1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77889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235</xdr:row>
      <xdr:rowOff>0</xdr:rowOff>
    </xdr:from>
    <xdr:ext cx="304800" cy="279400"/>
    <xdr:sp macro="" textlink="">
      <xdr:nvSpPr>
        <xdr:cNvPr id="6019" name="AutoShape 3971" descr="alert toggle">
          <a:extLst>
            <a:ext uri="{FF2B5EF4-FFF2-40B4-BE49-F238E27FC236}">
              <a16:creationId xmlns:a16="http://schemas.microsoft.com/office/drawing/2014/main" id="{EBD7D33D-02F8-BC38-8B4F-7052AEBFF12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77889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22</xdr:col>
      <xdr:colOff>0</xdr:colOff>
      <xdr:row>297</xdr:row>
      <xdr:rowOff>0</xdr:rowOff>
    </xdr:from>
    <xdr:to>
      <xdr:col>22</xdr:col>
      <xdr:colOff>304800</xdr:colOff>
      <xdr:row>298</xdr:row>
      <xdr:rowOff>76200</xdr:rowOff>
    </xdr:to>
    <xdr:sp macro="" textlink="">
      <xdr:nvSpPr>
        <xdr:cNvPr id="6020" name="AutoShape 3972" descr="note-add">
          <a:extLst>
            <a:ext uri="{FF2B5EF4-FFF2-40B4-BE49-F238E27FC236}">
              <a16:creationId xmlns:a16="http://schemas.microsoft.com/office/drawing/2014/main" id="{8960F7ED-8002-AFEF-0C2E-12B456002A00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100799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317500</xdr:colOff>
      <xdr:row>297</xdr:row>
      <xdr:rowOff>0</xdr:rowOff>
    </xdr:from>
    <xdr:to>
      <xdr:col>22</xdr:col>
      <xdr:colOff>622300</xdr:colOff>
      <xdr:row>298</xdr:row>
      <xdr:rowOff>76200</xdr:rowOff>
    </xdr:to>
    <xdr:sp macro="" textlink="">
      <xdr:nvSpPr>
        <xdr:cNvPr id="6021" name="AutoShape 3973" descr="alert toggle">
          <a:extLst>
            <a:ext uri="{FF2B5EF4-FFF2-40B4-BE49-F238E27FC236}">
              <a16:creationId xmlns:a16="http://schemas.microsoft.com/office/drawing/2014/main" id="{844A2988-CF54-7068-2513-5254A0580B6B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100799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298</xdr:row>
      <xdr:rowOff>0</xdr:rowOff>
    </xdr:from>
    <xdr:to>
      <xdr:col>25</xdr:col>
      <xdr:colOff>304800</xdr:colOff>
      <xdr:row>299</xdr:row>
      <xdr:rowOff>101600</xdr:rowOff>
    </xdr:to>
    <xdr:sp macro="" textlink="">
      <xdr:nvSpPr>
        <xdr:cNvPr id="6024" name="AutoShape 3976" descr="note-add">
          <a:extLst>
            <a:ext uri="{FF2B5EF4-FFF2-40B4-BE49-F238E27FC236}">
              <a16:creationId xmlns:a16="http://schemas.microsoft.com/office/drawing/2014/main" id="{C6C981CB-7BDF-1F01-194F-A26CEEDC057F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1010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298</xdr:row>
      <xdr:rowOff>0</xdr:rowOff>
    </xdr:from>
    <xdr:to>
      <xdr:col>25</xdr:col>
      <xdr:colOff>622300</xdr:colOff>
      <xdr:row>299</xdr:row>
      <xdr:rowOff>101600</xdr:rowOff>
    </xdr:to>
    <xdr:sp macro="" textlink="">
      <xdr:nvSpPr>
        <xdr:cNvPr id="6025" name="AutoShape 3977" descr="alert toggle">
          <a:extLst>
            <a:ext uri="{FF2B5EF4-FFF2-40B4-BE49-F238E27FC236}">
              <a16:creationId xmlns:a16="http://schemas.microsoft.com/office/drawing/2014/main" id="{307F64FB-0D6A-9311-0FF8-EE92F30A4C6B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1010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299</xdr:row>
      <xdr:rowOff>0</xdr:rowOff>
    </xdr:from>
    <xdr:to>
      <xdr:col>25</xdr:col>
      <xdr:colOff>304800</xdr:colOff>
      <xdr:row>300</xdr:row>
      <xdr:rowOff>101599</xdr:rowOff>
    </xdr:to>
    <xdr:sp macro="" textlink="">
      <xdr:nvSpPr>
        <xdr:cNvPr id="6028" name="AutoShape 3980" descr="note-add">
          <a:extLst>
            <a:ext uri="{FF2B5EF4-FFF2-40B4-BE49-F238E27FC236}">
              <a16:creationId xmlns:a16="http://schemas.microsoft.com/office/drawing/2014/main" id="{688FCE81-B9DE-D3E9-6F13-BDAA38973AEF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1013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299</xdr:row>
      <xdr:rowOff>0</xdr:rowOff>
    </xdr:from>
    <xdr:to>
      <xdr:col>25</xdr:col>
      <xdr:colOff>622300</xdr:colOff>
      <xdr:row>300</xdr:row>
      <xdr:rowOff>101599</xdr:rowOff>
    </xdr:to>
    <xdr:sp macro="" textlink="">
      <xdr:nvSpPr>
        <xdr:cNvPr id="6029" name="AutoShape 3981" descr="alert toggle">
          <a:extLst>
            <a:ext uri="{FF2B5EF4-FFF2-40B4-BE49-F238E27FC236}">
              <a16:creationId xmlns:a16="http://schemas.microsoft.com/office/drawing/2014/main" id="{A28BCC95-F55F-C509-E301-7AA7E50CD371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1013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300</xdr:row>
      <xdr:rowOff>0</xdr:rowOff>
    </xdr:from>
    <xdr:to>
      <xdr:col>25</xdr:col>
      <xdr:colOff>304800</xdr:colOff>
      <xdr:row>301</xdr:row>
      <xdr:rowOff>101600</xdr:rowOff>
    </xdr:to>
    <xdr:sp macro="" textlink="">
      <xdr:nvSpPr>
        <xdr:cNvPr id="6032" name="AutoShape 3984" descr="note-add">
          <a:extLst>
            <a:ext uri="{FF2B5EF4-FFF2-40B4-BE49-F238E27FC236}">
              <a16:creationId xmlns:a16="http://schemas.microsoft.com/office/drawing/2014/main" id="{72E610A5-59DD-D44A-B94E-26D200F0A8AD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1016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300</xdr:row>
      <xdr:rowOff>0</xdr:rowOff>
    </xdr:from>
    <xdr:to>
      <xdr:col>25</xdr:col>
      <xdr:colOff>622300</xdr:colOff>
      <xdr:row>301</xdr:row>
      <xdr:rowOff>101600</xdr:rowOff>
    </xdr:to>
    <xdr:sp macro="" textlink="">
      <xdr:nvSpPr>
        <xdr:cNvPr id="6033" name="AutoShape 3985" descr="alert toggle">
          <a:extLst>
            <a:ext uri="{FF2B5EF4-FFF2-40B4-BE49-F238E27FC236}">
              <a16:creationId xmlns:a16="http://schemas.microsoft.com/office/drawing/2014/main" id="{22059A6D-875C-E550-A499-A6593AC27412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1016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15</xdr:col>
      <xdr:colOff>0</xdr:colOff>
      <xdr:row>75</xdr:row>
      <xdr:rowOff>0</xdr:rowOff>
    </xdr:from>
    <xdr:ext cx="304800" cy="279400"/>
    <xdr:sp macro="" textlink="">
      <xdr:nvSpPr>
        <xdr:cNvPr id="6034" name="AutoShape 3986" descr="note-add">
          <a:extLst>
            <a:ext uri="{FF2B5EF4-FFF2-40B4-BE49-F238E27FC236}">
              <a16:creationId xmlns:a16="http://schemas.microsoft.com/office/drawing/2014/main" id="{86CBACD6-D913-893A-F3A0-58DE109066B6}"/>
            </a:ext>
          </a:extLst>
        </xdr:cNvPr>
        <xdr:cNvSpPr>
          <a:spLocks noChangeAspect="1" noChangeArrowheads="1"/>
        </xdr:cNvSpPr>
      </xdr:nvSpPr>
      <xdr:spPr bwMode="auto">
        <a:xfrm>
          <a:off x="18783300" y="131533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75</xdr:row>
      <xdr:rowOff>0</xdr:rowOff>
    </xdr:from>
    <xdr:ext cx="304800" cy="279400"/>
    <xdr:sp macro="" textlink="">
      <xdr:nvSpPr>
        <xdr:cNvPr id="6035" name="AutoShape 3987" descr="alert toggle">
          <a:extLst>
            <a:ext uri="{FF2B5EF4-FFF2-40B4-BE49-F238E27FC236}">
              <a16:creationId xmlns:a16="http://schemas.microsoft.com/office/drawing/2014/main" id="{A238D22A-93BF-8129-E8E7-0875C8CE0E51}"/>
            </a:ext>
          </a:extLst>
        </xdr:cNvPr>
        <xdr:cNvSpPr>
          <a:spLocks noChangeAspect="1" noChangeArrowheads="1"/>
        </xdr:cNvSpPr>
      </xdr:nvSpPr>
      <xdr:spPr bwMode="auto">
        <a:xfrm>
          <a:off x="19100800" y="131533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19</xdr:col>
      <xdr:colOff>0</xdr:colOff>
      <xdr:row>385</xdr:row>
      <xdr:rowOff>0</xdr:rowOff>
    </xdr:from>
    <xdr:to>
      <xdr:col>19</xdr:col>
      <xdr:colOff>304800</xdr:colOff>
      <xdr:row>386</xdr:row>
      <xdr:rowOff>76200</xdr:rowOff>
    </xdr:to>
    <xdr:sp macro="" textlink="">
      <xdr:nvSpPr>
        <xdr:cNvPr id="6038" name="AutoShape 3990" descr="note-add">
          <a:extLst>
            <a:ext uri="{FF2B5EF4-FFF2-40B4-BE49-F238E27FC236}">
              <a16:creationId xmlns:a16="http://schemas.microsoft.com/office/drawing/2014/main" id="{179DCDA2-C731-2F61-C010-EAE1648AB6A7}"/>
            </a:ext>
          </a:extLst>
        </xdr:cNvPr>
        <xdr:cNvSpPr>
          <a:spLocks noChangeAspect="1" noChangeArrowheads="1"/>
        </xdr:cNvSpPr>
      </xdr:nvSpPr>
      <xdr:spPr bwMode="auto">
        <a:xfrm>
          <a:off x="24993600" y="131813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317500</xdr:colOff>
      <xdr:row>385</xdr:row>
      <xdr:rowOff>0</xdr:rowOff>
    </xdr:from>
    <xdr:to>
      <xdr:col>19</xdr:col>
      <xdr:colOff>622300</xdr:colOff>
      <xdr:row>386</xdr:row>
      <xdr:rowOff>76200</xdr:rowOff>
    </xdr:to>
    <xdr:sp macro="" textlink="">
      <xdr:nvSpPr>
        <xdr:cNvPr id="6039" name="AutoShape 3991" descr="alert toggle">
          <a:extLst>
            <a:ext uri="{FF2B5EF4-FFF2-40B4-BE49-F238E27FC236}">
              <a16:creationId xmlns:a16="http://schemas.microsoft.com/office/drawing/2014/main" id="{20413160-32E2-8E36-587C-44A2BDEAEF66}"/>
            </a:ext>
          </a:extLst>
        </xdr:cNvPr>
        <xdr:cNvSpPr>
          <a:spLocks noChangeAspect="1" noChangeArrowheads="1"/>
        </xdr:cNvSpPr>
      </xdr:nvSpPr>
      <xdr:spPr bwMode="auto">
        <a:xfrm>
          <a:off x="25311100" y="131813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386</xdr:row>
      <xdr:rowOff>0</xdr:rowOff>
    </xdr:from>
    <xdr:to>
      <xdr:col>19</xdr:col>
      <xdr:colOff>304800</xdr:colOff>
      <xdr:row>387</xdr:row>
      <xdr:rowOff>76200</xdr:rowOff>
    </xdr:to>
    <xdr:sp macro="" textlink="">
      <xdr:nvSpPr>
        <xdr:cNvPr id="6042" name="AutoShape 3994" descr="note-add">
          <a:extLst>
            <a:ext uri="{FF2B5EF4-FFF2-40B4-BE49-F238E27FC236}">
              <a16:creationId xmlns:a16="http://schemas.microsoft.com/office/drawing/2014/main" id="{56EA3A55-4DCE-64C7-FB2C-2E019D2B589D}"/>
            </a:ext>
          </a:extLst>
        </xdr:cNvPr>
        <xdr:cNvSpPr>
          <a:spLocks noChangeAspect="1" noChangeArrowheads="1"/>
        </xdr:cNvSpPr>
      </xdr:nvSpPr>
      <xdr:spPr bwMode="auto">
        <a:xfrm>
          <a:off x="24993600" y="132092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317500</xdr:colOff>
      <xdr:row>386</xdr:row>
      <xdr:rowOff>0</xdr:rowOff>
    </xdr:from>
    <xdr:to>
      <xdr:col>19</xdr:col>
      <xdr:colOff>622300</xdr:colOff>
      <xdr:row>387</xdr:row>
      <xdr:rowOff>76200</xdr:rowOff>
    </xdr:to>
    <xdr:sp macro="" textlink="">
      <xdr:nvSpPr>
        <xdr:cNvPr id="6043" name="AutoShape 3995" descr="alert toggle">
          <a:extLst>
            <a:ext uri="{FF2B5EF4-FFF2-40B4-BE49-F238E27FC236}">
              <a16:creationId xmlns:a16="http://schemas.microsoft.com/office/drawing/2014/main" id="{78AFBF1D-6D27-D2E5-96B6-EC5B5970227A}"/>
            </a:ext>
          </a:extLst>
        </xdr:cNvPr>
        <xdr:cNvSpPr>
          <a:spLocks noChangeAspect="1" noChangeArrowheads="1"/>
        </xdr:cNvSpPr>
      </xdr:nvSpPr>
      <xdr:spPr bwMode="auto">
        <a:xfrm>
          <a:off x="25311100" y="132092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468</xdr:row>
      <xdr:rowOff>0</xdr:rowOff>
    </xdr:from>
    <xdr:to>
      <xdr:col>24</xdr:col>
      <xdr:colOff>304800</xdr:colOff>
      <xdr:row>469</xdr:row>
      <xdr:rowOff>99219</xdr:rowOff>
    </xdr:to>
    <xdr:sp macro="" textlink="">
      <xdr:nvSpPr>
        <xdr:cNvPr id="6046" name="AutoShape 3998" descr="note-add">
          <a:extLst>
            <a:ext uri="{FF2B5EF4-FFF2-40B4-BE49-F238E27FC236}">
              <a16:creationId xmlns:a16="http://schemas.microsoft.com/office/drawing/2014/main" id="{58E8EFED-31FB-D1BC-E298-A60D4B0E5670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65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468</xdr:row>
      <xdr:rowOff>0</xdr:rowOff>
    </xdr:from>
    <xdr:to>
      <xdr:col>24</xdr:col>
      <xdr:colOff>622300</xdr:colOff>
      <xdr:row>469</xdr:row>
      <xdr:rowOff>99219</xdr:rowOff>
    </xdr:to>
    <xdr:sp macro="" textlink="">
      <xdr:nvSpPr>
        <xdr:cNvPr id="6047" name="AutoShape 3999" descr="alert toggle">
          <a:extLst>
            <a:ext uri="{FF2B5EF4-FFF2-40B4-BE49-F238E27FC236}">
              <a16:creationId xmlns:a16="http://schemas.microsoft.com/office/drawing/2014/main" id="{6F556D85-0635-76D0-A606-CC3F5707075C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65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469</xdr:row>
      <xdr:rowOff>0</xdr:rowOff>
    </xdr:from>
    <xdr:to>
      <xdr:col>27</xdr:col>
      <xdr:colOff>304800</xdr:colOff>
      <xdr:row>470</xdr:row>
      <xdr:rowOff>99218</xdr:rowOff>
    </xdr:to>
    <xdr:sp macro="" textlink="">
      <xdr:nvSpPr>
        <xdr:cNvPr id="6050" name="AutoShape 4002" descr="note-add">
          <a:extLst>
            <a:ext uri="{FF2B5EF4-FFF2-40B4-BE49-F238E27FC236}">
              <a16:creationId xmlns:a16="http://schemas.microsoft.com/office/drawing/2014/main" id="{A34F1692-7720-ED2C-86F5-23E074EBC563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165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469</xdr:row>
      <xdr:rowOff>0</xdr:rowOff>
    </xdr:from>
    <xdr:to>
      <xdr:col>27</xdr:col>
      <xdr:colOff>622300</xdr:colOff>
      <xdr:row>470</xdr:row>
      <xdr:rowOff>99218</xdr:rowOff>
    </xdr:to>
    <xdr:sp macro="" textlink="">
      <xdr:nvSpPr>
        <xdr:cNvPr id="6051" name="AutoShape 4003" descr="alert toggle">
          <a:extLst>
            <a:ext uri="{FF2B5EF4-FFF2-40B4-BE49-F238E27FC236}">
              <a16:creationId xmlns:a16="http://schemas.microsoft.com/office/drawing/2014/main" id="{FE5004FF-744B-AB7F-E4CA-909B22469805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165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470</xdr:row>
      <xdr:rowOff>0</xdr:rowOff>
    </xdr:from>
    <xdr:to>
      <xdr:col>27</xdr:col>
      <xdr:colOff>304800</xdr:colOff>
      <xdr:row>471</xdr:row>
      <xdr:rowOff>92075</xdr:rowOff>
    </xdr:to>
    <xdr:sp macro="" textlink="">
      <xdr:nvSpPr>
        <xdr:cNvPr id="6054" name="AutoShape 4006" descr="note-add">
          <a:extLst>
            <a:ext uri="{FF2B5EF4-FFF2-40B4-BE49-F238E27FC236}">
              <a16:creationId xmlns:a16="http://schemas.microsoft.com/office/drawing/2014/main" id="{33A2A85F-849A-3F8F-9C05-F609D862AD41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1663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470</xdr:row>
      <xdr:rowOff>0</xdr:rowOff>
    </xdr:from>
    <xdr:to>
      <xdr:col>27</xdr:col>
      <xdr:colOff>622300</xdr:colOff>
      <xdr:row>471</xdr:row>
      <xdr:rowOff>92075</xdr:rowOff>
    </xdr:to>
    <xdr:sp macro="" textlink="">
      <xdr:nvSpPr>
        <xdr:cNvPr id="6055" name="AutoShape 4007" descr="alert toggle">
          <a:extLst>
            <a:ext uri="{FF2B5EF4-FFF2-40B4-BE49-F238E27FC236}">
              <a16:creationId xmlns:a16="http://schemas.microsoft.com/office/drawing/2014/main" id="{C2FF7190-1749-4B80-D244-773848717FCA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1663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471</xdr:row>
      <xdr:rowOff>0</xdr:rowOff>
    </xdr:from>
    <xdr:to>
      <xdr:col>27</xdr:col>
      <xdr:colOff>304800</xdr:colOff>
      <xdr:row>472</xdr:row>
      <xdr:rowOff>92075</xdr:rowOff>
    </xdr:to>
    <xdr:sp macro="" textlink="">
      <xdr:nvSpPr>
        <xdr:cNvPr id="6058" name="AutoShape 4010" descr="note-add">
          <a:extLst>
            <a:ext uri="{FF2B5EF4-FFF2-40B4-BE49-F238E27FC236}">
              <a16:creationId xmlns:a16="http://schemas.microsoft.com/office/drawing/2014/main" id="{111DF0DA-EE6E-FF17-24F7-BBD577D2D150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1668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471</xdr:row>
      <xdr:rowOff>0</xdr:rowOff>
    </xdr:from>
    <xdr:to>
      <xdr:col>27</xdr:col>
      <xdr:colOff>622300</xdr:colOff>
      <xdr:row>472</xdr:row>
      <xdr:rowOff>92075</xdr:rowOff>
    </xdr:to>
    <xdr:sp macro="" textlink="">
      <xdr:nvSpPr>
        <xdr:cNvPr id="6059" name="AutoShape 4011" descr="alert toggle">
          <a:extLst>
            <a:ext uri="{FF2B5EF4-FFF2-40B4-BE49-F238E27FC236}">
              <a16:creationId xmlns:a16="http://schemas.microsoft.com/office/drawing/2014/main" id="{F66ECC13-3DD7-220D-695C-335F5E272D48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1668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163</xdr:row>
      <xdr:rowOff>0</xdr:rowOff>
    </xdr:from>
    <xdr:to>
      <xdr:col>21</xdr:col>
      <xdr:colOff>304800</xdr:colOff>
      <xdr:row>164</xdr:row>
      <xdr:rowOff>101601</xdr:rowOff>
    </xdr:to>
    <xdr:sp macro="" textlink="">
      <xdr:nvSpPr>
        <xdr:cNvPr id="6090" name="AutoShape 4042" descr="note-add">
          <a:extLst>
            <a:ext uri="{FF2B5EF4-FFF2-40B4-BE49-F238E27FC236}">
              <a16:creationId xmlns:a16="http://schemas.microsoft.com/office/drawing/2014/main" id="{0122E13A-E0B5-B4D7-453B-C59B79DD67A5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535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163</xdr:row>
      <xdr:rowOff>0</xdr:rowOff>
    </xdr:from>
    <xdr:to>
      <xdr:col>21</xdr:col>
      <xdr:colOff>622300</xdr:colOff>
      <xdr:row>164</xdr:row>
      <xdr:rowOff>101601</xdr:rowOff>
    </xdr:to>
    <xdr:sp macro="" textlink="">
      <xdr:nvSpPr>
        <xdr:cNvPr id="6091" name="AutoShape 4043" descr="alert toggle">
          <a:extLst>
            <a:ext uri="{FF2B5EF4-FFF2-40B4-BE49-F238E27FC236}">
              <a16:creationId xmlns:a16="http://schemas.microsoft.com/office/drawing/2014/main" id="{85BF8C6C-CE54-82F7-6298-CCE1A70991D3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535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164</xdr:row>
      <xdr:rowOff>0</xdr:rowOff>
    </xdr:from>
    <xdr:to>
      <xdr:col>24</xdr:col>
      <xdr:colOff>304800</xdr:colOff>
      <xdr:row>165</xdr:row>
      <xdr:rowOff>101599</xdr:rowOff>
    </xdr:to>
    <xdr:sp macro="" textlink="">
      <xdr:nvSpPr>
        <xdr:cNvPr id="6094" name="AutoShape 4046" descr="note-add">
          <a:extLst>
            <a:ext uri="{FF2B5EF4-FFF2-40B4-BE49-F238E27FC236}">
              <a16:creationId xmlns:a16="http://schemas.microsoft.com/office/drawing/2014/main" id="{8DFF7247-E7FA-FB96-109D-62848C2D2710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538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164</xdr:row>
      <xdr:rowOff>0</xdr:rowOff>
    </xdr:from>
    <xdr:to>
      <xdr:col>24</xdr:col>
      <xdr:colOff>622300</xdr:colOff>
      <xdr:row>165</xdr:row>
      <xdr:rowOff>101599</xdr:rowOff>
    </xdr:to>
    <xdr:sp macro="" textlink="">
      <xdr:nvSpPr>
        <xdr:cNvPr id="6095" name="AutoShape 4047" descr="alert toggle">
          <a:extLst>
            <a:ext uri="{FF2B5EF4-FFF2-40B4-BE49-F238E27FC236}">
              <a16:creationId xmlns:a16="http://schemas.microsoft.com/office/drawing/2014/main" id="{021670E5-F4E3-0C11-3820-F5E8A53FDCEB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538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165</xdr:row>
      <xdr:rowOff>0</xdr:rowOff>
    </xdr:from>
    <xdr:to>
      <xdr:col>24</xdr:col>
      <xdr:colOff>304800</xdr:colOff>
      <xdr:row>166</xdr:row>
      <xdr:rowOff>101601</xdr:rowOff>
    </xdr:to>
    <xdr:sp macro="" textlink="">
      <xdr:nvSpPr>
        <xdr:cNvPr id="6098" name="AutoShape 4050" descr="note-add">
          <a:extLst>
            <a:ext uri="{FF2B5EF4-FFF2-40B4-BE49-F238E27FC236}">
              <a16:creationId xmlns:a16="http://schemas.microsoft.com/office/drawing/2014/main" id="{1B8CFA59-1D32-0A2F-8FC0-19C05683D530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541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165</xdr:row>
      <xdr:rowOff>0</xdr:rowOff>
    </xdr:from>
    <xdr:to>
      <xdr:col>24</xdr:col>
      <xdr:colOff>622300</xdr:colOff>
      <xdr:row>166</xdr:row>
      <xdr:rowOff>101601</xdr:rowOff>
    </xdr:to>
    <xdr:sp macro="" textlink="">
      <xdr:nvSpPr>
        <xdr:cNvPr id="6099" name="AutoShape 4051" descr="alert toggle">
          <a:extLst>
            <a:ext uri="{FF2B5EF4-FFF2-40B4-BE49-F238E27FC236}">
              <a16:creationId xmlns:a16="http://schemas.microsoft.com/office/drawing/2014/main" id="{CD0DA16A-AE67-67B1-9BBD-351572C845E8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541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166</xdr:row>
      <xdr:rowOff>0</xdr:rowOff>
    </xdr:from>
    <xdr:to>
      <xdr:col>24</xdr:col>
      <xdr:colOff>304800</xdr:colOff>
      <xdr:row>167</xdr:row>
      <xdr:rowOff>101599</xdr:rowOff>
    </xdr:to>
    <xdr:sp macro="" textlink="">
      <xdr:nvSpPr>
        <xdr:cNvPr id="6102" name="AutoShape 4054" descr="note-add">
          <a:extLst>
            <a:ext uri="{FF2B5EF4-FFF2-40B4-BE49-F238E27FC236}">
              <a16:creationId xmlns:a16="http://schemas.microsoft.com/office/drawing/2014/main" id="{96246391-7705-3E17-5CC8-B2B98A1FB8AB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54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166</xdr:row>
      <xdr:rowOff>0</xdr:rowOff>
    </xdr:from>
    <xdr:to>
      <xdr:col>24</xdr:col>
      <xdr:colOff>622300</xdr:colOff>
      <xdr:row>167</xdr:row>
      <xdr:rowOff>101599</xdr:rowOff>
    </xdr:to>
    <xdr:sp macro="" textlink="">
      <xdr:nvSpPr>
        <xdr:cNvPr id="6103" name="AutoShape 4055" descr="alert toggle">
          <a:extLst>
            <a:ext uri="{FF2B5EF4-FFF2-40B4-BE49-F238E27FC236}">
              <a16:creationId xmlns:a16="http://schemas.microsoft.com/office/drawing/2014/main" id="{FD8FE9D3-8386-F5E7-9076-C1E142A5EDF8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54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167</xdr:row>
      <xdr:rowOff>0</xdr:rowOff>
    </xdr:from>
    <xdr:to>
      <xdr:col>24</xdr:col>
      <xdr:colOff>304800</xdr:colOff>
      <xdr:row>168</xdr:row>
      <xdr:rowOff>101601</xdr:rowOff>
    </xdr:to>
    <xdr:sp macro="" textlink="">
      <xdr:nvSpPr>
        <xdr:cNvPr id="6106" name="AutoShape 4058" descr="note-add">
          <a:extLst>
            <a:ext uri="{FF2B5EF4-FFF2-40B4-BE49-F238E27FC236}">
              <a16:creationId xmlns:a16="http://schemas.microsoft.com/office/drawing/2014/main" id="{759C66E3-3ABC-A0C0-060E-EFB9127A1C20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546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167</xdr:row>
      <xdr:rowOff>0</xdr:rowOff>
    </xdr:from>
    <xdr:to>
      <xdr:col>24</xdr:col>
      <xdr:colOff>622300</xdr:colOff>
      <xdr:row>168</xdr:row>
      <xdr:rowOff>101601</xdr:rowOff>
    </xdr:to>
    <xdr:sp macro="" textlink="">
      <xdr:nvSpPr>
        <xdr:cNvPr id="6107" name="AutoShape 4059" descr="alert toggle">
          <a:extLst>
            <a:ext uri="{FF2B5EF4-FFF2-40B4-BE49-F238E27FC236}">
              <a16:creationId xmlns:a16="http://schemas.microsoft.com/office/drawing/2014/main" id="{0C3B3C40-13A3-2EC7-97AB-82DC34647DE3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546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168</xdr:row>
      <xdr:rowOff>0</xdr:rowOff>
    </xdr:from>
    <xdr:to>
      <xdr:col>24</xdr:col>
      <xdr:colOff>304800</xdr:colOff>
      <xdr:row>169</xdr:row>
      <xdr:rowOff>101599</xdr:rowOff>
    </xdr:to>
    <xdr:sp macro="" textlink="">
      <xdr:nvSpPr>
        <xdr:cNvPr id="6110" name="AutoShape 4062" descr="note-add">
          <a:extLst>
            <a:ext uri="{FF2B5EF4-FFF2-40B4-BE49-F238E27FC236}">
              <a16:creationId xmlns:a16="http://schemas.microsoft.com/office/drawing/2014/main" id="{63DC4FCE-688F-9DA8-DC65-DD9DB583C919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549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168</xdr:row>
      <xdr:rowOff>0</xdr:rowOff>
    </xdr:from>
    <xdr:to>
      <xdr:col>24</xdr:col>
      <xdr:colOff>622300</xdr:colOff>
      <xdr:row>169</xdr:row>
      <xdr:rowOff>101599</xdr:rowOff>
    </xdr:to>
    <xdr:sp macro="" textlink="">
      <xdr:nvSpPr>
        <xdr:cNvPr id="6111" name="AutoShape 4063" descr="alert toggle">
          <a:extLst>
            <a:ext uri="{FF2B5EF4-FFF2-40B4-BE49-F238E27FC236}">
              <a16:creationId xmlns:a16="http://schemas.microsoft.com/office/drawing/2014/main" id="{547FAF02-F82C-9D30-CA06-487A34CFB732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549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169</xdr:row>
      <xdr:rowOff>0</xdr:rowOff>
    </xdr:from>
    <xdr:to>
      <xdr:col>24</xdr:col>
      <xdr:colOff>304800</xdr:colOff>
      <xdr:row>170</xdr:row>
      <xdr:rowOff>114301</xdr:rowOff>
    </xdr:to>
    <xdr:sp macro="" textlink="">
      <xdr:nvSpPr>
        <xdr:cNvPr id="6114" name="AutoShape 4066" descr="note-add">
          <a:extLst>
            <a:ext uri="{FF2B5EF4-FFF2-40B4-BE49-F238E27FC236}">
              <a16:creationId xmlns:a16="http://schemas.microsoft.com/office/drawing/2014/main" id="{C29E6E98-F210-40A2-CF50-73C98CC8AF8D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552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169</xdr:row>
      <xdr:rowOff>0</xdr:rowOff>
    </xdr:from>
    <xdr:to>
      <xdr:col>24</xdr:col>
      <xdr:colOff>622300</xdr:colOff>
      <xdr:row>170</xdr:row>
      <xdr:rowOff>114301</xdr:rowOff>
    </xdr:to>
    <xdr:sp macro="" textlink="">
      <xdr:nvSpPr>
        <xdr:cNvPr id="6115" name="AutoShape 4067" descr="alert toggle">
          <a:extLst>
            <a:ext uri="{FF2B5EF4-FFF2-40B4-BE49-F238E27FC236}">
              <a16:creationId xmlns:a16="http://schemas.microsoft.com/office/drawing/2014/main" id="{BF4FE826-A6E1-208E-F2E0-88CD9D2D0D97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552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387</xdr:row>
      <xdr:rowOff>0</xdr:rowOff>
    </xdr:from>
    <xdr:to>
      <xdr:col>23</xdr:col>
      <xdr:colOff>304800</xdr:colOff>
      <xdr:row>388</xdr:row>
      <xdr:rowOff>101599</xdr:rowOff>
    </xdr:to>
    <xdr:sp macro="" textlink="">
      <xdr:nvSpPr>
        <xdr:cNvPr id="6118" name="AutoShape 4070" descr="note-add">
          <a:extLst>
            <a:ext uri="{FF2B5EF4-FFF2-40B4-BE49-F238E27FC236}">
              <a16:creationId xmlns:a16="http://schemas.microsoft.com/office/drawing/2014/main" id="{81CE260C-4158-02A0-3070-CC23D69CB5D3}"/>
            </a:ext>
          </a:extLst>
        </xdr:cNvPr>
        <xdr:cNvSpPr>
          <a:spLocks noChangeAspect="1" noChangeArrowheads="1"/>
        </xdr:cNvSpPr>
      </xdr:nvSpPr>
      <xdr:spPr bwMode="auto">
        <a:xfrm>
          <a:off x="31343600" y="1326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387</xdr:row>
      <xdr:rowOff>0</xdr:rowOff>
    </xdr:from>
    <xdr:to>
      <xdr:col>23</xdr:col>
      <xdr:colOff>622300</xdr:colOff>
      <xdr:row>388</xdr:row>
      <xdr:rowOff>101599</xdr:rowOff>
    </xdr:to>
    <xdr:sp macro="" textlink="">
      <xdr:nvSpPr>
        <xdr:cNvPr id="6119" name="AutoShape 4071" descr="alert toggle">
          <a:extLst>
            <a:ext uri="{FF2B5EF4-FFF2-40B4-BE49-F238E27FC236}">
              <a16:creationId xmlns:a16="http://schemas.microsoft.com/office/drawing/2014/main" id="{A7238868-F429-9BD6-307E-C900CBC3C4CD}"/>
            </a:ext>
          </a:extLst>
        </xdr:cNvPr>
        <xdr:cNvSpPr>
          <a:spLocks noChangeAspect="1" noChangeArrowheads="1"/>
        </xdr:cNvSpPr>
      </xdr:nvSpPr>
      <xdr:spPr bwMode="auto">
        <a:xfrm>
          <a:off x="31661100" y="1326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388</xdr:row>
      <xdr:rowOff>0</xdr:rowOff>
    </xdr:from>
    <xdr:to>
      <xdr:col>26</xdr:col>
      <xdr:colOff>304800</xdr:colOff>
      <xdr:row>389</xdr:row>
      <xdr:rowOff>101600</xdr:rowOff>
    </xdr:to>
    <xdr:sp macro="" textlink="">
      <xdr:nvSpPr>
        <xdr:cNvPr id="6122" name="AutoShape 4074" descr="note-add">
          <a:extLst>
            <a:ext uri="{FF2B5EF4-FFF2-40B4-BE49-F238E27FC236}">
              <a16:creationId xmlns:a16="http://schemas.microsoft.com/office/drawing/2014/main" id="{F0709BA1-19DE-5658-F5CF-74888632B5DD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329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388</xdr:row>
      <xdr:rowOff>0</xdr:rowOff>
    </xdr:from>
    <xdr:to>
      <xdr:col>26</xdr:col>
      <xdr:colOff>622300</xdr:colOff>
      <xdr:row>389</xdr:row>
      <xdr:rowOff>101600</xdr:rowOff>
    </xdr:to>
    <xdr:sp macro="" textlink="">
      <xdr:nvSpPr>
        <xdr:cNvPr id="6123" name="AutoShape 4075" descr="alert toggle">
          <a:extLst>
            <a:ext uri="{FF2B5EF4-FFF2-40B4-BE49-F238E27FC236}">
              <a16:creationId xmlns:a16="http://schemas.microsoft.com/office/drawing/2014/main" id="{CFE5F96B-FFCB-8CE7-27BE-AF16CD34955B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329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388</xdr:row>
      <xdr:rowOff>0</xdr:rowOff>
    </xdr:from>
    <xdr:to>
      <xdr:col>26</xdr:col>
      <xdr:colOff>304800</xdr:colOff>
      <xdr:row>389</xdr:row>
      <xdr:rowOff>100012</xdr:rowOff>
    </xdr:to>
    <xdr:sp macro="" textlink="">
      <xdr:nvSpPr>
        <xdr:cNvPr id="6126" name="AutoShape 4078" descr="note-add">
          <a:extLst>
            <a:ext uri="{FF2B5EF4-FFF2-40B4-BE49-F238E27FC236}">
              <a16:creationId xmlns:a16="http://schemas.microsoft.com/office/drawing/2014/main" id="{8F77F391-BF90-63D8-7ED9-54658F829506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332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388</xdr:row>
      <xdr:rowOff>0</xdr:rowOff>
    </xdr:from>
    <xdr:to>
      <xdr:col>26</xdr:col>
      <xdr:colOff>622300</xdr:colOff>
      <xdr:row>389</xdr:row>
      <xdr:rowOff>100012</xdr:rowOff>
    </xdr:to>
    <xdr:sp macro="" textlink="">
      <xdr:nvSpPr>
        <xdr:cNvPr id="6127" name="AutoShape 4079" descr="alert toggle">
          <a:extLst>
            <a:ext uri="{FF2B5EF4-FFF2-40B4-BE49-F238E27FC236}">
              <a16:creationId xmlns:a16="http://schemas.microsoft.com/office/drawing/2014/main" id="{C34FEC65-282E-4D8F-A2FD-03106E405649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332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389</xdr:row>
      <xdr:rowOff>0</xdr:rowOff>
    </xdr:from>
    <xdr:to>
      <xdr:col>26</xdr:col>
      <xdr:colOff>304800</xdr:colOff>
      <xdr:row>390</xdr:row>
      <xdr:rowOff>100013</xdr:rowOff>
    </xdr:to>
    <xdr:sp macro="" textlink="">
      <xdr:nvSpPr>
        <xdr:cNvPr id="6130" name="AutoShape 4082" descr="note-add">
          <a:extLst>
            <a:ext uri="{FF2B5EF4-FFF2-40B4-BE49-F238E27FC236}">
              <a16:creationId xmlns:a16="http://schemas.microsoft.com/office/drawing/2014/main" id="{0EB5B83B-C9A6-8538-8C91-FDE33CE678D1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33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389</xdr:row>
      <xdr:rowOff>0</xdr:rowOff>
    </xdr:from>
    <xdr:to>
      <xdr:col>26</xdr:col>
      <xdr:colOff>622300</xdr:colOff>
      <xdr:row>390</xdr:row>
      <xdr:rowOff>100013</xdr:rowOff>
    </xdr:to>
    <xdr:sp macro="" textlink="">
      <xdr:nvSpPr>
        <xdr:cNvPr id="6131" name="AutoShape 4083" descr="alert toggle">
          <a:extLst>
            <a:ext uri="{FF2B5EF4-FFF2-40B4-BE49-F238E27FC236}">
              <a16:creationId xmlns:a16="http://schemas.microsoft.com/office/drawing/2014/main" id="{AED4E836-B651-CF38-33BD-9C83D7EC4444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33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390</xdr:row>
      <xdr:rowOff>0</xdr:rowOff>
    </xdr:from>
    <xdr:to>
      <xdr:col>26</xdr:col>
      <xdr:colOff>304800</xdr:colOff>
      <xdr:row>391</xdr:row>
      <xdr:rowOff>100012</xdr:rowOff>
    </xdr:to>
    <xdr:sp macro="" textlink="">
      <xdr:nvSpPr>
        <xdr:cNvPr id="6134" name="AutoShape 4086" descr="note-add">
          <a:extLst>
            <a:ext uri="{FF2B5EF4-FFF2-40B4-BE49-F238E27FC236}">
              <a16:creationId xmlns:a16="http://schemas.microsoft.com/office/drawing/2014/main" id="{B86DE65C-12F6-64FE-2BC5-F816456BDF7E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33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390</xdr:row>
      <xdr:rowOff>0</xdr:rowOff>
    </xdr:from>
    <xdr:to>
      <xdr:col>26</xdr:col>
      <xdr:colOff>622300</xdr:colOff>
      <xdr:row>391</xdr:row>
      <xdr:rowOff>100012</xdr:rowOff>
    </xdr:to>
    <xdr:sp macro="" textlink="">
      <xdr:nvSpPr>
        <xdr:cNvPr id="6135" name="AutoShape 4087" descr="alert toggle">
          <a:extLst>
            <a:ext uri="{FF2B5EF4-FFF2-40B4-BE49-F238E27FC236}">
              <a16:creationId xmlns:a16="http://schemas.microsoft.com/office/drawing/2014/main" id="{7D87342D-B14C-4B37-61D7-9DC7650CE78C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33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391</xdr:row>
      <xdr:rowOff>0</xdr:rowOff>
    </xdr:from>
    <xdr:to>
      <xdr:col>26</xdr:col>
      <xdr:colOff>304800</xdr:colOff>
      <xdr:row>392</xdr:row>
      <xdr:rowOff>100013</xdr:rowOff>
    </xdr:to>
    <xdr:sp macro="" textlink="">
      <xdr:nvSpPr>
        <xdr:cNvPr id="6138" name="AutoShape 4090" descr="note-add">
          <a:extLst>
            <a:ext uri="{FF2B5EF4-FFF2-40B4-BE49-F238E27FC236}">
              <a16:creationId xmlns:a16="http://schemas.microsoft.com/office/drawing/2014/main" id="{5F8F01A8-7AA0-759A-9031-9FB0A48049F2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34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391</xdr:row>
      <xdr:rowOff>0</xdr:rowOff>
    </xdr:from>
    <xdr:to>
      <xdr:col>26</xdr:col>
      <xdr:colOff>622300</xdr:colOff>
      <xdr:row>392</xdr:row>
      <xdr:rowOff>100013</xdr:rowOff>
    </xdr:to>
    <xdr:sp macro="" textlink="">
      <xdr:nvSpPr>
        <xdr:cNvPr id="6139" name="AutoShape 4091" descr="alert toggle">
          <a:extLst>
            <a:ext uri="{FF2B5EF4-FFF2-40B4-BE49-F238E27FC236}">
              <a16:creationId xmlns:a16="http://schemas.microsoft.com/office/drawing/2014/main" id="{E76C9CB1-7B99-C01E-6101-930BCD65A11C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34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392</xdr:row>
      <xdr:rowOff>0</xdr:rowOff>
    </xdr:from>
    <xdr:to>
      <xdr:col>26</xdr:col>
      <xdr:colOff>304800</xdr:colOff>
      <xdr:row>393</xdr:row>
      <xdr:rowOff>23812</xdr:rowOff>
    </xdr:to>
    <xdr:sp macro="" textlink="">
      <xdr:nvSpPr>
        <xdr:cNvPr id="6142" name="AutoShape 4094" descr="note-add">
          <a:extLst>
            <a:ext uri="{FF2B5EF4-FFF2-40B4-BE49-F238E27FC236}">
              <a16:creationId xmlns:a16="http://schemas.microsoft.com/office/drawing/2014/main" id="{ADD06F59-AACA-815C-D3D1-89D894B5DB2F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34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392</xdr:row>
      <xdr:rowOff>0</xdr:rowOff>
    </xdr:from>
    <xdr:to>
      <xdr:col>26</xdr:col>
      <xdr:colOff>622300</xdr:colOff>
      <xdr:row>393</xdr:row>
      <xdr:rowOff>23812</xdr:rowOff>
    </xdr:to>
    <xdr:sp macro="" textlink="">
      <xdr:nvSpPr>
        <xdr:cNvPr id="6143" name="AutoShape 4095" descr="alert toggle">
          <a:extLst>
            <a:ext uri="{FF2B5EF4-FFF2-40B4-BE49-F238E27FC236}">
              <a16:creationId xmlns:a16="http://schemas.microsoft.com/office/drawing/2014/main" id="{6ECC0935-4F70-E604-1C74-9FCF6C028D10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34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304800</xdr:colOff>
      <xdr:row>29</xdr:row>
      <xdr:rowOff>101600</xdr:rowOff>
    </xdr:to>
    <xdr:sp macro="" textlink="">
      <xdr:nvSpPr>
        <xdr:cNvPr id="7170" name="AutoShape 4098" descr="note-add">
          <a:extLst>
            <a:ext uri="{FF2B5EF4-FFF2-40B4-BE49-F238E27FC236}">
              <a16:creationId xmlns:a16="http://schemas.microsoft.com/office/drawing/2014/main" id="{864B0816-C8AA-69B0-BFFA-627981C2F8CC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1371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0</xdr:colOff>
      <xdr:row>311</xdr:row>
      <xdr:rowOff>0</xdr:rowOff>
    </xdr:from>
    <xdr:to>
      <xdr:col>23</xdr:col>
      <xdr:colOff>304800</xdr:colOff>
      <xdr:row>312</xdr:row>
      <xdr:rowOff>101599</xdr:rowOff>
    </xdr:to>
    <xdr:sp macro="" textlink="">
      <xdr:nvSpPr>
        <xdr:cNvPr id="7172" name="AutoShape 4100" descr="note-add">
          <a:extLst>
            <a:ext uri="{FF2B5EF4-FFF2-40B4-BE49-F238E27FC236}">
              <a16:creationId xmlns:a16="http://schemas.microsoft.com/office/drawing/2014/main" id="{C29BE1F5-F145-5A12-EAC8-4B77C1833FBE}"/>
            </a:ext>
          </a:extLst>
        </xdr:cNvPr>
        <xdr:cNvSpPr>
          <a:spLocks noChangeAspect="1" noChangeArrowheads="1"/>
        </xdr:cNvSpPr>
      </xdr:nvSpPr>
      <xdr:spPr bwMode="auto">
        <a:xfrm>
          <a:off x="31343600" y="1058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317500</xdr:colOff>
      <xdr:row>311</xdr:row>
      <xdr:rowOff>0</xdr:rowOff>
    </xdr:from>
    <xdr:to>
      <xdr:col>23</xdr:col>
      <xdr:colOff>622300</xdr:colOff>
      <xdr:row>312</xdr:row>
      <xdr:rowOff>101599</xdr:rowOff>
    </xdr:to>
    <xdr:sp macro="" textlink="">
      <xdr:nvSpPr>
        <xdr:cNvPr id="7173" name="AutoShape 4101" descr="alert toggle">
          <a:extLst>
            <a:ext uri="{FF2B5EF4-FFF2-40B4-BE49-F238E27FC236}">
              <a16:creationId xmlns:a16="http://schemas.microsoft.com/office/drawing/2014/main" id="{F49685B8-7484-5D6F-7673-3F10249B8C82}"/>
            </a:ext>
          </a:extLst>
        </xdr:cNvPr>
        <xdr:cNvSpPr>
          <a:spLocks noChangeAspect="1" noChangeArrowheads="1"/>
        </xdr:cNvSpPr>
      </xdr:nvSpPr>
      <xdr:spPr bwMode="auto">
        <a:xfrm>
          <a:off x="31661100" y="1058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312</xdr:row>
      <xdr:rowOff>0</xdr:rowOff>
    </xdr:from>
    <xdr:to>
      <xdr:col>26</xdr:col>
      <xdr:colOff>304800</xdr:colOff>
      <xdr:row>313</xdr:row>
      <xdr:rowOff>101600</xdr:rowOff>
    </xdr:to>
    <xdr:sp macro="" textlink="">
      <xdr:nvSpPr>
        <xdr:cNvPr id="7176" name="AutoShape 4104" descr="note-add">
          <a:extLst>
            <a:ext uri="{FF2B5EF4-FFF2-40B4-BE49-F238E27FC236}">
              <a16:creationId xmlns:a16="http://schemas.microsoft.com/office/drawing/2014/main" id="{55104EC2-E7DD-7E5B-BDC7-346AF26A2368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06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312</xdr:row>
      <xdr:rowOff>0</xdr:rowOff>
    </xdr:from>
    <xdr:to>
      <xdr:col>26</xdr:col>
      <xdr:colOff>622300</xdr:colOff>
      <xdr:row>313</xdr:row>
      <xdr:rowOff>101600</xdr:rowOff>
    </xdr:to>
    <xdr:sp macro="" textlink="">
      <xdr:nvSpPr>
        <xdr:cNvPr id="7177" name="AutoShape 4105" descr="alert toggle">
          <a:extLst>
            <a:ext uri="{FF2B5EF4-FFF2-40B4-BE49-F238E27FC236}">
              <a16:creationId xmlns:a16="http://schemas.microsoft.com/office/drawing/2014/main" id="{D1AA2DFD-158E-D95E-BCAD-15D3AD0AAADD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06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313</xdr:row>
      <xdr:rowOff>0</xdr:rowOff>
    </xdr:from>
    <xdr:to>
      <xdr:col>26</xdr:col>
      <xdr:colOff>304800</xdr:colOff>
      <xdr:row>314</xdr:row>
      <xdr:rowOff>101599</xdr:rowOff>
    </xdr:to>
    <xdr:sp macro="" textlink="">
      <xdr:nvSpPr>
        <xdr:cNvPr id="7180" name="AutoShape 4108" descr="note-add">
          <a:extLst>
            <a:ext uri="{FF2B5EF4-FFF2-40B4-BE49-F238E27FC236}">
              <a16:creationId xmlns:a16="http://schemas.microsoft.com/office/drawing/2014/main" id="{C1974633-67EF-7BCC-CA1F-B956581ABD28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063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313</xdr:row>
      <xdr:rowOff>0</xdr:rowOff>
    </xdr:from>
    <xdr:to>
      <xdr:col>26</xdr:col>
      <xdr:colOff>622300</xdr:colOff>
      <xdr:row>314</xdr:row>
      <xdr:rowOff>101599</xdr:rowOff>
    </xdr:to>
    <xdr:sp macro="" textlink="">
      <xdr:nvSpPr>
        <xdr:cNvPr id="7181" name="AutoShape 4109" descr="alert toggle">
          <a:extLst>
            <a:ext uri="{FF2B5EF4-FFF2-40B4-BE49-F238E27FC236}">
              <a16:creationId xmlns:a16="http://schemas.microsoft.com/office/drawing/2014/main" id="{BA75ACFA-E1BE-4C17-B961-F3CA3153790D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063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314</xdr:row>
      <xdr:rowOff>0</xdr:rowOff>
    </xdr:from>
    <xdr:to>
      <xdr:col>26</xdr:col>
      <xdr:colOff>304800</xdr:colOff>
      <xdr:row>315</xdr:row>
      <xdr:rowOff>101600</xdr:rowOff>
    </xdr:to>
    <xdr:sp macro="" textlink="">
      <xdr:nvSpPr>
        <xdr:cNvPr id="7184" name="AutoShape 4112" descr="note-add">
          <a:extLst>
            <a:ext uri="{FF2B5EF4-FFF2-40B4-BE49-F238E27FC236}">
              <a16:creationId xmlns:a16="http://schemas.microsoft.com/office/drawing/2014/main" id="{2668C06A-B7EF-250E-8494-91C759094504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066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314</xdr:row>
      <xdr:rowOff>0</xdr:rowOff>
    </xdr:from>
    <xdr:to>
      <xdr:col>26</xdr:col>
      <xdr:colOff>622300</xdr:colOff>
      <xdr:row>315</xdr:row>
      <xdr:rowOff>101600</xdr:rowOff>
    </xdr:to>
    <xdr:sp macro="" textlink="">
      <xdr:nvSpPr>
        <xdr:cNvPr id="7185" name="AutoShape 4113" descr="alert toggle">
          <a:extLst>
            <a:ext uri="{FF2B5EF4-FFF2-40B4-BE49-F238E27FC236}">
              <a16:creationId xmlns:a16="http://schemas.microsoft.com/office/drawing/2014/main" id="{8890B446-39F0-54BB-88BD-4FA902C0E139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066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315</xdr:row>
      <xdr:rowOff>0</xdr:rowOff>
    </xdr:from>
    <xdr:to>
      <xdr:col>26</xdr:col>
      <xdr:colOff>304800</xdr:colOff>
      <xdr:row>316</xdr:row>
      <xdr:rowOff>101599</xdr:rowOff>
    </xdr:to>
    <xdr:sp macro="" textlink="">
      <xdr:nvSpPr>
        <xdr:cNvPr id="7188" name="AutoShape 4116" descr="note-add">
          <a:extLst>
            <a:ext uri="{FF2B5EF4-FFF2-40B4-BE49-F238E27FC236}">
              <a16:creationId xmlns:a16="http://schemas.microsoft.com/office/drawing/2014/main" id="{B8D74F34-65BF-464F-6F84-B7D08854F1DE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069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315</xdr:row>
      <xdr:rowOff>0</xdr:rowOff>
    </xdr:from>
    <xdr:to>
      <xdr:col>26</xdr:col>
      <xdr:colOff>622300</xdr:colOff>
      <xdr:row>316</xdr:row>
      <xdr:rowOff>101599</xdr:rowOff>
    </xdr:to>
    <xdr:sp macro="" textlink="">
      <xdr:nvSpPr>
        <xdr:cNvPr id="7189" name="AutoShape 4117" descr="alert toggle">
          <a:extLst>
            <a:ext uri="{FF2B5EF4-FFF2-40B4-BE49-F238E27FC236}">
              <a16:creationId xmlns:a16="http://schemas.microsoft.com/office/drawing/2014/main" id="{22B56FF3-7D9A-F53D-B3C4-FB8BD75534B7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069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316</xdr:row>
      <xdr:rowOff>0</xdr:rowOff>
    </xdr:from>
    <xdr:to>
      <xdr:col>26</xdr:col>
      <xdr:colOff>304800</xdr:colOff>
      <xdr:row>317</xdr:row>
      <xdr:rowOff>101599</xdr:rowOff>
    </xdr:to>
    <xdr:sp macro="" textlink="">
      <xdr:nvSpPr>
        <xdr:cNvPr id="7192" name="AutoShape 4120" descr="note-add">
          <a:extLst>
            <a:ext uri="{FF2B5EF4-FFF2-40B4-BE49-F238E27FC236}">
              <a16:creationId xmlns:a16="http://schemas.microsoft.com/office/drawing/2014/main" id="{3288B3D9-0CF5-B513-3305-0047F6F365F5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072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316</xdr:row>
      <xdr:rowOff>0</xdr:rowOff>
    </xdr:from>
    <xdr:to>
      <xdr:col>26</xdr:col>
      <xdr:colOff>622300</xdr:colOff>
      <xdr:row>317</xdr:row>
      <xdr:rowOff>101599</xdr:rowOff>
    </xdr:to>
    <xdr:sp macro="" textlink="">
      <xdr:nvSpPr>
        <xdr:cNvPr id="7193" name="AutoShape 4121" descr="alert toggle">
          <a:extLst>
            <a:ext uri="{FF2B5EF4-FFF2-40B4-BE49-F238E27FC236}">
              <a16:creationId xmlns:a16="http://schemas.microsoft.com/office/drawing/2014/main" id="{F0ED9A91-0D12-0013-DBF5-459E26A73AAE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072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317</xdr:row>
      <xdr:rowOff>0</xdr:rowOff>
    </xdr:from>
    <xdr:to>
      <xdr:col>26</xdr:col>
      <xdr:colOff>304800</xdr:colOff>
      <xdr:row>318</xdr:row>
      <xdr:rowOff>101599</xdr:rowOff>
    </xdr:to>
    <xdr:sp macro="" textlink="">
      <xdr:nvSpPr>
        <xdr:cNvPr id="7196" name="AutoShape 4124" descr="note-add">
          <a:extLst>
            <a:ext uri="{FF2B5EF4-FFF2-40B4-BE49-F238E27FC236}">
              <a16:creationId xmlns:a16="http://schemas.microsoft.com/office/drawing/2014/main" id="{FA4051CC-52E3-355F-E71F-FF73D154E367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075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317</xdr:row>
      <xdr:rowOff>0</xdr:rowOff>
    </xdr:from>
    <xdr:to>
      <xdr:col>26</xdr:col>
      <xdr:colOff>622300</xdr:colOff>
      <xdr:row>318</xdr:row>
      <xdr:rowOff>101599</xdr:rowOff>
    </xdr:to>
    <xdr:sp macro="" textlink="">
      <xdr:nvSpPr>
        <xdr:cNvPr id="7197" name="AutoShape 4125" descr="alert toggle">
          <a:extLst>
            <a:ext uri="{FF2B5EF4-FFF2-40B4-BE49-F238E27FC236}">
              <a16:creationId xmlns:a16="http://schemas.microsoft.com/office/drawing/2014/main" id="{9EE05ED3-E98A-940B-C288-B50AD728C20F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075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230</xdr:row>
      <xdr:rowOff>0</xdr:rowOff>
    </xdr:from>
    <xdr:to>
      <xdr:col>24</xdr:col>
      <xdr:colOff>304800</xdr:colOff>
      <xdr:row>231</xdr:row>
      <xdr:rowOff>101600</xdr:rowOff>
    </xdr:to>
    <xdr:sp macro="" textlink="">
      <xdr:nvSpPr>
        <xdr:cNvPr id="7200" name="AutoShape 4128" descr="note-add">
          <a:extLst>
            <a:ext uri="{FF2B5EF4-FFF2-40B4-BE49-F238E27FC236}">
              <a16:creationId xmlns:a16="http://schemas.microsoft.com/office/drawing/2014/main" id="{50CEBE7E-E0C3-7BC2-0B72-315136D3FF97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77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230</xdr:row>
      <xdr:rowOff>0</xdr:rowOff>
    </xdr:from>
    <xdr:to>
      <xdr:col>24</xdr:col>
      <xdr:colOff>622300</xdr:colOff>
      <xdr:row>231</xdr:row>
      <xdr:rowOff>101600</xdr:rowOff>
    </xdr:to>
    <xdr:sp macro="" textlink="">
      <xdr:nvSpPr>
        <xdr:cNvPr id="7201" name="AutoShape 4129" descr="alert toggle">
          <a:extLst>
            <a:ext uri="{FF2B5EF4-FFF2-40B4-BE49-F238E27FC236}">
              <a16:creationId xmlns:a16="http://schemas.microsoft.com/office/drawing/2014/main" id="{050F1A83-3DA8-70C6-BFB0-09B79E5BBCFC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77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231</xdr:row>
      <xdr:rowOff>0</xdr:rowOff>
    </xdr:from>
    <xdr:to>
      <xdr:col>27</xdr:col>
      <xdr:colOff>304800</xdr:colOff>
      <xdr:row>232</xdr:row>
      <xdr:rowOff>101601</xdr:rowOff>
    </xdr:to>
    <xdr:sp macro="" textlink="">
      <xdr:nvSpPr>
        <xdr:cNvPr id="7204" name="AutoShape 4132" descr="note-add">
          <a:extLst>
            <a:ext uri="{FF2B5EF4-FFF2-40B4-BE49-F238E27FC236}">
              <a16:creationId xmlns:a16="http://schemas.microsoft.com/office/drawing/2014/main" id="{1553CD68-4B84-F2AC-80AD-26E363C31931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78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231</xdr:row>
      <xdr:rowOff>0</xdr:rowOff>
    </xdr:from>
    <xdr:to>
      <xdr:col>27</xdr:col>
      <xdr:colOff>622300</xdr:colOff>
      <xdr:row>232</xdr:row>
      <xdr:rowOff>101601</xdr:rowOff>
    </xdr:to>
    <xdr:sp macro="" textlink="">
      <xdr:nvSpPr>
        <xdr:cNvPr id="7205" name="AutoShape 4133" descr="alert toggle">
          <a:extLst>
            <a:ext uri="{FF2B5EF4-FFF2-40B4-BE49-F238E27FC236}">
              <a16:creationId xmlns:a16="http://schemas.microsoft.com/office/drawing/2014/main" id="{7AF1D605-0738-B14B-7D12-98E84C852DD1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78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231</xdr:row>
      <xdr:rowOff>0</xdr:rowOff>
    </xdr:from>
    <xdr:to>
      <xdr:col>27</xdr:col>
      <xdr:colOff>304800</xdr:colOff>
      <xdr:row>232</xdr:row>
      <xdr:rowOff>101599</xdr:rowOff>
    </xdr:to>
    <xdr:sp macro="" textlink="">
      <xdr:nvSpPr>
        <xdr:cNvPr id="7208" name="AutoShape 4136" descr="note-add">
          <a:extLst>
            <a:ext uri="{FF2B5EF4-FFF2-40B4-BE49-F238E27FC236}">
              <a16:creationId xmlns:a16="http://schemas.microsoft.com/office/drawing/2014/main" id="{89F08E99-20CB-3BF2-A38A-E024B53B7B1D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784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231</xdr:row>
      <xdr:rowOff>0</xdr:rowOff>
    </xdr:from>
    <xdr:to>
      <xdr:col>27</xdr:col>
      <xdr:colOff>622300</xdr:colOff>
      <xdr:row>232</xdr:row>
      <xdr:rowOff>101599</xdr:rowOff>
    </xdr:to>
    <xdr:sp macro="" textlink="">
      <xdr:nvSpPr>
        <xdr:cNvPr id="7209" name="AutoShape 4137" descr="alert toggle">
          <a:extLst>
            <a:ext uri="{FF2B5EF4-FFF2-40B4-BE49-F238E27FC236}">
              <a16:creationId xmlns:a16="http://schemas.microsoft.com/office/drawing/2014/main" id="{05289FF8-2A05-160F-F25F-39035C31BF02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784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232</xdr:row>
      <xdr:rowOff>0</xdr:rowOff>
    </xdr:from>
    <xdr:to>
      <xdr:col>27</xdr:col>
      <xdr:colOff>304800</xdr:colOff>
      <xdr:row>233</xdr:row>
      <xdr:rowOff>101599</xdr:rowOff>
    </xdr:to>
    <xdr:sp macro="" textlink="">
      <xdr:nvSpPr>
        <xdr:cNvPr id="7212" name="AutoShape 4140" descr="note-add">
          <a:extLst>
            <a:ext uri="{FF2B5EF4-FFF2-40B4-BE49-F238E27FC236}">
              <a16:creationId xmlns:a16="http://schemas.microsoft.com/office/drawing/2014/main" id="{52EC2E42-84EB-C688-0E19-FD928D9045EE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787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232</xdr:row>
      <xdr:rowOff>0</xdr:rowOff>
    </xdr:from>
    <xdr:to>
      <xdr:col>27</xdr:col>
      <xdr:colOff>622300</xdr:colOff>
      <xdr:row>233</xdr:row>
      <xdr:rowOff>101599</xdr:rowOff>
    </xdr:to>
    <xdr:sp macro="" textlink="">
      <xdr:nvSpPr>
        <xdr:cNvPr id="7213" name="AutoShape 4141" descr="alert toggle">
          <a:extLst>
            <a:ext uri="{FF2B5EF4-FFF2-40B4-BE49-F238E27FC236}">
              <a16:creationId xmlns:a16="http://schemas.microsoft.com/office/drawing/2014/main" id="{BA748B1E-A386-DC32-F852-8996F46FA555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787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233</xdr:row>
      <xdr:rowOff>0</xdr:rowOff>
    </xdr:from>
    <xdr:to>
      <xdr:col>27</xdr:col>
      <xdr:colOff>304800</xdr:colOff>
      <xdr:row>234</xdr:row>
      <xdr:rowOff>101599</xdr:rowOff>
    </xdr:to>
    <xdr:sp macro="" textlink="">
      <xdr:nvSpPr>
        <xdr:cNvPr id="7216" name="AutoShape 4144" descr="note-add">
          <a:extLst>
            <a:ext uri="{FF2B5EF4-FFF2-40B4-BE49-F238E27FC236}">
              <a16:creationId xmlns:a16="http://schemas.microsoft.com/office/drawing/2014/main" id="{87C3EA26-9274-B2BF-2638-F9428DCEA84D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790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233</xdr:row>
      <xdr:rowOff>0</xdr:rowOff>
    </xdr:from>
    <xdr:to>
      <xdr:col>27</xdr:col>
      <xdr:colOff>622300</xdr:colOff>
      <xdr:row>234</xdr:row>
      <xdr:rowOff>101599</xdr:rowOff>
    </xdr:to>
    <xdr:sp macro="" textlink="">
      <xdr:nvSpPr>
        <xdr:cNvPr id="7217" name="AutoShape 4145" descr="alert toggle">
          <a:extLst>
            <a:ext uri="{FF2B5EF4-FFF2-40B4-BE49-F238E27FC236}">
              <a16:creationId xmlns:a16="http://schemas.microsoft.com/office/drawing/2014/main" id="{7AEA118D-EDFE-8B03-52B2-36CEBEECF07A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790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234</xdr:row>
      <xdr:rowOff>0</xdr:rowOff>
    </xdr:from>
    <xdr:to>
      <xdr:col>27</xdr:col>
      <xdr:colOff>304800</xdr:colOff>
      <xdr:row>235</xdr:row>
      <xdr:rowOff>101600</xdr:rowOff>
    </xdr:to>
    <xdr:sp macro="" textlink="">
      <xdr:nvSpPr>
        <xdr:cNvPr id="7220" name="AutoShape 4148" descr="note-add">
          <a:extLst>
            <a:ext uri="{FF2B5EF4-FFF2-40B4-BE49-F238E27FC236}">
              <a16:creationId xmlns:a16="http://schemas.microsoft.com/office/drawing/2014/main" id="{69BE90A0-5F8F-D57A-1A3F-99B935CA30BF}"/>
            </a:ext>
          </a:extLst>
        </xdr:cNvPr>
        <xdr:cNvSpPr>
          <a:spLocks noChangeAspect="1" noChangeArrowheads="1"/>
        </xdr:cNvSpPr>
      </xdr:nvSpPr>
      <xdr:spPr bwMode="auto">
        <a:xfrm>
          <a:off x="3586480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317500</xdr:colOff>
      <xdr:row>234</xdr:row>
      <xdr:rowOff>0</xdr:rowOff>
    </xdr:from>
    <xdr:to>
      <xdr:col>27</xdr:col>
      <xdr:colOff>622300</xdr:colOff>
      <xdr:row>235</xdr:row>
      <xdr:rowOff>101600</xdr:rowOff>
    </xdr:to>
    <xdr:sp macro="" textlink="">
      <xdr:nvSpPr>
        <xdr:cNvPr id="7221" name="AutoShape 4149" descr="alert toggle">
          <a:extLst>
            <a:ext uri="{FF2B5EF4-FFF2-40B4-BE49-F238E27FC236}">
              <a16:creationId xmlns:a16="http://schemas.microsoft.com/office/drawing/2014/main" id="{71A33701-05D1-6726-C00C-00FB4071BF4F}"/>
            </a:ext>
          </a:extLst>
        </xdr:cNvPr>
        <xdr:cNvSpPr>
          <a:spLocks noChangeAspect="1" noChangeArrowheads="1"/>
        </xdr:cNvSpPr>
      </xdr:nvSpPr>
      <xdr:spPr bwMode="auto">
        <a:xfrm>
          <a:off x="36182300" y="792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154</xdr:row>
      <xdr:rowOff>0</xdr:rowOff>
    </xdr:from>
    <xdr:to>
      <xdr:col>22</xdr:col>
      <xdr:colOff>304800</xdr:colOff>
      <xdr:row>155</xdr:row>
      <xdr:rowOff>101599</xdr:rowOff>
    </xdr:to>
    <xdr:sp macro="" textlink="">
      <xdr:nvSpPr>
        <xdr:cNvPr id="7224" name="AutoShape 4152" descr="note-add">
          <a:extLst>
            <a:ext uri="{FF2B5EF4-FFF2-40B4-BE49-F238E27FC236}">
              <a16:creationId xmlns:a16="http://schemas.microsoft.com/office/drawing/2014/main" id="{0DECD6CA-4C64-7EFE-18BA-C2CA0DD41621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51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317500</xdr:colOff>
      <xdr:row>154</xdr:row>
      <xdr:rowOff>0</xdr:rowOff>
    </xdr:from>
    <xdr:to>
      <xdr:col>22</xdr:col>
      <xdr:colOff>622300</xdr:colOff>
      <xdr:row>155</xdr:row>
      <xdr:rowOff>101599</xdr:rowOff>
    </xdr:to>
    <xdr:sp macro="" textlink="">
      <xdr:nvSpPr>
        <xdr:cNvPr id="7225" name="AutoShape 4153" descr="alert toggle">
          <a:extLst>
            <a:ext uri="{FF2B5EF4-FFF2-40B4-BE49-F238E27FC236}">
              <a16:creationId xmlns:a16="http://schemas.microsoft.com/office/drawing/2014/main" id="{BE015E9B-E121-9F7E-9603-136BAE01EC3E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51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155</xdr:row>
      <xdr:rowOff>0</xdr:rowOff>
    </xdr:from>
    <xdr:to>
      <xdr:col>25</xdr:col>
      <xdr:colOff>304800</xdr:colOff>
      <xdr:row>156</xdr:row>
      <xdr:rowOff>114300</xdr:rowOff>
    </xdr:to>
    <xdr:sp macro="" textlink="">
      <xdr:nvSpPr>
        <xdr:cNvPr id="7228" name="AutoShape 4156" descr="note-add">
          <a:extLst>
            <a:ext uri="{FF2B5EF4-FFF2-40B4-BE49-F238E27FC236}">
              <a16:creationId xmlns:a16="http://schemas.microsoft.com/office/drawing/2014/main" id="{23C6A21E-E5D0-DB05-6A1A-E0B3EA5BC7DC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513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155</xdr:row>
      <xdr:rowOff>0</xdr:rowOff>
    </xdr:from>
    <xdr:to>
      <xdr:col>25</xdr:col>
      <xdr:colOff>622300</xdr:colOff>
      <xdr:row>156</xdr:row>
      <xdr:rowOff>114300</xdr:rowOff>
    </xdr:to>
    <xdr:sp macro="" textlink="">
      <xdr:nvSpPr>
        <xdr:cNvPr id="7229" name="AutoShape 4157" descr="alert toggle">
          <a:extLst>
            <a:ext uri="{FF2B5EF4-FFF2-40B4-BE49-F238E27FC236}">
              <a16:creationId xmlns:a16="http://schemas.microsoft.com/office/drawing/2014/main" id="{3964F8E1-FDA7-073B-AB36-FF6B7D69E39E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5134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156</xdr:row>
      <xdr:rowOff>0</xdr:rowOff>
    </xdr:from>
    <xdr:to>
      <xdr:col>25</xdr:col>
      <xdr:colOff>304800</xdr:colOff>
      <xdr:row>157</xdr:row>
      <xdr:rowOff>101601</xdr:rowOff>
    </xdr:to>
    <xdr:sp macro="" textlink="">
      <xdr:nvSpPr>
        <xdr:cNvPr id="7232" name="AutoShape 4160" descr="note-add">
          <a:extLst>
            <a:ext uri="{FF2B5EF4-FFF2-40B4-BE49-F238E27FC236}">
              <a16:creationId xmlns:a16="http://schemas.microsoft.com/office/drawing/2014/main" id="{D4825BD1-EAAF-1594-9F73-99491CE67BE8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156</xdr:row>
      <xdr:rowOff>0</xdr:rowOff>
    </xdr:from>
    <xdr:to>
      <xdr:col>25</xdr:col>
      <xdr:colOff>622300</xdr:colOff>
      <xdr:row>157</xdr:row>
      <xdr:rowOff>101601</xdr:rowOff>
    </xdr:to>
    <xdr:sp macro="" textlink="">
      <xdr:nvSpPr>
        <xdr:cNvPr id="7233" name="AutoShape 4161" descr="alert toggle">
          <a:extLst>
            <a:ext uri="{FF2B5EF4-FFF2-40B4-BE49-F238E27FC236}">
              <a16:creationId xmlns:a16="http://schemas.microsoft.com/office/drawing/2014/main" id="{E2EB83BE-2C60-E1F9-B937-5A946BE87E7D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516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157</xdr:row>
      <xdr:rowOff>0</xdr:rowOff>
    </xdr:from>
    <xdr:to>
      <xdr:col>25</xdr:col>
      <xdr:colOff>304800</xdr:colOff>
      <xdr:row>158</xdr:row>
      <xdr:rowOff>101600</xdr:rowOff>
    </xdr:to>
    <xdr:sp macro="" textlink="">
      <xdr:nvSpPr>
        <xdr:cNvPr id="7236" name="AutoShape 4164" descr="note-add">
          <a:extLst>
            <a:ext uri="{FF2B5EF4-FFF2-40B4-BE49-F238E27FC236}">
              <a16:creationId xmlns:a16="http://schemas.microsoft.com/office/drawing/2014/main" id="{5378FDB2-640E-0206-ED82-5574EBBF6D49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519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157</xdr:row>
      <xdr:rowOff>0</xdr:rowOff>
    </xdr:from>
    <xdr:to>
      <xdr:col>25</xdr:col>
      <xdr:colOff>622300</xdr:colOff>
      <xdr:row>158</xdr:row>
      <xdr:rowOff>101600</xdr:rowOff>
    </xdr:to>
    <xdr:sp macro="" textlink="">
      <xdr:nvSpPr>
        <xdr:cNvPr id="7237" name="AutoShape 4165" descr="alert toggle">
          <a:extLst>
            <a:ext uri="{FF2B5EF4-FFF2-40B4-BE49-F238E27FC236}">
              <a16:creationId xmlns:a16="http://schemas.microsoft.com/office/drawing/2014/main" id="{20AB3EC0-020C-CA83-7212-4449EF55FA27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519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158</xdr:row>
      <xdr:rowOff>0</xdr:rowOff>
    </xdr:from>
    <xdr:to>
      <xdr:col>25</xdr:col>
      <xdr:colOff>304800</xdr:colOff>
      <xdr:row>159</xdr:row>
      <xdr:rowOff>101600</xdr:rowOff>
    </xdr:to>
    <xdr:sp macro="" textlink="">
      <xdr:nvSpPr>
        <xdr:cNvPr id="7240" name="AutoShape 4168" descr="note-add">
          <a:extLst>
            <a:ext uri="{FF2B5EF4-FFF2-40B4-BE49-F238E27FC236}">
              <a16:creationId xmlns:a16="http://schemas.microsoft.com/office/drawing/2014/main" id="{AB2EBF25-E2F8-4A9A-2281-8934D0C343D3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521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158</xdr:row>
      <xdr:rowOff>0</xdr:rowOff>
    </xdr:from>
    <xdr:to>
      <xdr:col>25</xdr:col>
      <xdr:colOff>622300</xdr:colOff>
      <xdr:row>159</xdr:row>
      <xdr:rowOff>101600</xdr:rowOff>
    </xdr:to>
    <xdr:sp macro="" textlink="">
      <xdr:nvSpPr>
        <xdr:cNvPr id="7241" name="AutoShape 4169" descr="alert toggle">
          <a:extLst>
            <a:ext uri="{FF2B5EF4-FFF2-40B4-BE49-F238E27FC236}">
              <a16:creationId xmlns:a16="http://schemas.microsoft.com/office/drawing/2014/main" id="{B8CA5DC8-BF09-F8E7-712F-549CCE787281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521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159</xdr:row>
      <xdr:rowOff>0</xdr:rowOff>
    </xdr:from>
    <xdr:to>
      <xdr:col>25</xdr:col>
      <xdr:colOff>304800</xdr:colOff>
      <xdr:row>160</xdr:row>
      <xdr:rowOff>101601</xdr:rowOff>
    </xdr:to>
    <xdr:sp macro="" textlink="">
      <xdr:nvSpPr>
        <xdr:cNvPr id="7244" name="AutoShape 4172" descr="note-add">
          <a:extLst>
            <a:ext uri="{FF2B5EF4-FFF2-40B4-BE49-F238E27FC236}">
              <a16:creationId xmlns:a16="http://schemas.microsoft.com/office/drawing/2014/main" id="{22486A1F-012F-28AC-2B2F-414A94E69150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524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159</xdr:row>
      <xdr:rowOff>0</xdr:rowOff>
    </xdr:from>
    <xdr:to>
      <xdr:col>25</xdr:col>
      <xdr:colOff>622300</xdr:colOff>
      <xdr:row>160</xdr:row>
      <xdr:rowOff>101601</xdr:rowOff>
    </xdr:to>
    <xdr:sp macro="" textlink="">
      <xdr:nvSpPr>
        <xdr:cNvPr id="7245" name="AutoShape 4173" descr="alert toggle">
          <a:extLst>
            <a:ext uri="{FF2B5EF4-FFF2-40B4-BE49-F238E27FC236}">
              <a16:creationId xmlns:a16="http://schemas.microsoft.com/office/drawing/2014/main" id="{91578196-8E79-F1DB-8458-995F197B0499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524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160</xdr:row>
      <xdr:rowOff>0</xdr:rowOff>
    </xdr:from>
    <xdr:to>
      <xdr:col>25</xdr:col>
      <xdr:colOff>304800</xdr:colOff>
      <xdr:row>161</xdr:row>
      <xdr:rowOff>101600</xdr:rowOff>
    </xdr:to>
    <xdr:sp macro="" textlink="">
      <xdr:nvSpPr>
        <xdr:cNvPr id="7248" name="AutoShape 4176" descr="note-add">
          <a:extLst>
            <a:ext uri="{FF2B5EF4-FFF2-40B4-BE49-F238E27FC236}">
              <a16:creationId xmlns:a16="http://schemas.microsoft.com/office/drawing/2014/main" id="{3E1FF3E6-12DF-27A0-D69E-B26470D918E9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527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71</xdr:row>
      <xdr:rowOff>0</xdr:rowOff>
    </xdr:from>
    <xdr:to>
      <xdr:col>21</xdr:col>
      <xdr:colOff>304800</xdr:colOff>
      <xdr:row>72</xdr:row>
      <xdr:rowOff>114300</xdr:rowOff>
    </xdr:to>
    <xdr:sp macro="" textlink="">
      <xdr:nvSpPr>
        <xdr:cNvPr id="7249" name="AutoShape 4177" descr="note-add">
          <a:extLst>
            <a:ext uri="{FF2B5EF4-FFF2-40B4-BE49-F238E27FC236}">
              <a16:creationId xmlns:a16="http://schemas.microsoft.com/office/drawing/2014/main" id="{A6D60672-6722-BC50-CDC8-CF82BF130391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225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71</xdr:row>
      <xdr:rowOff>0</xdr:rowOff>
    </xdr:from>
    <xdr:to>
      <xdr:col>21</xdr:col>
      <xdr:colOff>622300</xdr:colOff>
      <xdr:row>72</xdr:row>
      <xdr:rowOff>114300</xdr:rowOff>
    </xdr:to>
    <xdr:sp macro="" textlink="">
      <xdr:nvSpPr>
        <xdr:cNvPr id="7250" name="AutoShape 4178" descr="alert toggle">
          <a:extLst>
            <a:ext uri="{FF2B5EF4-FFF2-40B4-BE49-F238E27FC236}">
              <a16:creationId xmlns:a16="http://schemas.microsoft.com/office/drawing/2014/main" id="{EC77E7E9-EA9C-C4D5-A43E-B0DC7048E196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225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347</xdr:row>
      <xdr:rowOff>0</xdr:rowOff>
    </xdr:from>
    <xdr:ext cx="304800" cy="279400"/>
    <xdr:sp macro="" textlink="">
      <xdr:nvSpPr>
        <xdr:cNvPr id="7253" name="AutoShape 4181" descr="note-add">
          <a:extLst>
            <a:ext uri="{FF2B5EF4-FFF2-40B4-BE49-F238E27FC236}">
              <a16:creationId xmlns:a16="http://schemas.microsoft.com/office/drawing/2014/main" id="{7BE8479B-307F-DD7D-A2E2-4D24FF664063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6200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347</xdr:row>
      <xdr:rowOff>0</xdr:rowOff>
    </xdr:from>
    <xdr:ext cx="304800" cy="279400"/>
    <xdr:sp macro="" textlink="">
      <xdr:nvSpPr>
        <xdr:cNvPr id="7254" name="AutoShape 4182" descr="alert toggle">
          <a:extLst>
            <a:ext uri="{FF2B5EF4-FFF2-40B4-BE49-F238E27FC236}">
              <a16:creationId xmlns:a16="http://schemas.microsoft.com/office/drawing/2014/main" id="{D36E7EFC-E5F8-AAFD-5D03-8EBCB292C63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6200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346</xdr:row>
      <xdr:rowOff>0</xdr:rowOff>
    </xdr:from>
    <xdr:ext cx="304800" cy="279400"/>
    <xdr:sp macro="" textlink="">
      <xdr:nvSpPr>
        <xdr:cNvPr id="7257" name="AutoShape 4185" descr="note-add">
          <a:extLst>
            <a:ext uri="{FF2B5EF4-FFF2-40B4-BE49-F238E27FC236}">
              <a16:creationId xmlns:a16="http://schemas.microsoft.com/office/drawing/2014/main" id="{267A42C8-5739-D7BD-B314-DA6AB4EB6E06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592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346</xdr:row>
      <xdr:rowOff>0</xdr:rowOff>
    </xdr:from>
    <xdr:ext cx="304800" cy="279400"/>
    <xdr:sp macro="" textlink="">
      <xdr:nvSpPr>
        <xdr:cNvPr id="7258" name="AutoShape 4186" descr="alert toggle">
          <a:extLst>
            <a:ext uri="{FF2B5EF4-FFF2-40B4-BE49-F238E27FC236}">
              <a16:creationId xmlns:a16="http://schemas.microsoft.com/office/drawing/2014/main" id="{75B912C0-A76F-66DE-9196-C53AD88C922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5920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340</xdr:row>
      <xdr:rowOff>0</xdr:rowOff>
    </xdr:from>
    <xdr:ext cx="304800" cy="279400"/>
    <xdr:sp macro="" textlink="">
      <xdr:nvSpPr>
        <xdr:cNvPr id="7261" name="AutoShape 4189" descr="note-add">
          <a:extLst>
            <a:ext uri="{FF2B5EF4-FFF2-40B4-BE49-F238E27FC236}">
              <a16:creationId xmlns:a16="http://schemas.microsoft.com/office/drawing/2014/main" id="{C3CBFC14-0A0B-32EF-67AB-415E9199D84E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4803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340</xdr:row>
      <xdr:rowOff>0</xdr:rowOff>
    </xdr:from>
    <xdr:ext cx="304800" cy="279400"/>
    <xdr:sp macro="" textlink="">
      <xdr:nvSpPr>
        <xdr:cNvPr id="7262" name="AutoShape 4190" descr="alert toggle">
          <a:extLst>
            <a:ext uri="{FF2B5EF4-FFF2-40B4-BE49-F238E27FC236}">
              <a16:creationId xmlns:a16="http://schemas.microsoft.com/office/drawing/2014/main" id="{EE57DE90-40D9-47ED-0D15-D7EE79BBA78E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4803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353</xdr:row>
      <xdr:rowOff>0</xdr:rowOff>
    </xdr:from>
    <xdr:ext cx="304800" cy="279400"/>
    <xdr:sp macro="" textlink="">
      <xdr:nvSpPr>
        <xdr:cNvPr id="7265" name="AutoShape 4193" descr="note-add">
          <a:extLst>
            <a:ext uri="{FF2B5EF4-FFF2-40B4-BE49-F238E27FC236}">
              <a16:creationId xmlns:a16="http://schemas.microsoft.com/office/drawing/2014/main" id="{235B33A7-4BEC-F212-50BB-FAFC04700F47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787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353</xdr:row>
      <xdr:rowOff>0</xdr:rowOff>
    </xdr:from>
    <xdr:ext cx="304800" cy="279400"/>
    <xdr:sp macro="" textlink="">
      <xdr:nvSpPr>
        <xdr:cNvPr id="7266" name="AutoShape 4194" descr="alert toggle">
          <a:extLst>
            <a:ext uri="{FF2B5EF4-FFF2-40B4-BE49-F238E27FC236}">
              <a16:creationId xmlns:a16="http://schemas.microsoft.com/office/drawing/2014/main" id="{542815EC-7C13-E0D9-D754-3EF9055A6DDF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7876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343</xdr:row>
      <xdr:rowOff>0</xdr:rowOff>
    </xdr:from>
    <xdr:ext cx="304800" cy="279400"/>
    <xdr:sp macro="" textlink="">
      <xdr:nvSpPr>
        <xdr:cNvPr id="7269" name="AutoShape 4197" descr="note-add">
          <a:extLst>
            <a:ext uri="{FF2B5EF4-FFF2-40B4-BE49-F238E27FC236}">
              <a16:creationId xmlns:a16="http://schemas.microsoft.com/office/drawing/2014/main" id="{AF121513-6C2B-7E4B-8608-B693CADBE23B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5361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343</xdr:row>
      <xdr:rowOff>0</xdr:rowOff>
    </xdr:from>
    <xdr:ext cx="304800" cy="279400"/>
    <xdr:sp macro="" textlink="">
      <xdr:nvSpPr>
        <xdr:cNvPr id="7270" name="AutoShape 4198" descr="alert toggle">
          <a:extLst>
            <a:ext uri="{FF2B5EF4-FFF2-40B4-BE49-F238E27FC236}">
              <a16:creationId xmlns:a16="http://schemas.microsoft.com/office/drawing/2014/main" id="{85E58059-6DDE-6595-5E1E-210DB96BC699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5361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345</xdr:row>
      <xdr:rowOff>0</xdr:rowOff>
    </xdr:from>
    <xdr:ext cx="304800" cy="279400"/>
    <xdr:sp macro="" textlink="">
      <xdr:nvSpPr>
        <xdr:cNvPr id="7273" name="AutoShape 4201" descr="note-add">
          <a:extLst>
            <a:ext uri="{FF2B5EF4-FFF2-40B4-BE49-F238E27FC236}">
              <a16:creationId xmlns:a16="http://schemas.microsoft.com/office/drawing/2014/main" id="{A1CF125D-9DF6-C8DA-2C73-2522AC83471A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2564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345</xdr:row>
      <xdr:rowOff>0</xdr:rowOff>
    </xdr:from>
    <xdr:ext cx="304800" cy="279400"/>
    <xdr:sp macro="" textlink="">
      <xdr:nvSpPr>
        <xdr:cNvPr id="7274" name="AutoShape 4202" descr="alert toggle">
          <a:extLst>
            <a:ext uri="{FF2B5EF4-FFF2-40B4-BE49-F238E27FC236}">
              <a16:creationId xmlns:a16="http://schemas.microsoft.com/office/drawing/2014/main" id="{0C0B82E9-54B5-19E9-0963-E27F38D5A32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25641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26</xdr:col>
      <xdr:colOff>0</xdr:colOff>
      <xdr:row>36</xdr:row>
      <xdr:rowOff>0</xdr:rowOff>
    </xdr:from>
    <xdr:to>
      <xdr:col>26</xdr:col>
      <xdr:colOff>304800</xdr:colOff>
      <xdr:row>37</xdr:row>
      <xdr:rowOff>101601</xdr:rowOff>
    </xdr:to>
    <xdr:sp macro="" textlink="">
      <xdr:nvSpPr>
        <xdr:cNvPr id="7379" name="AutoShape 4307" descr="note-add">
          <a:extLst>
            <a:ext uri="{FF2B5EF4-FFF2-40B4-BE49-F238E27FC236}">
              <a16:creationId xmlns:a16="http://schemas.microsoft.com/office/drawing/2014/main" id="{ADC037BB-3407-0FEF-3540-56CFC03123C2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11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36</xdr:row>
      <xdr:rowOff>0</xdr:rowOff>
    </xdr:from>
    <xdr:to>
      <xdr:col>26</xdr:col>
      <xdr:colOff>622300</xdr:colOff>
      <xdr:row>37</xdr:row>
      <xdr:rowOff>101601</xdr:rowOff>
    </xdr:to>
    <xdr:sp macro="" textlink="">
      <xdr:nvSpPr>
        <xdr:cNvPr id="7380" name="AutoShape 4308" descr="alert toggle">
          <a:extLst>
            <a:ext uri="{FF2B5EF4-FFF2-40B4-BE49-F238E27FC236}">
              <a16:creationId xmlns:a16="http://schemas.microsoft.com/office/drawing/2014/main" id="{C7210331-8D8D-3F00-2D97-A409D3BA190C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11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37</xdr:row>
      <xdr:rowOff>0</xdr:rowOff>
    </xdr:from>
    <xdr:to>
      <xdr:col>26</xdr:col>
      <xdr:colOff>304800</xdr:colOff>
      <xdr:row>38</xdr:row>
      <xdr:rowOff>101600</xdr:rowOff>
    </xdr:to>
    <xdr:sp macro="" textlink="">
      <xdr:nvSpPr>
        <xdr:cNvPr id="7383" name="AutoShape 4311" descr="note-add">
          <a:extLst>
            <a:ext uri="{FF2B5EF4-FFF2-40B4-BE49-F238E27FC236}">
              <a16:creationId xmlns:a16="http://schemas.microsoft.com/office/drawing/2014/main" id="{C3D746B8-E3A1-CD15-96B3-E17CE522D94A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1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37</xdr:row>
      <xdr:rowOff>0</xdr:rowOff>
    </xdr:from>
    <xdr:to>
      <xdr:col>26</xdr:col>
      <xdr:colOff>622300</xdr:colOff>
      <xdr:row>38</xdr:row>
      <xdr:rowOff>101600</xdr:rowOff>
    </xdr:to>
    <xdr:sp macro="" textlink="">
      <xdr:nvSpPr>
        <xdr:cNvPr id="7384" name="AutoShape 4312" descr="alert toggle">
          <a:extLst>
            <a:ext uri="{FF2B5EF4-FFF2-40B4-BE49-F238E27FC236}">
              <a16:creationId xmlns:a16="http://schemas.microsoft.com/office/drawing/2014/main" id="{FEEFD097-F499-AB21-21E6-0FDCF43AB8F0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1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38</xdr:row>
      <xdr:rowOff>0</xdr:rowOff>
    </xdr:from>
    <xdr:to>
      <xdr:col>26</xdr:col>
      <xdr:colOff>304800</xdr:colOff>
      <xdr:row>39</xdr:row>
      <xdr:rowOff>101601</xdr:rowOff>
    </xdr:to>
    <xdr:sp macro="" textlink="">
      <xdr:nvSpPr>
        <xdr:cNvPr id="7387" name="AutoShape 4315" descr="note-add">
          <a:extLst>
            <a:ext uri="{FF2B5EF4-FFF2-40B4-BE49-F238E27FC236}">
              <a16:creationId xmlns:a16="http://schemas.microsoft.com/office/drawing/2014/main" id="{0F632197-E523-85EA-5BD3-E7E4C36024E4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16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38</xdr:row>
      <xdr:rowOff>0</xdr:rowOff>
    </xdr:from>
    <xdr:to>
      <xdr:col>26</xdr:col>
      <xdr:colOff>622300</xdr:colOff>
      <xdr:row>39</xdr:row>
      <xdr:rowOff>101601</xdr:rowOff>
    </xdr:to>
    <xdr:sp macro="" textlink="">
      <xdr:nvSpPr>
        <xdr:cNvPr id="7388" name="AutoShape 4316" descr="alert toggle">
          <a:extLst>
            <a:ext uri="{FF2B5EF4-FFF2-40B4-BE49-F238E27FC236}">
              <a16:creationId xmlns:a16="http://schemas.microsoft.com/office/drawing/2014/main" id="{BB761F9D-C2DB-2C94-2A10-24F015AC175B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16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39</xdr:row>
      <xdr:rowOff>0</xdr:rowOff>
    </xdr:from>
    <xdr:to>
      <xdr:col>26</xdr:col>
      <xdr:colOff>304800</xdr:colOff>
      <xdr:row>40</xdr:row>
      <xdr:rowOff>101600</xdr:rowOff>
    </xdr:to>
    <xdr:sp macro="" textlink="">
      <xdr:nvSpPr>
        <xdr:cNvPr id="7391" name="AutoShape 4319" descr="note-add">
          <a:extLst>
            <a:ext uri="{FF2B5EF4-FFF2-40B4-BE49-F238E27FC236}">
              <a16:creationId xmlns:a16="http://schemas.microsoft.com/office/drawing/2014/main" id="{2AE5B93B-9444-35AD-991A-BF58CDD6739A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19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39</xdr:row>
      <xdr:rowOff>0</xdr:rowOff>
    </xdr:from>
    <xdr:to>
      <xdr:col>26</xdr:col>
      <xdr:colOff>622300</xdr:colOff>
      <xdr:row>40</xdr:row>
      <xdr:rowOff>101600</xdr:rowOff>
    </xdr:to>
    <xdr:sp macro="" textlink="">
      <xdr:nvSpPr>
        <xdr:cNvPr id="7392" name="AutoShape 4320" descr="alert toggle">
          <a:extLst>
            <a:ext uri="{FF2B5EF4-FFF2-40B4-BE49-F238E27FC236}">
              <a16:creationId xmlns:a16="http://schemas.microsoft.com/office/drawing/2014/main" id="{BEBCB374-04DC-02C3-6EF9-44D017AF1391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19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304800</xdr:colOff>
      <xdr:row>41</xdr:row>
      <xdr:rowOff>101600</xdr:rowOff>
    </xdr:to>
    <xdr:sp macro="" textlink="">
      <xdr:nvSpPr>
        <xdr:cNvPr id="7395" name="AutoShape 4323" descr="note-add">
          <a:extLst>
            <a:ext uri="{FF2B5EF4-FFF2-40B4-BE49-F238E27FC236}">
              <a16:creationId xmlns:a16="http://schemas.microsoft.com/office/drawing/2014/main" id="{F9DC3530-A423-EF3B-C982-5FC635AA402E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22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40</xdr:row>
      <xdr:rowOff>0</xdr:rowOff>
    </xdr:from>
    <xdr:to>
      <xdr:col>26</xdr:col>
      <xdr:colOff>622300</xdr:colOff>
      <xdr:row>41</xdr:row>
      <xdr:rowOff>101600</xdr:rowOff>
    </xdr:to>
    <xdr:sp macro="" textlink="">
      <xdr:nvSpPr>
        <xdr:cNvPr id="7396" name="AutoShape 4324" descr="alert toggle">
          <a:extLst>
            <a:ext uri="{FF2B5EF4-FFF2-40B4-BE49-F238E27FC236}">
              <a16:creationId xmlns:a16="http://schemas.microsoft.com/office/drawing/2014/main" id="{C7F19DC9-3DA7-82A0-1876-DEBF07CACB4A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22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41</xdr:row>
      <xdr:rowOff>0</xdr:rowOff>
    </xdr:from>
    <xdr:to>
      <xdr:col>26</xdr:col>
      <xdr:colOff>304800</xdr:colOff>
      <xdr:row>42</xdr:row>
      <xdr:rowOff>101600</xdr:rowOff>
    </xdr:to>
    <xdr:sp macro="" textlink="">
      <xdr:nvSpPr>
        <xdr:cNvPr id="7399" name="AutoShape 4327" descr="note-add">
          <a:extLst>
            <a:ext uri="{FF2B5EF4-FFF2-40B4-BE49-F238E27FC236}">
              <a16:creationId xmlns:a16="http://schemas.microsoft.com/office/drawing/2014/main" id="{5594B166-82B9-BB1D-C445-98EC087B4850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25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41</xdr:row>
      <xdr:rowOff>0</xdr:rowOff>
    </xdr:from>
    <xdr:to>
      <xdr:col>26</xdr:col>
      <xdr:colOff>622300</xdr:colOff>
      <xdr:row>42</xdr:row>
      <xdr:rowOff>101600</xdr:rowOff>
    </xdr:to>
    <xdr:sp macro="" textlink="">
      <xdr:nvSpPr>
        <xdr:cNvPr id="7400" name="AutoShape 4328" descr="alert toggle">
          <a:extLst>
            <a:ext uri="{FF2B5EF4-FFF2-40B4-BE49-F238E27FC236}">
              <a16:creationId xmlns:a16="http://schemas.microsoft.com/office/drawing/2014/main" id="{EAB56428-F05F-CEBF-5592-63B0DF83CA20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25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41</xdr:row>
      <xdr:rowOff>0</xdr:rowOff>
    </xdr:from>
    <xdr:to>
      <xdr:col>26</xdr:col>
      <xdr:colOff>304800</xdr:colOff>
      <xdr:row>42</xdr:row>
      <xdr:rowOff>101600</xdr:rowOff>
    </xdr:to>
    <xdr:sp macro="" textlink="">
      <xdr:nvSpPr>
        <xdr:cNvPr id="7403" name="AutoShape 4331" descr="note-add">
          <a:extLst>
            <a:ext uri="{FF2B5EF4-FFF2-40B4-BE49-F238E27FC236}">
              <a16:creationId xmlns:a16="http://schemas.microsoft.com/office/drawing/2014/main" id="{731104D1-DE72-BFD7-42B1-7C7D0805AFCF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27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41</xdr:row>
      <xdr:rowOff>0</xdr:rowOff>
    </xdr:from>
    <xdr:to>
      <xdr:col>26</xdr:col>
      <xdr:colOff>622300</xdr:colOff>
      <xdr:row>42</xdr:row>
      <xdr:rowOff>101600</xdr:rowOff>
    </xdr:to>
    <xdr:sp macro="" textlink="">
      <xdr:nvSpPr>
        <xdr:cNvPr id="7404" name="AutoShape 4332" descr="alert toggle">
          <a:extLst>
            <a:ext uri="{FF2B5EF4-FFF2-40B4-BE49-F238E27FC236}">
              <a16:creationId xmlns:a16="http://schemas.microsoft.com/office/drawing/2014/main" id="{62FAC728-D6BF-1BA2-E1B9-FD709C4F5119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27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304800</xdr:colOff>
      <xdr:row>43</xdr:row>
      <xdr:rowOff>101599</xdr:rowOff>
    </xdr:to>
    <xdr:sp macro="" textlink="">
      <xdr:nvSpPr>
        <xdr:cNvPr id="7407" name="AutoShape 4335" descr="note-add">
          <a:extLst>
            <a:ext uri="{FF2B5EF4-FFF2-40B4-BE49-F238E27FC236}">
              <a16:creationId xmlns:a16="http://schemas.microsoft.com/office/drawing/2014/main" id="{893FB865-B0B7-FE55-4D17-6158975D03DC}"/>
            </a:ext>
          </a:extLst>
        </xdr:cNvPr>
        <xdr:cNvSpPr>
          <a:spLocks noChangeAspect="1" noChangeArrowheads="1"/>
        </xdr:cNvSpPr>
      </xdr:nvSpPr>
      <xdr:spPr bwMode="auto">
        <a:xfrm>
          <a:off x="3473450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317500</xdr:colOff>
      <xdr:row>42</xdr:row>
      <xdr:rowOff>0</xdr:rowOff>
    </xdr:from>
    <xdr:to>
      <xdr:col>26</xdr:col>
      <xdr:colOff>622300</xdr:colOff>
      <xdr:row>43</xdr:row>
      <xdr:rowOff>101599</xdr:rowOff>
    </xdr:to>
    <xdr:sp macro="" textlink="">
      <xdr:nvSpPr>
        <xdr:cNvPr id="7408" name="AutoShape 4336" descr="alert toggle">
          <a:extLst>
            <a:ext uri="{FF2B5EF4-FFF2-40B4-BE49-F238E27FC236}">
              <a16:creationId xmlns:a16="http://schemas.microsoft.com/office/drawing/2014/main" id="{A0D52E9E-7C84-9D96-DA20-2176EB624E01}"/>
            </a:ext>
          </a:extLst>
        </xdr:cNvPr>
        <xdr:cNvSpPr>
          <a:spLocks noChangeAspect="1" noChangeArrowheads="1"/>
        </xdr:cNvSpPr>
      </xdr:nvSpPr>
      <xdr:spPr bwMode="auto">
        <a:xfrm>
          <a:off x="3505200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0</xdr:colOff>
      <xdr:row>275</xdr:row>
      <xdr:rowOff>0</xdr:rowOff>
    </xdr:from>
    <xdr:to>
      <xdr:col>22</xdr:col>
      <xdr:colOff>304800</xdr:colOff>
      <xdr:row>276</xdr:row>
      <xdr:rowOff>101599</xdr:rowOff>
    </xdr:to>
    <xdr:sp macro="" textlink="">
      <xdr:nvSpPr>
        <xdr:cNvPr id="7411" name="AutoShape 4339" descr="note-add">
          <a:extLst>
            <a:ext uri="{FF2B5EF4-FFF2-40B4-BE49-F238E27FC236}">
              <a16:creationId xmlns:a16="http://schemas.microsoft.com/office/drawing/2014/main" id="{CECEA23E-799A-3CD8-318E-CF90C4B2DAA2}"/>
            </a:ext>
          </a:extLst>
        </xdr:cNvPr>
        <xdr:cNvSpPr>
          <a:spLocks noChangeAspect="1" noChangeArrowheads="1"/>
        </xdr:cNvSpPr>
      </xdr:nvSpPr>
      <xdr:spPr bwMode="auto">
        <a:xfrm>
          <a:off x="28740100" y="340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317500</xdr:colOff>
      <xdr:row>275</xdr:row>
      <xdr:rowOff>0</xdr:rowOff>
    </xdr:from>
    <xdr:to>
      <xdr:col>22</xdr:col>
      <xdr:colOff>622300</xdr:colOff>
      <xdr:row>276</xdr:row>
      <xdr:rowOff>101599</xdr:rowOff>
    </xdr:to>
    <xdr:sp macro="" textlink="">
      <xdr:nvSpPr>
        <xdr:cNvPr id="7412" name="AutoShape 4340" descr="alert toggle">
          <a:extLst>
            <a:ext uri="{FF2B5EF4-FFF2-40B4-BE49-F238E27FC236}">
              <a16:creationId xmlns:a16="http://schemas.microsoft.com/office/drawing/2014/main" id="{0FC3189B-99A5-E649-8599-F0D87F247E41}"/>
            </a:ext>
          </a:extLst>
        </xdr:cNvPr>
        <xdr:cNvSpPr>
          <a:spLocks noChangeAspect="1" noChangeArrowheads="1"/>
        </xdr:cNvSpPr>
      </xdr:nvSpPr>
      <xdr:spPr bwMode="auto">
        <a:xfrm>
          <a:off x="29057600" y="340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109</xdr:row>
      <xdr:rowOff>0</xdr:rowOff>
    </xdr:from>
    <xdr:to>
      <xdr:col>25</xdr:col>
      <xdr:colOff>304800</xdr:colOff>
      <xdr:row>110</xdr:row>
      <xdr:rowOff>101600</xdr:rowOff>
    </xdr:to>
    <xdr:sp macro="" textlink="">
      <xdr:nvSpPr>
        <xdr:cNvPr id="7415" name="AutoShape 4343" descr="note-add">
          <a:extLst>
            <a:ext uri="{FF2B5EF4-FFF2-40B4-BE49-F238E27FC236}">
              <a16:creationId xmlns:a16="http://schemas.microsoft.com/office/drawing/2014/main" id="{078CBD4D-EE6F-2D00-C73F-7E37EBF6A8BC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343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109</xdr:row>
      <xdr:rowOff>0</xdr:rowOff>
    </xdr:from>
    <xdr:to>
      <xdr:col>25</xdr:col>
      <xdr:colOff>622300</xdr:colOff>
      <xdr:row>110</xdr:row>
      <xdr:rowOff>101600</xdr:rowOff>
    </xdr:to>
    <xdr:sp macro="" textlink="">
      <xdr:nvSpPr>
        <xdr:cNvPr id="7416" name="AutoShape 4344" descr="alert toggle">
          <a:extLst>
            <a:ext uri="{FF2B5EF4-FFF2-40B4-BE49-F238E27FC236}">
              <a16:creationId xmlns:a16="http://schemas.microsoft.com/office/drawing/2014/main" id="{535D6600-9E44-91A7-FF11-18D60A5249D2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343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110</xdr:row>
      <xdr:rowOff>0</xdr:rowOff>
    </xdr:from>
    <xdr:to>
      <xdr:col>25</xdr:col>
      <xdr:colOff>304800</xdr:colOff>
      <xdr:row>111</xdr:row>
      <xdr:rowOff>101601</xdr:rowOff>
    </xdr:to>
    <xdr:sp macro="" textlink="">
      <xdr:nvSpPr>
        <xdr:cNvPr id="7419" name="AutoShape 4347" descr="note-add">
          <a:extLst>
            <a:ext uri="{FF2B5EF4-FFF2-40B4-BE49-F238E27FC236}">
              <a16:creationId xmlns:a16="http://schemas.microsoft.com/office/drawing/2014/main" id="{C8D64AD8-CF32-464F-929F-158FB9236D25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345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110</xdr:row>
      <xdr:rowOff>0</xdr:rowOff>
    </xdr:from>
    <xdr:to>
      <xdr:col>25</xdr:col>
      <xdr:colOff>622300</xdr:colOff>
      <xdr:row>111</xdr:row>
      <xdr:rowOff>101601</xdr:rowOff>
    </xdr:to>
    <xdr:sp macro="" textlink="">
      <xdr:nvSpPr>
        <xdr:cNvPr id="7420" name="AutoShape 4348" descr="alert toggle">
          <a:extLst>
            <a:ext uri="{FF2B5EF4-FFF2-40B4-BE49-F238E27FC236}">
              <a16:creationId xmlns:a16="http://schemas.microsoft.com/office/drawing/2014/main" id="{B11337E0-FBCF-DE1F-7562-266329F80D4A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345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111</xdr:row>
      <xdr:rowOff>0</xdr:rowOff>
    </xdr:from>
    <xdr:to>
      <xdr:col>25</xdr:col>
      <xdr:colOff>304800</xdr:colOff>
      <xdr:row>112</xdr:row>
      <xdr:rowOff>101600</xdr:rowOff>
    </xdr:to>
    <xdr:sp macro="" textlink="">
      <xdr:nvSpPr>
        <xdr:cNvPr id="7423" name="AutoShape 4351" descr="note-add">
          <a:extLst>
            <a:ext uri="{FF2B5EF4-FFF2-40B4-BE49-F238E27FC236}">
              <a16:creationId xmlns:a16="http://schemas.microsoft.com/office/drawing/2014/main" id="{64850A61-1F6B-317B-6185-49C807180511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111</xdr:row>
      <xdr:rowOff>0</xdr:rowOff>
    </xdr:from>
    <xdr:to>
      <xdr:col>25</xdr:col>
      <xdr:colOff>622300</xdr:colOff>
      <xdr:row>112</xdr:row>
      <xdr:rowOff>101600</xdr:rowOff>
    </xdr:to>
    <xdr:sp macro="" textlink="">
      <xdr:nvSpPr>
        <xdr:cNvPr id="7424" name="AutoShape 4352" descr="alert toggle">
          <a:extLst>
            <a:ext uri="{FF2B5EF4-FFF2-40B4-BE49-F238E27FC236}">
              <a16:creationId xmlns:a16="http://schemas.microsoft.com/office/drawing/2014/main" id="{12CDDC1D-1232-33B1-2793-9B121AC07CDD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34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112</xdr:row>
      <xdr:rowOff>0</xdr:rowOff>
    </xdr:from>
    <xdr:to>
      <xdr:col>25</xdr:col>
      <xdr:colOff>304800</xdr:colOff>
      <xdr:row>113</xdr:row>
      <xdr:rowOff>101601</xdr:rowOff>
    </xdr:to>
    <xdr:sp macro="" textlink="">
      <xdr:nvSpPr>
        <xdr:cNvPr id="7427" name="AutoShape 4355" descr="note-add">
          <a:extLst>
            <a:ext uri="{FF2B5EF4-FFF2-40B4-BE49-F238E27FC236}">
              <a16:creationId xmlns:a16="http://schemas.microsoft.com/office/drawing/2014/main" id="{BEFED5BB-1307-B776-70A6-B913A7439717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351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112</xdr:row>
      <xdr:rowOff>0</xdr:rowOff>
    </xdr:from>
    <xdr:to>
      <xdr:col>25</xdr:col>
      <xdr:colOff>622300</xdr:colOff>
      <xdr:row>113</xdr:row>
      <xdr:rowOff>101601</xdr:rowOff>
    </xdr:to>
    <xdr:sp macro="" textlink="">
      <xdr:nvSpPr>
        <xdr:cNvPr id="7428" name="AutoShape 4356" descr="alert toggle">
          <a:extLst>
            <a:ext uri="{FF2B5EF4-FFF2-40B4-BE49-F238E27FC236}">
              <a16:creationId xmlns:a16="http://schemas.microsoft.com/office/drawing/2014/main" id="{34F72056-A761-5B71-90D1-5FB112BAA96F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351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113</xdr:row>
      <xdr:rowOff>0</xdr:rowOff>
    </xdr:from>
    <xdr:to>
      <xdr:col>25</xdr:col>
      <xdr:colOff>304800</xdr:colOff>
      <xdr:row>114</xdr:row>
      <xdr:rowOff>111125</xdr:rowOff>
    </xdr:to>
    <xdr:sp macro="" textlink="">
      <xdr:nvSpPr>
        <xdr:cNvPr id="7431" name="AutoShape 4359" descr="note-add">
          <a:extLst>
            <a:ext uri="{FF2B5EF4-FFF2-40B4-BE49-F238E27FC236}">
              <a16:creationId xmlns:a16="http://schemas.microsoft.com/office/drawing/2014/main" id="{C0444596-7BAE-8E0D-D6CA-30D24CEDB622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354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113</xdr:row>
      <xdr:rowOff>0</xdr:rowOff>
    </xdr:from>
    <xdr:to>
      <xdr:col>25</xdr:col>
      <xdr:colOff>622300</xdr:colOff>
      <xdr:row>114</xdr:row>
      <xdr:rowOff>111125</xdr:rowOff>
    </xdr:to>
    <xdr:sp macro="" textlink="">
      <xdr:nvSpPr>
        <xdr:cNvPr id="7432" name="AutoShape 4360" descr="alert toggle">
          <a:extLst>
            <a:ext uri="{FF2B5EF4-FFF2-40B4-BE49-F238E27FC236}">
              <a16:creationId xmlns:a16="http://schemas.microsoft.com/office/drawing/2014/main" id="{1F12CEF2-95E0-EEFF-F844-A55C07C96087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354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114</xdr:row>
      <xdr:rowOff>0</xdr:rowOff>
    </xdr:from>
    <xdr:to>
      <xdr:col>25</xdr:col>
      <xdr:colOff>304800</xdr:colOff>
      <xdr:row>115</xdr:row>
      <xdr:rowOff>101601</xdr:rowOff>
    </xdr:to>
    <xdr:sp macro="" textlink="">
      <xdr:nvSpPr>
        <xdr:cNvPr id="7435" name="AutoShape 4363" descr="note-add">
          <a:extLst>
            <a:ext uri="{FF2B5EF4-FFF2-40B4-BE49-F238E27FC236}">
              <a16:creationId xmlns:a16="http://schemas.microsoft.com/office/drawing/2014/main" id="{34CAFF42-F302-2B3C-7DB8-C63495DE3FFD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356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114</xdr:row>
      <xdr:rowOff>0</xdr:rowOff>
    </xdr:from>
    <xdr:to>
      <xdr:col>25</xdr:col>
      <xdr:colOff>622300</xdr:colOff>
      <xdr:row>115</xdr:row>
      <xdr:rowOff>101601</xdr:rowOff>
    </xdr:to>
    <xdr:sp macro="" textlink="">
      <xdr:nvSpPr>
        <xdr:cNvPr id="7436" name="AutoShape 4364" descr="alert toggle">
          <a:extLst>
            <a:ext uri="{FF2B5EF4-FFF2-40B4-BE49-F238E27FC236}">
              <a16:creationId xmlns:a16="http://schemas.microsoft.com/office/drawing/2014/main" id="{E0A7E970-17E6-7C92-CD0E-6EA4A8912F1D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356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0</xdr:colOff>
      <xdr:row>115</xdr:row>
      <xdr:rowOff>0</xdr:rowOff>
    </xdr:from>
    <xdr:to>
      <xdr:col>25</xdr:col>
      <xdr:colOff>304800</xdr:colOff>
      <xdr:row>116</xdr:row>
      <xdr:rowOff>101599</xdr:rowOff>
    </xdr:to>
    <xdr:sp macro="" textlink="">
      <xdr:nvSpPr>
        <xdr:cNvPr id="7439" name="AutoShape 4367" descr="note-add">
          <a:extLst>
            <a:ext uri="{FF2B5EF4-FFF2-40B4-BE49-F238E27FC236}">
              <a16:creationId xmlns:a16="http://schemas.microsoft.com/office/drawing/2014/main" id="{4F631D55-B8CF-E6DD-3DE2-1D5101361879}"/>
            </a:ext>
          </a:extLst>
        </xdr:cNvPr>
        <xdr:cNvSpPr>
          <a:spLocks noChangeAspect="1" noChangeArrowheads="1"/>
        </xdr:cNvSpPr>
      </xdr:nvSpPr>
      <xdr:spPr bwMode="auto">
        <a:xfrm>
          <a:off x="33604200" y="359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25</xdr:col>
      <xdr:colOff>317500</xdr:colOff>
      <xdr:row>115</xdr:row>
      <xdr:rowOff>0</xdr:rowOff>
    </xdr:from>
    <xdr:to>
      <xdr:col>25</xdr:col>
      <xdr:colOff>622300</xdr:colOff>
      <xdr:row>116</xdr:row>
      <xdr:rowOff>101599</xdr:rowOff>
    </xdr:to>
    <xdr:sp macro="" textlink="">
      <xdr:nvSpPr>
        <xdr:cNvPr id="7440" name="AutoShape 4368" descr="alert toggle">
          <a:extLst>
            <a:ext uri="{FF2B5EF4-FFF2-40B4-BE49-F238E27FC236}">
              <a16:creationId xmlns:a16="http://schemas.microsoft.com/office/drawing/2014/main" id="{8E7C6013-6401-D787-7A73-66870EDD2909}"/>
            </a:ext>
          </a:extLst>
        </xdr:cNvPr>
        <xdr:cNvSpPr>
          <a:spLocks noChangeAspect="1" noChangeArrowheads="1"/>
        </xdr:cNvSpPr>
      </xdr:nvSpPr>
      <xdr:spPr bwMode="auto">
        <a:xfrm>
          <a:off x="33921700" y="359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245</xdr:row>
      <xdr:rowOff>0</xdr:rowOff>
    </xdr:from>
    <xdr:ext cx="304800" cy="279400"/>
    <xdr:sp macro="" textlink="">
      <xdr:nvSpPr>
        <xdr:cNvPr id="7443" name="AutoShape 4371" descr="note-add">
          <a:extLst>
            <a:ext uri="{FF2B5EF4-FFF2-40B4-BE49-F238E27FC236}">
              <a16:creationId xmlns:a16="http://schemas.microsoft.com/office/drawing/2014/main" id="{B865B854-BC8C-D384-F031-622C6EF5D003}"/>
            </a:ext>
          </a:extLst>
        </xdr:cNvPr>
        <xdr:cNvSpPr>
          <a:spLocks noChangeAspect="1" noChangeArrowheads="1"/>
        </xdr:cNvSpPr>
      </xdr:nvSpPr>
      <xdr:spPr bwMode="auto">
        <a:xfrm>
          <a:off x="17360900" y="37655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317500</xdr:colOff>
      <xdr:row>245</xdr:row>
      <xdr:rowOff>0</xdr:rowOff>
    </xdr:from>
    <xdr:ext cx="304800" cy="279400"/>
    <xdr:sp macro="" textlink="">
      <xdr:nvSpPr>
        <xdr:cNvPr id="7444" name="AutoShape 4372" descr="alert toggle">
          <a:extLst>
            <a:ext uri="{FF2B5EF4-FFF2-40B4-BE49-F238E27FC236}">
              <a16:creationId xmlns:a16="http://schemas.microsoft.com/office/drawing/2014/main" id="{245B6EA5-792E-274D-46B8-1547B11251FA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37655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38</xdr:col>
      <xdr:colOff>0</xdr:colOff>
      <xdr:row>193</xdr:row>
      <xdr:rowOff>0</xdr:rowOff>
    </xdr:from>
    <xdr:to>
      <xdr:col>38</xdr:col>
      <xdr:colOff>304800</xdr:colOff>
      <xdr:row>194</xdr:row>
      <xdr:rowOff>101599</xdr:rowOff>
    </xdr:to>
    <xdr:sp macro="" textlink="">
      <xdr:nvSpPr>
        <xdr:cNvPr id="7445" name="AutoShape 4373" descr="note-add">
          <a:extLst>
            <a:ext uri="{FF2B5EF4-FFF2-40B4-BE49-F238E27FC236}">
              <a16:creationId xmlns:a16="http://schemas.microsoft.com/office/drawing/2014/main" id="{8AE65008-0231-916E-DF84-7B1C5B0FDB21}"/>
            </a:ext>
          </a:extLst>
        </xdr:cNvPr>
        <xdr:cNvSpPr>
          <a:spLocks noChangeAspect="1" noChangeArrowheads="1"/>
        </xdr:cNvSpPr>
      </xdr:nvSpPr>
      <xdr:spPr bwMode="auto">
        <a:xfrm>
          <a:off x="44945300" y="622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317500</xdr:colOff>
      <xdr:row>193</xdr:row>
      <xdr:rowOff>0</xdr:rowOff>
    </xdr:from>
    <xdr:to>
      <xdr:col>38</xdr:col>
      <xdr:colOff>622300</xdr:colOff>
      <xdr:row>194</xdr:row>
      <xdr:rowOff>101599</xdr:rowOff>
    </xdr:to>
    <xdr:sp macro="" textlink="">
      <xdr:nvSpPr>
        <xdr:cNvPr id="7446" name="AutoShape 4374" descr="alert toggle">
          <a:extLst>
            <a:ext uri="{FF2B5EF4-FFF2-40B4-BE49-F238E27FC236}">
              <a16:creationId xmlns:a16="http://schemas.microsoft.com/office/drawing/2014/main" id="{72C75417-DFDB-CBA2-B18B-D2290657AA3A}"/>
            </a:ext>
          </a:extLst>
        </xdr:cNvPr>
        <xdr:cNvSpPr>
          <a:spLocks noChangeAspect="1" noChangeArrowheads="1"/>
        </xdr:cNvSpPr>
      </xdr:nvSpPr>
      <xdr:spPr bwMode="auto">
        <a:xfrm>
          <a:off x="45262800" y="622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193</xdr:row>
      <xdr:rowOff>0</xdr:rowOff>
    </xdr:from>
    <xdr:to>
      <xdr:col>41</xdr:col>
      <xdr:colOff>304800</xdr:colOff>
      <xdr:row>194</xdr:row>
      <xdr:rowOff>101601</xdr:rowOff>
    </xdr:to>
    <xdr:sp macro="" textlink="">
      <xdr:nvSpPr>
        <xdr:cNvPr id="7449" name="AutoShape 4377" descr="note-add">
          <a:extLst>
            <a:ext uri="{FF2B5EF4-FFF2-40B4-BE49-F238E27FC236}">
              <a16:creationId xmlns:a16="http://schemas.microsoft.com/office/drawing/2014/main" id="{CA79D91A-4E9C-6D6A-A840-23CA76428BC4}"/>
            </a:ext>
          </a:extLst>
        </xdr:cNvPr>
        <xdr:cNvSpPr>
          <a:spLocks noChangeAspect="1" noChangeArrowheads="1"/>
        </xdr:cNvSpPr>
      </xdr:nvSpPr>
      <xdr:spPr bwMode="auto">
        <a:xfrm>
          <a:off x="47421800" y="625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317500</xdr:colOff>
      <xdr:row>193</xdr:row>
      <xdr:rowOff>0</xdr:rowOff>
    </xdr:from>
    <xdr:to>
      <xdr:col>41</xdr:col>
      <xdr:colOff>622300</xdr:colOff>
      <xdr:row>194</xdr:row>
      <xdr:rowOff>101601</xdr:rowOff>
    </xdr:to>
    <xdr:sp macro="" textlink="">
      <xdr:nvSpPr>
        <xdr:cNvPr id="7450" name="AutoShape 4378" descr="alert toggle">
          <a:extLst>
            <a:ext uri="{FF2B5EF4-FFF2-40B4-BE49-F238E27FC236}">
              <a16:creationId xmlns:a16="http://schemas.microsoft.com/office/drawing/2014/main" id="{0D210C81-7C9C-F883-147E-E28ED01EB94F}"/>
            </a:ext>
          </a:extLst>
        </xdr:cNvPr>
        <xdr:cNvSpPr>
          <a:spLocks noChangeAspect="1" noChangeArrowheads="1"/>
        </xdr:cNvSpPr>
      </xdr:nvSpPr>
      <xdr:spPr bwMode="auto">
        <a:xfrm>
          <a:off x="47739300" y="625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194</xdr:row>
      <xdr:rowOff>0</xdr:rowOff>
    </xdr:from>
    <xdr:to>
      <xdr:col>41</xdr:col>
      <xdr:colOff>304800</xdr:colOff>
      <xdr:row>195</xdr:row>
      <xdr:rowOff>114300</xdr:rowOff>
    </xdr:to>
    <xdr:sp macro="" textlink="">
      <xdr:nvSpPr>
        <xdr:cNvPr id="7453" name="AutoShape 4381" descr="note-add">
          <a:extLst>
            <a:ext uri="{FF2B5EF4-FFF2-40B4-BE49-F238E27FC236}">
              <a16:creationId xmlns:a16="http://schemas.microsoft.com/office/drawing/2014/main" id="{4805B5E0-D3D0-2F9B-2629-5CD9729FF52D}"/>
            </a:ext>
          </a:extLst>
        </xdr:cNvPr>
        <xdr:cNvSpPr>
          <a:spLocks noChangeAspect="1" noChangeArrowheads="1"/>
        </xdr:cNvSpPr>
      </xdr:nvSpPr>
      <xdr:spPr bwMode="auto">
        <a:xfrm>
          <a:off x="47421800" y="628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317500</xdr:colOff>
      <xdr:row>194</xdr:row>
      <xdr:rowOff>0</xdr:rowOff>
    </xdr:from>
    <xdr:to>
      <xdr:col>41</xdr:col>
      <xdr:colOff>622300</xdr:colOff>
      <xdr:row>195</xdr:row>
      <xdr:rowOff>114300</xdr:rowOff>
    </xdr:to>
    <xdr:sp macro="" textlink="">
      <xdr:nvSpPr>
        <xdr:cNvPr id="7454" name="AutoShape 4382" descr="alert toggle">
          <a:extLst>
            <a:ext uri="{FF2B5EF4-FFF2-40B4-BE49-F238E27FC236}">
              <a16:creationId xmlns:a16="http://schemas.microsoft.com/office/drawing/2014/main" id="{D334D493-5DC6-EA2A-B9A9-D13DBB764491}"/>
            </a:ext>
          </a:extLst>
        </xdr:cNvPr>
        <xdr:cNvSpPr>
          <a:spLocks noChangeAspect="1" noChangeArrowheads="1"/>
        </xdr:cNvSpPr>
      </xdr:nvSpPr>
      <xdr:spPr bwMode="auto">
        <a:xfrm>
          <a:off x="47739300" y="628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195</xdr:row>
      <xdr:rowOff>0</xdr:rowOff>
    </xdr:from>
    <xdr:to>
      <xdr:col>41</xdr:col>
      <xdr:colOff>304800</xdr:colOff>
      <xdr:row>196</xdr:row>
      <xdr:rowOff>114301</xdr:rowOff>
    </xdr:to>
    <xdr:sp macro="" textlink="">
      <xdr:nvSpPr>
        <xdr:cNvPr id="7457" name="AutoShape 4385" descr="note-add">
          <a:extLst>
            <a:ext uri="{FF2B5EF4-FFF2-40B4-BE49-F238E27FC236}">
              <a16:creationId xmlns:a16="http://schemas.microsoft.com/office/drawing/2014/main" id="{434BF59F-B393-FADC-6496-EB237EE4C35B}"/>
            </a:ext>
          </a:extLst>
        </xdr:cNvPr>
        <xdr:cNvSpPr>
          <a:spLocks noChangeAspect="1" noChangeArrowheads="1"/>
        </xdr:cNvSpPr>
      </xdr:nvSpPr>
      <xdr:spPr bwMode="auto">
        <a:xfrm>
          <a:off x="47421800" y="630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317500</xdr:colOff>
      <xdr:row>195</xdr:row>
      <xdr:rowOff>0</xdr:rowOff>
    </xdr:from>
    <xdr:to>
      <xdr:col>41</xdr:col>
      <xdr:colOff>622300</xdr:colOff>
      <xdr:row>196</xdr:row>
      <xdr:rowOff>114301</xdr:rowOff>
    </xdr:to>
    <xdr:sp macro="" textlink="">
      <xdr:nvSpPr>
        <xdr:cNvPr id="7458" name="AutoShape 4386" descr="alert toggle">
          <a:extLst>
            <a:ext uri="{FF2B5EF4-FFF2-40B4-BE49-F238E27FC236}">
              <a16:creationId xmlns:a16="http://schemas.microsoft.com/office/drawing/2014/main" id="{6A3EF71E-D809-DE0D-7756-C14BDFC54236}"/>
            </a:ext>
          </a:extLst>
        </xdr:cNvPr>
        <xdr:cNvSpPr>
          <a:spLocks noChangeAspect="1" noChangeArrowheads="1"/>
        </xdr:cNvSpPr>
      </xdr:nvSpPr>
      <xdr:spPr bwMode="auto">
        <a:xfrm>
          <a:off x="47739300" y="630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196</xdr:row>
      <xdr:rowOff>0</xdr:rowOff>
    </xdr:from>
    <xdr:to>
      <xdr:col>41</xdr:col>
      <xdr:colOff>304800</xdr:colOff>
      <xdr:row>197</xdr:row>
      <xdr:rowOff>123825</xdr:rowOff>
    </xdr:to>
    <xdr:sp macro="" textlink="">
      <xdr:nvSpPr>
        <xdr:cNvPr id="7461" name="AutoShape 4389" descr="note-add">
          <a:extLst>
            <a:ext uri="{FF2B5EF4-FFF2-40B4-BE49-F238E27FC236}">
              <a16:creationId xmlns:a16="http://schemas.microsoft.com/office/drawing/2014/main" id="{0C37EF51-719A-190D-754B-3E995751EE14}"/>
            </a:ext>
          </a:extLst>
        </xdr:cNvPr>
        <xdr:cNvSpPr>
          <a:spLocks noChangeAspect="1" noChangeArrowheads="1"/>
        </xdr:cNvSpPr>
      </xdr:nvSpPr>
      <xdr:spPr bwMode="auto">
        <a:xfrm>
          <a:off x="47421800" y="633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317500</xdr:colOff>
      <xdr:row>196</xdr:row>
      <xdr:rowOff>0</xdr:rowOff>
    </xdr:from>
    <xdr:to>
      <xdr:col>41</xdr:col>
      <xdr:colOff>622300</xdr:colOff>
      <xdr:row>197</xdr:row>
      <xdr:rowOff>123825</xdr:rowOff>
    </xdr:to>
    <xdr:sp macro="" textlink="">
      <xdr:nvSpPr>
        <xdr:cNvPr id="7462" name="AutoShape 4390" descr="alert toggle">
          <a:extLst>
            <a:ext uri="{FF2B5EF4-FFF2-40B4-BE49-F238E27FC236}">
              <a16:creationId xmlns:a16="http://schemas.microsoft.com/office/drawing/2014/main" id="{9969E12C-C845-6D3B-E4A6-34FACB9C553F}"/>
            </a:ext>
          </a:extLst>
        </xdr:cNvPr>
        <xdr:cNvSpPr>
          <a:spLocks noChangeAspect="1" noChangeArrowheads="1"/>
        </xdr:cNvSpPr>
      </xdr:nvSpPr>
      <xdr:spPr bwMode="auto">
        <a:xfrm>
          <a:off x="47739300" y="633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197</xdr:row>
      <xdr:rowOff>0</xdr:rowOff>
    </xdr:from>
    <xdr:to>
      <xdr:col>41</xdr:col>
      <xdr:colOff>304800</xdr:colOff>
      <xdr:row>198</xdr:row>
      <xdr:rowOff>114301</xdr:rowOff>
    </xdr:to>
    <xdr:sp macro="" textlink="">
      <xdr:nvSpPr>
        <xdr:cNvPr id="7465" name="AutoShape 4393" descr="note-add">
          <a:extLst>
            <a:ext uri="{FF2B5EF4-FFF2-40B4-BE49-F238E27FC236}">
              <a16:creationId xmlns:a16="http://schemas.microsoft.com/office/drawing/2014/main" id="{41CDEDDB-D391-7BC4-35AF-651E38252CFC}"/>
            </a:ext>
          </a:extLst>
        </xdr:cNvPr>
        <xdr:cNvSpPr>
          <a:spLocks noChangeAspect="1" noChangeArrowheads="1"/>
        </xdr:cNvSpPr>
      </xdr:nvSpPr>
      <xdr:spPr bwMode="auto">
        <a:xfrm>
          <a:off x="47421800" y="63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317500</xdr:colOff>
      <xdr:row>197</xdr:row>
      <xdr:rowOff>0</xdr:rowOff>
    </xdr:from>
    <xdr:to>
      <xdr:col>41</xdr:col>
      <xdr:colOff>622300</xdr:colOff>
      <xdr:row>198</xdr:row>
      <xdr:rowOff>114301</xdr:rowOff>
    </xdr:to>
    <xdr:sp macro="" textlink="">
      <xdr:nvSpPr>
        <xdr:cNvPr id="7466" name="AutoShape 4394" descr="alert toggle">
          <a:extLst>
            <a:ext uri="{FF2B5EF4-FFF2-40B4-BE49-F238E27FC236}">
              <a16:creationId xmlns:a16="http://schemas.microsoft.com/office/drawing/2014/main" id="{7B2D295D-6214-6E60-7641-993D41028800}"/>
            </a:ext>
          </a:extLst>
        </xdr:cNvPr>
        <xdr:cNvSpPr>
          <a:spLocks noChangeAspect="1" noChangeArrowheads="1"/>
        </xdr:cNvSpPr>
      </xdr:nvSpPr>
      <xdr:spPr bwMode="auto">
        <a:xfrm>
          <a:off x="47739300" y="63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197</xdr:row>
      <xdr:rowOff>0</xdr:rowOff>
    </xdr:from>
    <xdr:to>
      <xdr:col>41</xdr:col>
      <xdr:colOff>304800</xdr:colOff>
      <xdr:row>198</xdr:row>
      <xdr:rowOff>114299</xdr:rowOff>
    </xdr:to>
    <xdr:sp macro="" textlink="">
      <xdr:nvSpPr>
        <xdr:cNvPr id="7469" name="AutoShape 4397" descr="note-add">
          <a:extLst>
            <a:ext uri="{FF2B5EF4-FFF2-40B4-BE49-F238E27FC236}">
              <a16:creationId xmlns:a16="http://schemas.microsoft.com/office/drawing/2014/main" id="{09A9AD5E-10D4-D7DD-308E-B5A98C88ED82}"/>
            </a:ext>
          </a:extLst>
        </xdr:cNvPr>
        <xdr:cNvSpPr>
          <a:spLocks noChangeAspect="1" noChangeArrowheads="1"/>
        </xdr:cNvSpPr>
      </xdr:nvSpPr>
      <xdr:spPr bwMode="auto">
        <a:xfrm>
          <a:off x="47421800" y="639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317500</xdr:colOff>
      <xdr:row>197</xdr:row>
      <xdr:rowOff>0</xdr:rowOff>
    </xdr:from>
    <xdr:to>
      <xdr:col>41</xdr:col>
      <xdr:colOff>622300</xdr:colOff>
      <xdr:row>198</xdr:row>
      <xdr:rowOff>114299</xdr:rowOff>
    </xdr:to>
    <xdr:sp macro="" textlink="">
      <xdr:nvSpPr>
        <xdr:cNvPr id="7470" name="AutoShape 4398" descr="alert toggle">
          <a:extLst>
            <a:ext uri="{FF2B5EF4-FFF2-40B4-BE49-F238E27FC236}">
              <a16:creationId xmlns:a16="http://schemas.microsoft.com/office/drawing/2014/main" id="{5BCDC0F6-FB12-029E-4105-F2714269D884}"/>
            </a:ext>
          </a:extLst>
        </xdr:cNvPr>
        <xdr:cNvSpPr>
          <a:spLocks noChangeAspect="1" noChangeArrowheads="1"/>
        </xdr:cNvSpPr>
      </xdr:nvSpPr>
      <xdr:spPr bwMode="auto">
        <a:xfrm>
          <a:off x="47739300" y="639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0</xdr:colOff>
      <xdr:row>198</xdr:row>
      <xdr:rowOff>0</xdr:rowOff>
    </xdr:from>
    <xdr:to>
      <xdr:col>41</xdr:col>
      <xdr:colOff>304800</xdr:colOff>
      <xdr:row>199</xdr:row>
      <xdr:rowOff>114300</xdr:rowOff>
    </xdr:to>
    <xdr:sp macro="" textlink="">
      <xdr:nvSpPr>
        <xdr:cNvPr id="7473" name="AutoShape 4401" descr="note-add">
          <a:extLst>
            <a:ext uri="{FF2B5EF4-FFF2-40B4-BE49-F238E27FC236}">
              <a16:creationId xmlns:a16="http://schemas.microsoft.com/office/drawing/2014/main" id="{008A658A-5F09-4338-7FDA-6724D92F1AF0}"/>
            </a:ext>
          </a:extLst>
        </xdr:cNvPr>
        <xdr:cNvSpPr>
          <a:spLocks noChangeAspect="1" noChangeArrowheads="1"/>
        </xdr:cNvSpPr>
      </xdr:nvSpPr>
      <xdr:spPr bwMode="auto">
        <a:xfrm>
          <a:off x="474218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41</xdr:col>
      <xdr:colOff>317500</xdr:colOff>
      <xdr:row>198</xdr:row>
      <xdr:rowOff>0</xdr:rowOff>
    </xdr:from>
    <xdr:to>
      <xdr:col>41</xdr:col>
      <xdr:colOff>622300</xdr:colOff>
      <xdr:row>199</xdr:row>
      <xdr:rowOff>114300</xdr:rowOff>
    </xdr:to>
    <xdr:sp macro="" textlink="">
      <xdr:nvSpPr>
        <xdr:cNvPr id="7474" name="AutoShape 4402" descr="alert toggle">
          <a:extLst>
            <a:ext uri="{FF2B5EF4-FFF2-40B4-BE49-F238E27FC236}">
              <a16:creationId xmlns:a16="http://schemas.microsoft.com/office/drawing/2014/main" id="{8D282F1C-D619-FF1D-2C99-5CA88BFDD363}"/>
            </a:ext>
          </a:extLst>
        </xdr:cNvPr>
        <xdr:cNvSpPr>
          <a:spLocks noChangeAspect="1" noChangeArrowheads="1"/>
        </xdr:cNvSpPr>
      </xdr:nvSpPr>
      <xdr:spPr bwMode="auto">
        <a:xfrm>
          <a:off x="47739300" y="641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11</xdr:col>
      <xdr:colOff>0</xdr:colOff>
      <xdr:row>81</xdr:row>
      <xdr:rowOff>0</xdr:rowOff>
    </xdr:from>
    <xdr:ext cx="304800" cy="304800"/>
    <xdr:sp macro="" textlink="">
      <xdr:nvSpPr>
        <xdr:cNvPr id="7477" name="AutoShape 4405" descr="note-add">
          <a:extLst>
            <a:ext uri="{FF2B5EF4-FFF2-40B4-BE49-F238E27FC236}">
              <a16:creationId xmlns:a16="http://schemas.microsoft.com/office/drawing/2014/main" id="{3D7B15DE-DE3F-A588-ED19-61A8458A545C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896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81</xdr:row>
      <xdr:rowOff>0</xdr:rowOff>
    </xdr:from>
    <xdr:ext cx="304800" cy="304800"/>
    <xdr:sp macro="" textlink="">
      <xdr:nvSpPr>
        <xdr:cNvPr id="7478" name="AutoShape 4406" descr="alert toggle">
          <a:extLst>
            <a:ext uri="{FF2B5EF4-FFF2-40B4-BE49-F238E27FC236}">
              <a16:creationId xmlns:a16="http://schemas.microsoft.com/office/drawing/2014/main" id="{FBE5E7A0-8399-8D5E-F68C-0248BCBB45F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896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91</xdr:row>
      <xdr:rowOff>0</xdr:rowOff>
    </xdr:from>
    <xdr:ext cx="304800" cy="279400"/>
    <xdr:sp macro="" textlink="">
      <xdr:nvSpPr>
        <xdr:cNvPr id="7481" name="AutoShape 4409" descr="note-add">
          <a:extLst>
            <a:ext uri="{FF2B5EF4-FFF2-40B4-BE49-F238E27FC236}">
              <a16:creationId xmlns:a16="http://schemas.microsoft.com/office/drawing/2014/main" id="{C593EFE2-7E62-49EE-0D6B-B3D4EBA11C2B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4094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91</xdr:row>
      <xdr:rowOff>0</xdr:rowOff>
    </xdr:from>
    <xdr:ext cx="304800" cy="279400"/>
    <xdr:sp macro="" textlink="">
      <xdr:nvSpPr>
        <xdr:cNvPr id="7482" name="AutoShape 4410" descr="alert toggle">
          <a:extLst>
            <a:ext uri="{FF2B5EF4-FFF2-40B4-BE49-F238E27FC236}">
              <a16:creationId xmlns:a16="http://schemas.microsoft.com/office/drawing/2014/main" id="{DCBA3471-C5E9-83DE-153A-FB05C7A67CC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4094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88</xdr:row>
      <xdr:rowOff>0</xdr:rowOff>
    </xdr:from>
    <xdr:ext cx="304800" cy="279399"/>
    <xdr:sp macro="" textlink="">
      <xdr:nvSpPr>
        <xdr:cNvPr id="7485" name="AutoShape 4413" descr="note-add">
          <a:extLst>
            <a:ext uri="{FF2B5EF4-FFF2-40B4-BE49-F238E27FC236}">
              <a16:creationId xmlns:a16="http://schemas.microsoft.com/office/drawing/2014/main" id="{C177AAE1-4752-F83F-F823-8F43E0BDBFA5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2697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88</xdr:row>
      <xdr:rowOff>0</xdr:rowOff>
    </xdr:from>
    <xdr:ext cx="304800" cy="279399"/>
    <xdr:sp macro="" textlink="">
      <xdr:nvSpPr>
        <xdr:cNvPr id="7486" name="AutoShape 4414" descr="alert toggle">
          <a:extLst>
            <a:ext uri="{FF2B5EF4-FFF2-40B4-BE49-F238E27FC236}">
              <a16:creationId xmlns:a16="http://schemas.microsoft.com/office/drawing/2014/main" id="{6EF45B15-338C-83FF-8EDF-DF3B34705590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2697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89</xdr:row>
      <xdr:rowOff>0</xdr:rowOff>
    </xdr:from>
    <xdr:ext cx="304800" cy="279399"/>
    <xdr:sp macro="" textlink="">
      <xdr:nvSpPr>
        <xdr:cNvPr id="7489" name="AutoShape 4417" descr="note-add">
          <a:extLst>
            <a:ext uri="{FF2B5EF4-FFF2-40B4-BE49-F238E27FC236}">
              <a16:creationId xmlns:a16="http://schemas.microsoft.com/office/drawing/2014/main" id="{E02A47F7-EFE8-467F-A20A-D0A7F9DD6FF8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2976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89</xdr:row>
      <xdr:rowOff>0</xdr:rowOff>
    </xdr:from>
    <xdr:ext cx="304800" cy="279399"/>
    <xdr:sp macro="" textlink="">
      <xdr:nvSpPr>
        <xdr:cNvPr id="7490" name="AutoShape 4418" descr="alert toggle">
          <a:extLst>
            <a:ext uri="{FF2B5EF4-FFF2-40B4-BE49-F238E27FC236}">
              <a16:creationId xmlns:a16="http://schemas.microsoft.com/office/drawing/2014/main" id="{96BAD162-F165-3812-DADA-FB293AEB0A7A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29767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90</xdr:row>
      <xdr:rowOff>0</xdr:rowOff>
    </xdr:from>
    <xdr:ext cx="304800" cy="279399"/>
    <xdr:sp macro="" textlink="">
      <xdr:nvSpPr>
        <xdr:cNvPr id="7493" name="AutoShape 4421" descr="note-add">
          <a:extLst>
            <a:ext uri="{FF2B5EF4-FFF2-40B4-BE49-F238E27FC236}">
              <a16:creationId xmlns:a16="http://schemas.microsoft.com/office/drawing/2014/main" id="{B67E453C-8E70-541E-7F5C-55C6B449F546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3256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90</xdr:row>
      <xdr:rowOff>0</xdr:rowOff>
    </xdr:from>
    <xdr:ext cx="304800" cy="279399"/>
    <xdr:sp macro="" textlink="">
      <xdr:nvSpPr>
        <xdr:cNvPr id="7494" name="AutoShape 4422" descr="alert toggle">
          <a:extLst>
            <a:ext uri="{FF2B5EF4-FFF2-40B4-BE49-F238E27FC236}">
              <a16:creationId xmlns:a16="http://schemas.microsoft.com/office/drawing/2014/main" id="{F2ABFC73-E7DD-D350-E7A9-B80C98653A16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3256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91</xdr:row>
      <xdr:rowOff>0</xdr:rowOff>
    </xdr:from>
    <xdr:ext cx="304800" cy="279400"/>
    <xdr:sp macro="" textlink="">
      <xdr:nvSpPr>
        <xdr:cNvPr id="7497" name="AutoShape 4425" descr="note-add">
          <a:extLst>
            <a:ext uri="{FF2B5EF4-FFF2-40B4-BE49-F238E27FC236}">
              <a16:creationId xmlns:a16="http://schemas.microsoft.com/office/drawing/2014/main" id="{9F4EC06B-A698-0409-5592-5015C6EF4B5F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3814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91</xdr:row>
      <xdr:rowOff>0</xdr:rowOff>
    </xdr:from>
    <xdr:ext cx="304800" cy="279400"/>
    <xdr:sp macro="" textlink="">
      <xdr:nvSpPr>
        <xdr:cNvPr id="7498" name="AutoShape 4426" descr="alert toggle">
          <a:extLst>
            <a:ext uri="{FF2B5EF4-FFF2-40B4-BE49-F238E27FC236}">
              <a16:creationId xmlns:a16="http://schemas.microsoft.com/office/drawing/2014/main" id="{B0B416AC-960F-46F5-B61A-618E64086352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38149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91</xdr:row>
      <xdr:rowOff>0</xdr:rowOff>
    </xdr:from>
    <xdr:ext cx="304800" cy="279400"/>
    <xdr:sp macro="" textlink="">
      <xdr:nvSpPr>
        <xdr:cNvPr id="7501" name="AutoShape 4429" descr="note-add">
          <a:extLst>
            <a:ext uri="{FF2B5EF4-FFF2-40B4-BE49-F238E27FC236}">
              <a16:creationId xmlns:a16="http://schemas.microsoft.com/office/drawing/2014/main" id="{FFD61D61-74A6-8C1D-1DF3-338B6C82694E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4094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91</xdr:row>
      <xdr:rowOff>0</xdr:rowOff>
    </xdr:from>
    <xdr:ext cx="304800" cy="279400"/>
    <xdr:sp macro="" textlink="">
      <xdr:nvSpPr>
        <xdr:cNvPr id="7502" name="AutoShape 4430" descr="alert toggle">
          <a:extLst>
            <a:ext uri="{FF2B5EF4-FFF2-40B4-BE49-F238E27FC236}">
              <a16:creationId xmlns:a16="http://schemas.microsoft.com/office/drawing/2014/main" id="{0FAD478C-BC90-60BE-9909-A6FE8AB3290B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40943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93</xdr:row>
      <xdr:rowOff>0</xdr:rowOff>
    </xdr:from>
    <xdr:ext cx="304800" cy="279400"/>
    <xdr:sp macro="" textlink="">
      <xdr:nvSpPr>
        <xdr:cNvPr id="7505" name="AutoShape 4433" descr="note-add">
          <a:extLst>
            <a:ext uri="{FF2B5EF4-FFF2-40B4-BE49-F238E27FC236}">
              <a16:creationId xmlns:a16="http://schemas.microsoft.com/office/drawing/2014/main" id="{9A84DAFA-34BF-B9A7-AF98-768727CD6F75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4653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93</xdr:row>
      <xdr:rowOff>0</xdr:rowOff>
    </xdr:from>
    <xdr:ext cx="304800" cy="279400"/>
    <xdr:sp macro="" textlink="">
      <xdr:nvSpPr>
        <xdr:cNvPr id="7506" name="AutoShape 4434" descr="alert toggle">
          <a:extLst>
            <a:ext uri="{FF2B5EF4-FFF2-40B4-BE49-F238E27FC236}">
              <a16:creationId xmlns:a16="http://schemas.microsoft.com/office/drawing/2014/main" id="{AFC6B260-FB7B-DB05-6903-C7D9143F83A5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46531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93</xdr:row>
      <xdr:rowOff>0</xdr:rowOff>
    </xdr:from>
    <xdr:ext cx="304800" cy="279400"/>
    <xdr:sp macro="" textlink="">
      <xdr:nvSpPr>
        <xdr:cNvPr id="7509" name="AutoShape 4437" descr="note-add">
          <a:extLst>
            <a:ext uri="{FF2B5EF4-FFF2-40B4-BE49-F238E27FC236}">
              <a16:creationId xmlns:a16="http://schemas.microsoft.com/office/drawing/2014/main" id="{76B8ABCB-B732-E8DD-5577-6275D4B1144B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94932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93</xdr:row>
      <xdr:rowOff>0</xdr:rowOff>
    </xdr:from>
    <xdr:ext cx="304800" cy="279400"/>
    <xdr:sp macro="" textlink="">
      <xdr:nvSpPr>
        <xdr:cNvPr id="7510" name="AutoShape 4438" descr="alert toggle">
          <a:extLst>
            <a:ext uri="{FF2B5EF4-FFF2-40B4-BE49-F238E27FC236}">
              <a16:creationId xmlns:a16="http://schemas.microsoft.com/office/drawing/2014/main" id="{3B7D1BEE-1845-E971-A6D6-8B4E342DCCF3}"/>
            </a:ext>
          </a:extLst>
        </xdr:cNvPr>
        <xdr:cNvSpPr>
          <a:spLocks noChangeAspect="1" noChangeArrowheads="1"/>
        </xdr:cNvSpPr>
      </xdr:nvSpPr>
      <xdr:spPr bwMode="auto">
        <a:xfrm>
          <a:off x="12153900" y="949325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21</xdr:col>
      <xdr:colOff>0</xdr:colOff>
      <xdr:row>441</xdr:row>
      <xdr:rowOff>0</xdr:rowOff>
    </xdr:from>
    <xdr:to>
      <xdr:col>21</xdr:col>
      <xdr:colOff>304800</xdr:colOff>
      <xdr:row>442</xdr:row>
      <xdr:rowOff>99219</xdr:rowOff>
    </xdr:to>
    <xdr:sp macro="" textlink="">
      <xdr:nvSpPr>
        <xdr:cNvPr id="7645" name="AutoShape 4573" descr="note-add">
          <a:extLst>
            <a:ext uri="{FF2B5EF4-FFF2-40B4-BE49-F238E27FC236}">
              <a16:creationId xmlns:a16="http://schemas.microsoft.com/office/drawing/2014/main" id="{BE290B04-47D5-83DA-B2EF-DF4E5E765820}"/>
            </a:ext>
          </a:extLst>
        </xdr:cNvPr>
        <xdr:cNvSpPr>
          <a:spLocks noChangeAspect="1" noChangeArrowheads="1"/>
        </xdr:cNvSpPr>
      </xdr:nvSpPr>
      <xdr:spPr bwMode="auto">
        <a:xfrm>
          <a:off x="27609800" y="153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317500</xdr:colOff>
      <xdr:row>441</xdr:row>
      <xdr:rowOff>0</xdr:rowOff>
    </xdr:from>
    <xdr:to>
      <xdr:col>21</xdr:col>
      <xdr:colOff>622300</xdr:colOff>
      <xdr:row>442</xdr:row>
      <xdr:rowOff>99219</xdr:rowOff>
    </xdr:to>
    <xdr:sp macro="" textlink="">
      <xdr:nvSpPr>
        <xdr:cNvPr id="7646" name="AutoShape 4574" descr="alert toggle">
          <a:extLst>
            <a:ext uri="{FF2B5EF4-FFF2-40B4-BE49-F238E27FC236}">
              <a16:creationId xmlns:a16="http://schemas.microsoft.com/office/drawing/2014/main" id="{80CD8B0A-8840-48E9-2C17-A9BED7E1CE9B}"/>
            </a:ext>
          </a:extLst>
        </xdr:cNvPr>
        <xdr:cNvSpPr>
          <a:spLocks noChangeAspect="1" noChangeArrowheads="1"/>
        </xdr:cNvSpPr>
      </xdr:nvSpPr>
      <xdr:spPr bwMode="auto">
        <a:xfrm>
          <a:off x="27927300" y="1538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442</xdr:row>
      <xdr:rowOff>0</xdr:rowOff>
    </xdr:from>
    <xdr:to>
      <xdr:col>24</xdr:col>
      <xdr:colOff>304800</xdr:colOff>
      <xdr:row>443</xdr:row>
      <xdr:rowOff>99219</xdr:rowOff>
    </xdr:to>
    <xdr:sp macro="" textlink="">
      <xdr:nvSpPr>
        <xdr:cNvPr id="7649" name="AutoShape 4577" descr="note-add">
          <a:extLst>
            <a:ext uri="{FF2B5EF4-FFF2-40B4-BE49-F238E27FC236}">
              <a16:creationId xmlns:a16="http://schemas.microsoft.com/office/drawing/2014/main" id="{37C683C2-DD08-CF1E-F89F-D940B5ABD7D9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543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442</xdr:row>
      <xdr:rowOff>0</xdr:rowOff>
    </xdr:from>
    <xdr:to>
      <xdr:col>24</xdr:col>
      <xdr:colOff>622300</xdr:colOff>
      <xdr:row>443</xdr:row>
      <xdr:rowOff>99219</xdr:rowOff>
    </xdr:to>
    <xdr:sp macro="" textlink="">
      <xdr:nvSpPr>
        <xdr:cNvPr id="7650" name="AutoShape 4578" descr="alert toggle">
          <a:extLst>
            <a:ext uri="{FF2B5EF4-FFF2-40B4-BE49-F238E27FC236}">
              <a16:creationId xmlns:a16="http://schemas.microsoft.com/office/drawing/2014/main" id="{9AC8BF74-A99B-7BA5-2626-074023F41FB7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543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443</xdr:row>
      <xdr:rowOff>0</xdr:rowOff>
    </xdr:from>
    <xdr:to>
      <xdr:col>24</xdr:col>
      <xdr:colOff>304800</xdr:colOff>
      <xdr:row>444</xdr:row>
      <xdr:rowOff>99218</xdr:rowOff>
    </xdr:to>
    <xdr:sp macro="" textlink="">
      <xdr:nvSpPr>
        <xdr:cNvPr id="7653" name="AutoShape 4581" descr="note-add">
          <a:extLst>
            <a:ext uri="{FF2B5EF4-FFF2-40B4-BE49-F238E27FC236}">
              <a16:creationId xmlns:a16="http://schemas.microsoft.com/office/drawing/2014/main" id="{C9A307F9-879B-46CD-5CEC-BB0B45AF8F4E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547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443</xdr:row>
      <xdr:rowOff>0</xdr:rowOff>
    </xdr:from>
    <xdr:to>
      <xdr:col>24</xdr:col>
      <xdr:colOff>622300</xdr:colOff>
      <xdr:row>444</xdr:row>
      <xdr:rowOff>99218</xdr:rowOff>
    </xdr:to>
    <xdr:sp macro="" textlink="">
      <xdr:nvSpPr>
        <xdr:cNvPr id="7654" name="AutoShape 4582" descr="alert toggle">
          <a:extLst>
            <a:ext uri="{FF2B5EF4-FFF2-40B4-BE49-F238E27FC236}">
              <a16:creationId xmlns:a16="http://schemas.microsoft.com/office/drawing/2014/main" id="{2AE712F0-D6C9-C38F-E7C2-F80A4D23C79F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547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444</xdr:row>
      <xdr:rowOff>0</xdr:rowOff>
    </xdr:from>
    <xdr:to>
      <xdr:col>24</xdr:col>
      <xdr:colOff>304800</xdr:colOff>
      <xdr:row>445</xdr:row>
      <xdr:rowOff>99219</xdr:rowOff>
    </xdr:to>
    <xdr:sp macro="" textlink="">
      <xdr:nvSpPr>
        <xdr:cNvPr id="7657" name="AutoShape 4585" descr="note-add">
          <a:extLst>
            <a:ext uri="{FF2B5EF4-FFF2-40B4-BE49-F238E27FC236}">
              <a16:creationId xmlns:a16="http://schemas.microsoft.com/office/drawing/2014/main" id="{82C9003E-0094-0930-1FD3-5A97374D37F0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551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444</xdr:row>
      <xdr:rowOff>0</xdr:rowOff>
    </xdr:from>
    <xdr:to>
      <xdr:col>24</xdr:col>
      <xdr:colOff>622300</xdr:colOff>
      <xdr:row>445</xdr:row>
      <xdr:rowOff>99219</xdr:rowOff>
    </xdr:to>
    <xdr:sp macro="" textlink="">
      <xdr:nvSpPr>
        <xdr:cNvPr id="7658" name="AutoShape 4586" descr="alert toggle">
          <a:extLst>
            <a:ext uri="{FF2B5EF4-FFF2-40B4-BE49-F238E27FC236}">
              <a16:creationId xmlns:a16="http://schemas.microsoft.com/office/drawing/2014/main" id="{913753BB-C376-8D13-223D-F0E9ECF67DB3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551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445</xdr:row>
      <xdr:rowOff>0</xdr:rowOff>
    </xdr:from>
    <xdr:to>
      <xdr:col>24</xdr:col>
      <xdr:colOff>304800</xdr:colOff>
      <xdr:row>446</xdr:row>
      <xdr:rowOff>99219</xdr:rowOff>
    </xdr:to>
    <xdr:sp macro="" textlink="">
      <xdr:nvSpPr>
        <xdr:cNvPr id="7661" name="AutoShape 4589" descr="note-add">
          <a:extLst>
            <a:ext uri="{FF2B5EF4-FFF2-40B4-BE49-F238E27FC236}">
              <a16:creationId xmlns:a16="http://schemas.microsoft.com/office/drawing/2014/main" id="{48D4C615-FE9E-995C-A5A6-1FD02F13556E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556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445</xdr:row>
      <xdr:rowOff>0</xdr:rowOff>
    </xdr:from>
    <xdr:to>
      <xdr:col>24</xdr:col>
      <xdr:colOff>622300</xdr:colOff>
      <xdr:row>446</xdr:row>
      <xdr:rowOff>99219</xdr:rowOff>
    </xdr:to>
    <xdr:sp macro="" textlink="">
      <xdr:nvSpPr>
        <xdr:cNvPr id="7662" name="AutoShape 4590" descr="alert toggle">
          <a:extLst>
            <a:ext uri="{FF2B5EF4-FFF2-40B4-BE49-F238E27FC236}">
              <a16:creationId xmlns:a16="http://schemas.microsoft.com/office/drawing/2014/main" id="{1968F856-04E8-1A49-74DA-884B4C446C09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556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446</xdr:row>
      <xdr:rowOff>0</xdr:rowOff>
    </xdr:from>
    <xdr:to>
      <xdr:col>24</xdr:col>
      <xdr:colOff>304800</xdr:colOff>
      <xdr:row>447</xdr:row>
      <xdr:rowOff>99219</xdr:rowOff>
    </xdr:to>
    <xdr:sp macro="" textlink="">
      <xdr:nvSpPr>
        <xdr:cNvPr id="7665" name="AutoShape 4593" descr="note-add">
          <a:extLst>
            <a:ext uri="{FF2B5EF4-FFF2-40B4-BE49-F238E27FC236}">
              <a16:creationId xmlns:a16="http://schemas.microsoft.com/office/drawing/2014/main" id="{CD1F639D-0695-01E2-9A30-921A3759161A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56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446</xdr:row>
      <xdr:rowOff>0</xdr:rowOff>
    </xdr:from>
    <xdr:to>
      <xdr:col>24</xdr:col>
      <xdr:colOff>622300</xdr:colOff>
      <xdr:row>447</xdr:row>
      <xdr:rowOff>99219</xdr:rowOff>
    </xdr:to>
    <xdr:sp macro="" textlink="">
      <xdr:nvSpPr>
        <xdr:cNvPr id="7666" name="AutoShape 4594" descr="alert toggle">
          <a:extLst>
            <a:ext uri="{FF2B5EF4-FFF2-40B4-BE49-F238E27FC236}">
              <a16:creationId xmlns:a16="http://schemas.microsoft.com/office/drawing/2014/main" id="{C05BD51F-675A-2B95-A0BD-591284E6044C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56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447</xdr:row>
      <xdr:rowOff>0</xdr:rowOff>
    </xdr:from>
    <xdr:to>
      <xdr:col>24</xdr:col>
      <xdr:colOff>304800</xdr:colOff>
      <xdr:row>448</xdr:row>
      <xdr:rowOff>99218</xdr:rowOff>
    </xdr:to>
    <xdr:sp macro="" textlink="">
      <xdr:nvSpPr>
        <xdr:cNvPr id="7669" name="AutoShape 4597" descr="note-add">
          <a:extLst>
            <a:ext uri="{FF2B5EF4-FFF2-40B4-BE49-F238E27FC236}">
              <a16:creationId xmlns:a16="http://schemas.microsoft.com/office/drawing/2014/main" id="{0B451F31-24FB-0257-D5B3-EB2CBBFB1588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56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447</xdr:row>
      <xdr:rowOff>0</xdr:rowOff>
    </xdr:from>
    <xdr:to>
      <xdr:col>24</xdr:col>
      <xdr:colOff>622300</xdr:colOff>
      <xdr:row>448</xdr:row>
      <xdr:rowOff>99218</xdr:rowOff>
    </xdr:to>
    <xdr:sp macro="" textlink="">
      <xdr:nvSpPr>
        <xdr:cNvPr id="7670" name="AutoShape 4598" descr="alert toggle">
          <a:extLst>
            <a:ext uri="{FF2B5EF4-FFF2-40B4-BE49-F238E27FC236}">
              <a16:creationId xmlns:a16="http://schemas.microsoft.com/office/drawing/2014/main" id="{825A5845-2EE3-1FF8-71F2-02F4DE38DC41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564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0</xdr:colOff>
      <xdr:row>448</xdr:row>
      <xdr:rowOff>0</xdr:rowOff>
    </xdr:from>
    <xdr:to>
      <xdr:col>24</xdr:col>
      <xdr:colOff>304800</xdr:colOff>
      <xdr:row>449</xdr:row>
      <xdr:rowOff>99219</xdr:rowOff>
    </xdr:to>
    <xdr:sp macro="" textlink="">
      <xdr:nvSpPr>
        <xdr:cNvPr id="7673" name="AutoShape 4601" descr="note-add">
          <a:extLst>
            <a:ext uri="{FF2B5EF4-FFF2-40B4-BE49-F238E27FC236}">
              <a16:creationId xmlns:a16="http://schemas.microsoft.com/office/drawing/2014/main" id="{7449FC04-DE3E-1263-6A3E-49232E999759}"/>
            </a:ext>
          </a:extLst>
        </xdr:cNvPr>
        <xdr:cNvSpPr>
          <a:spLocks noChangeAspect="1" noChangeArrowheads="1"/>
        </xdr:cNvSpPr>
      </xdr:nvSpPr>
      <xdr:spPr bwMode="auto">
        <a:xfrm>
          <a:off x="32473900" y="1568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24</xdr:col>
      <xdr:colOff>317500</xdr:colOff>
      <xdr:row>448</xdr:row>
      <xdr:rowOff>0</xdr:rowOff>
    </xdr:from>
    <xdr:to>
      <xdr:col>24</xdr:col>
      <xdr:colOff>622300</xdr:colOff>
      <xdr:row>449</xdr:row>
      <xdr:rowOff>99219</xdr:rowOff>
    </xdr:to>
    <xdr:sp macro="" textlink="">
      <xdr:nvSpPr>
        <xdr:cNvPr id="7674" name="AutoShape 4602" descr="alert toggle">
          <a:extLst>
            <a:ext uri="{FF2B5EF4-FFF2-40B4-BE49-F238E27FC236}">
              <a16:creationId xmlns:a16="http://schemas.microsoft.com/office/drawing/2014/main" id="{60263937-E463-095F-7213-8091257A40D0}"/>
            </a:ext>
          </a:extLst>
        </xdr:cNvPr>
        <xdr:cNvSpPr>
          <a:spLocks noChangeAspect="1" noChangeArrowheads="1"/>
        </xdr:cNvSpPr>
      </xdr:nvSpPr>
      <xdr:spPr bwMode="auto">
        <a:xfrm>
          <a:off x="32791400" y="1568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112</xdr:row>
      <xdr:rowOff>0</xdr:rowOff>
    </xdr:from>
    <xdr:ext cx="304800" cy="305547"/>
    <xdr:sp macro="" textlink="">
      <xdr:nvSpPr>
        <xdr:cNvPr id="5" name="AutoShape 979" descr="note-add">
          <a:extLst>
            <a:ext uri="{FF2B5EF4-FFF2-40B4-BE49-F238E27FC236}">
              <a16:creationId xmlns:a16="http://schemas.microsoft.com/office/drawing/2014/main" id="{E8CC1824-636D-B74B-87AB-829F2A06E843}"/>
            </a:ext>
          </a:extLst>
        </xdr:cNvPr>
        <xdr:cNvSpPr>
          <a:spLocks noChangeAspect="1" noChangeArrowheads="1"/>
        </xdr:cNvSpPr>
      </xdr:nvSpPr>
      <xdr:spPr bwMode="auto">
        <a:xfrm>
          <a:off x="16229853" y="83128971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317500</xdr:colOff>
      <xdr:row>112</xdr:row>
      <xdr:rowOff>0</xdr:rowOff>
    </xdr:from>
    <xdr:ext cx="304800" cy="305547"/>
    <xdr:sp macro="" textlink="">
      <xdr:nvSpPr>
        <xdr:cNvPr id="6" name="AutoShape 980" descr="alert toggle">
          <a:extLst>
            <a:ext uri="{FF2B5EF4-FFF2-40B4-BE49-F238E27FC236}">
              <a16:creationId xmlns:a16="http://schemas.microsoft.com/office/drawing/2014/main" id="{027B4D62-312D-614B-95D6-5C8695E55D6D}"/>
            </a:ext>
          </a:extLst>
        </xdr:cNvPr>
        <xdr:cNvSpPr>
          <a:spLocks noChangeAspect="1" noChangeArrowheads="1"/>
        </xdr:cNvSpPr>
      </xdr:nvSpPr>
      <xdr:spPr bwMode="auto">
        <a:xfrm>
          <a:off x="16547353" y="83128971"/>
          <a:ext cx="304800" cy="305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</xdr:row>
      <xdr:rowOff>0</xdr:rowOff>
    </xdr:from>
    <xdr:ext cx="304800" cy="277534"/>
    <xdr:sp macro="" textlink="">
      <xdr:nvSpPr>
        <xdr:cNvPr id="992" name="AutoShape 4405" descr="note-add">
          <a:extLst>
            <a:ext uri="{FF2B5EF4-FFF2-40B4-BE49-F238E27FC236}">
              <a16:creationId xmlns:a16="http://schemas.microsoft.com/office/drawing/2014/main" id="{939E11CB-2603-4672-8C2E-BBFAF28485EC}"/>
            </a:ext>
          </a:extLst>
        </xdr:cNvPr>
        <xdr:cNvSpPr>
          <a:spLocks noChangeAspect="1" noChangeArrowheads="1"/>
        </xdr:cNvSpPr>
      </xdr:nvSpPr>
      <xdr:spPr bwMode="auto">
        <a:xfrm>
          <a:off x="13306985" y="80304154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317500</xdr:colOff>
      <xdr:row>2</xdr:row>
      <xdr:rowOff>0</xdr:rowOff>
    </xdr:from>
    <xdr:ext cx="304800" cy="277534"/>
    <xdr:sp macro="" textlink="">
      <xdr:nvSpPr>
        <xdr:cNvPr id="993" name="AutoShape 4406" descr="alert toggle">
          <a:extLst>
            <a:ext uri="{FF2B5EF4-FFF2-40B4-BE49-F238E27FC236}">
              <a16:creationId xmlns:a16="http://schemas.microsoft.com/office/drawing/2014/main" id="{D97AF0E9-6D4B-4565-8C1A-CBCE0AD579CB}"/>
            </a:ext>
          </a:extLst>
        </xdr:cNvPr>
        <xdr:cNvSpPr>
          <a:spLocks noChangeAspect="1" noChangeArrowheads="1"/>
        </xdr:cNvSpPr>
      </xdr:nvSpPr>
      <xdr:spPr bwMode="auto">
        <a:xfrm>
          <a:off x="13624485" y="80304154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</xdr:row>
      <xdr:rowOff>0</xdr:rowOff>
    </xdr:from>
    <xdr:ext cx="304800" cy="277534"/>
    <xdr:sp macro="" textlink="">
      <xdr:nvSpPr>
        <xdr:cNvPr id="994" name="AutoShape 4405" descr="note-add">
          <a:extLst>
            <a:ext uri="{FF2B5EF4-FFF2-40B4-BE49-F238E27FC236}">
              <a16:creationId xmlns:a16="http://schemas.microsoft.com/office/drawing/2014/main" id="{ED31DAF5-9137-4516-BEBC-6EE7186A30CD}"/>
            </a:ext>
          </a:extLst>
        </xdr:cNvPr>
        <xdr:cNvSpPr>
          <a:spLocks noChangeAspect="1" noChangeArrowheads="1"/>
        </xdr:cNvSpPr>
      </xdr:nvSpPr>
      <xdr:spPr bwMode="auto">
        <a:xfrm>
          <a:off x="13306985" y="80304154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2</xdr:row>
      <xdr:rowOff>0</xdr:rowOff>
    </xdr:from>
    <xdr:ext cx="304800" cy="277534"/>
    <xdr:sp macro="" textlink="">
      <xdr:nvSpPr>
        <xdr:cNvPr id="995" name="AutoShape 4406" descr="alert toggle">
          <a:extLst>
            <a:ext uri="{FF2B5EF4-FFF2-40B4-BE49-F238E27FC236}">
              <a16:creationId xmlns:a16="http://schemas.microsoft.com/office/drawing/2014/main" id="{176A9768-8B2D-41DD-A1A6-FFAD1A0744FE}"/>
            </a:ext>
          </a:extLst>
        </xdr:cNvPr>
        <xdr:cNvSpPr>
          <a:spLocks noChangeAspect="1" noChangeArrowheads="1"/>
        </xdr:cNvSpPr>
      </xdr:nvSpPr>
      <xdr:spPr bwMode="auto">
        <a:xfrm>
          <a:off x="13624485" y="80304154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</xdr:row>
      <xdr:rowOff>0</xdr:rowOff>
    </xdr:from>
    <xdr:ext cx="304800" cy="277534"/>
    <xdr:sp macro="" textlink="">
      <xdr:nvSpPr>
        <xdr:cNvPr id="996" name="AutoShape 4405" descr="note-add">
          <a:extLst>
            <a:ext uri="{FF2B5EF4-FFF2-40B4-BE49-F238E27FC236}">
              <a16:creationId xmlns:a16="http://schemas.microsoft.com/office/drawing/2014/main" id="{D16C8200-1E94-4B78-BB3D-2095183369FA}"/>
            </a:ext>
          </a:extLst>
        </xdr:cNvPr>
        <xdr:cNvSpPr>
          <a:spLocks noChangeAspect="1" noChangeArrowheads="1"/>
        </xdr:cNvSpPr>
      </xdr:nvSpPr>
      <xdr:spPr bwMode="auto">
        <a:xfrm>
          <a:off x="13306985" y="80304154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317500</xdr:colOff>
      <xdr:row>2</xdr:row>
      <xdr:rowOff>0</xdr:rowOff>
    </xdr:from>
    <xdr:ext cx="304800" cy="277534"/>
    <xdr:sp macro="" textlink="">
      <xdr:nvSpPr>
        <xdr:cNvPr id="997" name="AutoShape 4406" descr="alert toggle">
          <a:extLst>
            <a:ext uri="{FF2B5EF4-FFF2-40B4-BE49-F238E27FC236}">
              <a16:creationId xmlns:a16="http://schemas.microsoft.com/office/drawing/2014/main" id="{0C06CBB4-878A-4479-BBF8-AD41303FE99E}"/>
            </a:ext>
          </a:extLst>
        </xdr:cNvPr>
        <xdr:cNvSpPr>
          <a:spLocks noChangeAspect="1" noChangeArrowheads="1"/>
        </xdr:cNvSpPr>
      </xdr:nvSpPr>
      <xdr:spPr bwMode="auto">
        <a:xfrm>
          <a:off x="13624485" y="80304154"/>
          <a:ext cx="304800" cy="277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2</xdr:row>
      <xdr:rowOff>0</xdr:rowOff>
    </xdr:from>
    <xdr:ext cx="304800" cy="277532"/>
    <xdr:sp macro="" textlink="">
      <xdr:nvSpPr>
        <xdr:cNvPr id="998" name="AutoShape 1051" descr="note-add">
          <a:extLst>
            <a:ext uri="{FF2B5EF4-FFF2-40B4-BE49-F238E27FC236}">
              <a16:creationId xmlns:a16="http://schemas.microsoft.com/office/drawing/2014/main" id="{BED9C3DD-5C22-4711-AD35-6A7A37603D77}"/>
            </a:ext>
          </a:extLst>
        </xdr:cNvPr>
        <xdr:cNvSpPr>
          <a:spLocks noChangeAspect="1" noChangeArrowheads="1"/>
        </xdr:cNvSpPr>
      </xdr:nvSpPr>
      <xdr:spPr bwMode="auto">
        <a:xfrm>
          <a:off x="10435478" y="80052022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317500</xdr:colOff>
      <xdr:row>2</xdr:row>
      <xdr:rowOff>0</xdr:rowOff>
    </xdr:from>
    <xdr:ext cx="304800" cy="277532"/>
    <xdr:sp macro="" textlink="">
      <xdr:nvSpPr>
        <xdr:cNvPr id="999" name="AutoShape 1052" descr="alert toggle">
          <a:extLst>
            <a:ext uri="{FF2B5EF4-FFF2-40B4-BE49-F238E27FC236}">
              <a16:creationId xmlns:a16="http://schemas.microsoft.com/office/drawing/2014/main" id="{3EC1950F-7F37-4027-A320-2D4E7F29BF2F}"/>
            </a:ext>
          </a:extLst>
        </xdr:cNvPr>
        <xdr:cNvSpPr>
          <a:spLocks noChangeAspect="1" noChangeArrowheads="1"/>
        </xdr:cNvSpPr>
      </xdr:nvSpPr>
      <xdr:spPr bwMode="auto">
        <a:xfrm>
          <a:off x="10752978" y="80052022"/>
          <a:ext cx="304800" cy="27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32.381570833335" createdVersion="8" refreshedVersion="8" minRefreshableVersion="3" recordCount="606" xr:uid="{E191F630-4B97-7A4F-8575-A155D2B54E38}">
  <cacheSource type="worksheet">
    <worksheetSource ref="A2:C421" sheet="Sheet 1"/>
  </cacheSource>
  <cacheFields count="3">
    <cacheField name="Team Name" numFmtId="0">
      <sharedItems containsBlank="1" count="224">
        <s v="Arsenal"/>
        <s v="Aston Villa"/>
        <s v="Brentford FC"/>
        <s v="Brighton &amp; Hove Albion"/>
        <s v="Burnley"/>
        <s v="Chelsea"/>
        <s v="Crystal Palace"/>
        <s v="Everton"/>
        <s v="Leeds United"/>
        <s v="Leicester City"/>
        <s v="Liverpool"/>
        <s v="Manchester City"/>
        <s v="Manchester United"/>
        <s v="Newcastle United"/>
        <s v="Norwich City"/>
        <s v="Southampton"/>
        <s v="Tottenham Hotspur"/>
        <s v="Watford"/>
        <s v="West Ham United"/>
        <s v="Wolverhampton Wanderers"/>
        <s v="Athletic Bilbao"/>
        <s v="Atlético Madrid"/>
        <s v="Barcelona"/>
        <s v="Cádiz"/>
        <s v="Celta Vigo"/>
        <s v="Deportivo Alavés"/>
        <s v="Elche"/>
        <s v="Espanyol"/>
        <s v="Getafe"/>
        <s v="Granada"/>
        <s v="Levante"/>
        <s v="Mallorca"/>
        <s v="Osasuna"/>
        <s v="Rayo Vallecano"/>
        <s v="Real Betis"/>
        <s v="Real Madrid"/>
        <s v="Real Sociedad"/>
        <s v="Sevilla"/>
        <s v="Valencia"/>
        <s v="Villarreal"/>
        <s v="AC Milan"/>
        <s v="Atalanta"/>
        <s v="Bologna"/>
        <s v="Cagliari"/>
        <s v="Empoli"/>
        <s v="Fiorentina"/>
        <s v="Genoa"/>
        <s v="Inter Milan"/>
        <s v="Juventus"/>
        <s v="Lazio"/>
        <s v="Napoli"/>
        <s v="Roma"/>
        <s v="Salernitana"/>
        <s v="Sampdoria"/>
        <s v="Sassuolo"/>
        <s v="Spezia"/>
        <s v="Torino"/>
        <s v="Udinese"/>
        <s v="Valeria"/>
        <s v="Verona"/>
        <s v="Adana Demirspor"/>
        <s v="Alanyaspor"/>
        <s v="Altay"/>
        <s v="Antalyaspor"/>
        <s v="Beşiktaş"/>
        <s v="Fatih Karagumruk"/>
        <s v="Fenerbahçe"/>
        <s v="Galatasaray"/>
        <s v="Gaziantep FK"/>
        <s v="Giresunspor"/>
        <s v="Göztepe"/>
        <s v="Hatayspor"/>
        <s v="Istanbul Başakşehir"/>
        <s v="Kasımpaşa"/>
        <s v="Kayserispor"/>
        <s v="Konyaspor"/>
        <s v="Rizespor"/>
        <s v="Sivasspor"/>
        <s v="Trabzonspor"/>
        <s v="Yeni Malatyaspor"/>
        <s v="Angers SCO"/>
        <s v="AS Monaco"/>
        <s v="AS Saint-Étienne"/>
        <s v="Clermont Foot"/>
        <s v="Metz"/>
        <s v="Nantes"/>
        <s v="Girondins de Bordeaux"/>
        <s v="Lille OSC"/>
        <s v="Lorient"/>
        <s v="Montpellier HSC"/>
        <s v="OGC Nice"/>
        <s v="Olympique de Marseille"/>
        <s v="Olympique Lyonnais (Lyon)"/>
        <s v="Paris Saint-Germain (PSG)"/>
        <s v="RC Lens"/>
        <s v="RC Strasbourg Alsace"/>
        <s v="Stade Brestois"/>
        <s v="Stade de Reims"/>
        <s v="Stade Rennais"/>
        <s v="Troyes AC"/>
        <s v="Fulham"/>
        <s v="Sheffield United"/>
        <s v="West Bromwich Albion"/>
        <s v="Alavés"/>
        <s v="Eibar"/>
        <s v="Huesca"/>
        <s v="Valladolid"/>
        <s v="Benevento"/>
        <s v="Crotone"/>
        <s v="Parma"/>
        <s v="Ankaragücü"/>
        <s v="BB Erzurumspor"/>
        <s v="Denizlispor"/>
        <s v="Gençlerbirliği"/>
        <s v="Dijon FCO"/>
        <s v="Nîmes Olympique"/>
        <s v="Bournemouth"/>
        <s v="Leganés"/>
        <s v="Brescia"/>
        <s v="Lecce"/>
        <s v="SPAL"/>
        <s v="Amiens SC"/>
        <s v="Toulouse"/>
        <s v="Cardiff City"/>
        <s v="Huddersfield Town"/>
        <s v="Girona"/>
        <s v="Chievo"/>
        <s v="Frosinone"/>
        <s v="Akhisarspor"/>
        <s v="Bursaspor"/>
        <s v="Caen"/>
        <s v="EA Guingamp"/>
        <s v="Stoke City"/>
        <s v="Swansea City"/>
        <s v="Deportivo La Coruña"/>
        <s v="Las Palmas"/>
        <s v="Málaga"/>
        <s v="Akhisar Belediyespor"/>
        <s v="Karabükspor"/>
        <s v="Osmanlispor"/>
        <m/>
        <s v="Hull City"/>
        <s v="Middlesbrough"/>
        <s v="Sunderland"/>
        <s v="Sporting Gijón"/>
        <s v="Palermo"/>
        <s v="Pescara"/>
        <s v="Adanaspor"/>
        <s v="Nancy Lorraine"/>
        <s v="SC Bastia"/>
        <s v="Fatih Karagümrük" u="1"/>
        <s v="Liverpool FC" u="1"/>
        <s v="FC Lorient" u="1"/>
        <s v="Alaves" u="1"/>
        <s v="Reims" u="1"/>
        <s v="Lyon" u="1"/>
        <s v="FC Metz" u="1"/>
        <s v="Sevilla FC" u="1"/>
        <s v="Internazionale" u="1"/>
        <s v="Çaykur Rizespor" u="1"/>
        <s v="FC Nantes" u="1"/>
        <s v="Fenerbahce" u="1"/>
        <s v="Internazionale (Inter Milan)" u="1"/>
        <s v="Levante UD" u="1"/>
        <s v="Monaco" u="1"/>
        <s v="Milan" u="1"/>
        <s v="Leganes" u="1"/>
        <s v="Deportivo La Coruna" u="1"/>
        <s v="Monza" u="1"/>
        <s v="Milan (AC Milan)" u="1"/>
        <s v="Karagümrük" u="1"/>
        <s v="Olympique Lyonnais" u="1"/>
        <s v="Genclerbirligi" u="1"/>
        <s v="Nice" u="1"/>
        <s v="Gungamp" u="1"/>
        <s v="Saint-Étienne" u="1"/>
        <s v="İstanbul Başakşehir" u="1"/>
        <s v="Glatasaray" u="1"/>
        <s v="Amiens" u="1"/>
        <s v="Stade Brestois 29" u="1"/>
        <s v="Rennes" u="1"/>
        <s v="Southampton FC" u="1"/>
        <s v="Valencia CF" u="1"/>
        <s v="Norwich City FC" u="1"/>
        <s v="Montpellier Hérault SC" u="1"/>
        <s v="Malaga" u="1"/>
        <s v="Istanbul Basaksehir" u="1"/>
        <s v="Guingamp" u="1"/>
        <s v="Besiktas" u="1"/>
        <s v="AS Roma" u="1"/>
        <s v="Stade Rennais FC" u="1"/>
        <s v="Strasbourg" u="1"/>
        <s v="Atletico Madrid" u="1"/>
        <s v="Villarreal CF" u="1"/>
        <s v="LOSC Lille" u="1"/>
        <s v="Ankaraspor" u="1"/>
        <s v="Chelsea FC" u="1"/>
        <s v="Malatyaspor" u="1"/>
        <s v="Brest" u="1"/>
        <s v="FC Barcelona" u="1"/>
        <s v="SSC Napoli" u="1"/>
        <s v="Gaziantep" u="1"/>
        <s v="Everton FC" u="1"/>
        <s v="Roma (AS Roma)" u="1"/>
        <s v="Gaziantepspor" u="1"/>
        <s v="Montpellier" u="1"/>
        <s v="Caykur Rizespor" u="1"/>
        <s v="MKE Ankaragücü" u="1"/>
        <s v="Getafe CF" u="1"/>
        <s v="Girona FC" u="1"/>
        <s v="SD Huesca" u="1"/>
        <s v="Kasimpasa" u="1"/>
        <s v="Erzurum BB" u="1"/>
        <s v="Hellas Verona" u="1"/>
        <s v="AstonVilla" u="1"/>
        <s v="Marseille" u="1"/>
        <s v="Toulouse FC" u="1"/>
        <s v="Bordeaux" u="1"/>
        <s v="Venezia" u="1"/>
        <s v="Dijon" u="1"/>
        <s v="Chievo Verona" u="1"/>
        <s v="Karabükspor (Kardemir Karabükspor)" u="1"/>
        <s v="SM Caen" u="1"/>
        <s v="Lille" u="1"/>
      </sharedItems>
    </cacheField>
    <cacheField name="League" numFmtId="0">
      <sharedItems containsBlank="1" count="6">
        <s v="Premier League(England)"/>
        <s v="La Liga(Spain)"/>
        <s v="Serie A(Italy)"/>
        <s v="Süper Lig(Turkey)"/>
        <s v="Ligue 1(France)"/>
        <m/>
      </sharedItems>
    </cacheField>
    <cacheField name="S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34.735152314817" createdVersion="8" refreshedVersion="8" minRefreshableVersion="3" recordCount="495" xr:uid="{FCEC2851-8863-BE4D-B318-6B81E2E0CDE4}">
  <cacheSource type="worksheet">
    <worksheetSource ref="A2:S408" sheet="Sheet 1"/>
  </cacheSource>
  <cacheFields count="14">
    <cacheField name="Team Name" numFmtId="0">
      <sharedItems count="140">
        <s v="Arsenal"/>
        <s v="Aston Villa"/>
        <s v="Brentford FC"/>
        <s v="Brighton &amp; Hove Albion"/>
        <s v="Burnley"/>
        <s v="Chelsea"/>
        <s v="Crystal Palace"/>
        <s v="Everton"/>
        <s v="Leeds United"/>
        <s v="Leicester City"/>
        <s v="Liverpool"/>
        <s v="Manchester City"/>
        <s v="Manchester United"/>
        <s v="Newcastle United"/>
        <s v="Norwich City"/>
        <s v="Southampton"/>
        <s v="Tottenham Hotspur"/>
        <s v="Watford"/>
        <s v="West Ham United"/>
        <s v="Wolverhampton Wanderers"/>
        <s v="Athletic Bilbao"/>
        <s v="Atlético Madrid"/>
        <s v="Barcelona"/>
        <s v="Cádiz"/>
        <s v="Celta Vigo"/>
        <s v="Deportivo Alavés"/>
        <s v="Elche"/>
        <s v="Espanyol"/>
        <s v="Getafe"/>
        <s v="Granada"/>
        <s v="Levante"/>
        <s v="Mallorca"/>
        <s v="Osasuna"/>
        <s v="Rayo Vallecano"/>
        <s v="Real Betis"/>
        <s v="Real Madrid"/>
        <s v="Real Sociedad"/>
        <s v="Sevilla"/>
        <s v="Valencia"/>
        <s v="Villarreal"/>
        <s v="AC Milan"/>
        <s v="Atalanta"/>
        <s v="Bologna"/>
        <s v="Cagliari"/>
        <s v="Empoli"/>
        <s v="Fiorentina"/>
        <s v="Genoa"/>
        <s v="Inter Milan"/>
        <s v="Juventus"/>
        <s v="Lazio"/>
        <s v="Napoli"/>
        <s v="Roma"/>
        <s v="Salernitana"/>
        <s v="Sampdoria"/>
        <s v="Sassuolo"/>
        <s v="Spezia"/>
        <s v="Torino"/>
        <s v="Udinese"/>
        <s v="Valeria"/>
        <s v="Verona"/>
        <s v="Adana Demirspor"/>
        <s v="Alanyaspor"/>
        <s v="Altay"/>
        <s v="Antalyaspor"/>
        <s v="Beşiktaş"/>
        <s v="Fatih Karagumruk"/>
        <s v="Fenerbahçe"/>
        <s v="Galatasaray"/>
        <s v="Gaziantep FK"/>
        <s v="Giresunspor"/>
        <s v="Göztepe"/>
        <s v="Hatayspor"/>
        <s v="Istanbul Başakşehir"/>
        <s v="Kasımpaşa"/>
        <s v="Kayserispor"/>
        <s v="Konyaspor"/>
        <s v="Rizespor"/>
        <s v="Sivasspor"/>
        <s v="Trabzonspor"/>
        <s v="Yeni Malatyaspor"/>
        <s v="Angers SCO"/>
        <s v="AS Monaco"/>
        <s v="AS Saint-Étienne"/>
        <s v="Clermont Foot"/>
        <s v="Metz"/>
        <s v="Nantes"/>
        <s v="Girondins de Bordeaux"/>
        <s v="Lille OSC"/>
        <s v="Lorient"/>
        <s v="Montpellier HSC"/>
        <s v="OGC Nice"/>
        <s v="Olympique de Marseille"/>
        <s v="Olympique Lyonnais (Lyon)"/>
        <s v="Paris Saint-Germain (PSG)"/>
        <s v="RC Lens"/>
        <s v="RC Strasbourg Alsace"/>
        <s v="Stade Brestois"/>
        <s v="Stade de Reims"/>
        <s v="Stade Rennais"/>
        <s v="Troyes AC"/>
        <s v="Fulham"/>
        <s v="Sheffield United"/>
        <s v="West Bromwich Albion"/>
        <s v="Alavés"/>
        <s v="Eibar"/>
        <s v="Huesca"/>
        <s v="Valladolid"/>
        <s v="Benevento"/>
        <s v="Crotone"/>
        <s v="Parma"/>
        <s v="Ankaragücü"/>
        <s v="BB Erzurumspor"/>
        <s v="Denizlispor"/>
        <s v="Gençlerbirliği"/>
        <s v="Dijon FCO"/>
        <s v="Nîmes Olympique"/>
        <s v="Bournemouth"/>
        <s v="Leganés"/>
        <s v="Brescia"/>
        <s v="Lecce"/>
        <s v="SPAL"/>
        <s v="Amiens SC"/>
        <s v="Toulouse"/>
        <s v="Cardiff City"/>
        <s v="Huddersfield Town"/>
        <s v="Girona"/>
        <s v="Chievo"/>
        <s v="Frosinone"/>
        <s v="Akhisarspor"/>
        <s v="Bursaspor"/>
        <s v="Caen"/>
        <s v="EA Guingamp"/>
        <s v="Stoke City"/>
        <s v="Swansea City"/>
        <s v="Deportivo La Coruña"/>
        <s v="Las Palmas"/>
        <s v="Málaga"/>
        <s v="Akhisar Belediyespor"/>
        <s v="Karabükspor"/>
        <s v="Osmanlispor"/>
      </sharedItems>
    </cacheField>
    <cacheField name="League" numFmtId="0">
      <sharedItems count="5">
        <s v="Premier League(England)"/>
        <s v="La Liga(Spain)"/>
        <s v="Serie A(Italy)"/>
        <s v="Süper Lig(Turkey)"/>
        <s v="Ligue 1(France)"/>
      </sharedItems>
    </cacheField>
    <cacheField name="Season" numFmtId="0">
      <sharedItems/>
    </cacheField>
    <cacheField name="Financial Irregularities(1=yes,0=no)" numFmtId="0">
      <sharedItems containsString="0" containsBlank="1" containsNumber="1" containsInteger="1" minValue="0" maxValue="1"/>
    </cacheField>
    <cacheField name="League Standing" numFmtId="0">
      <sharedItems containsSemiMixedTypes="0" containsString="0" containsNumber="1" containsInteger="1" minValue="1" maxValue="21"/>
    </cacheField>
    <cacheField name="Net profit(000,000s)" numFmtId="165">
      <sharedItems containsBlank="1" containsMixedTypes="1" containsNumber="1" containsInteger="1" minValue="-481318" maxValue="127307"/>
    </cacheField>
    <cacheField name="Number of employees" numFmtId="0">
      <sharedItems containsBlank="1" containsMixedTypes="1" containsNumber="1" containsInteger="1" minValue="12" maxValue="1412"/>
    </cacheField>
    <cacheField name="Debt(Loans and short term debt)(000,000s)" numFmtId="0">
      <sharedItems containsBlank="1" containsMixedTypes="1" containsNumber="1" containsInteger="1" minValue="0" maxValue="511433"/>
    </cacheField>
    <cacheField name="Total Assets(000,000s)" numFmtId="164">
      <sharedItems containsBlank="1" containsMixedTypes="1" containsNumber="1" containsInteger="1" minValue="136" maxValue="2269223"/>
    </cacheField>
    <cacheField name="Operating Revenue(000,000s)" numFmtId="0">
      <sharedItems containsBlank="1" containsMixedTypes="1" containsNumber="1" containsInteger="1" minValue="7540" maxValue="852171"/>
    </cacheField>
    <cacheField name="Total Equity(Shareholders funds)(000,000s)" numFmtId="0">
      <sharedItems containsBlank="1" containsMixedTypes="1" containsNumber="1" containsInteger="1" minValue="-450732" maxValue="843665"/>
    </cacheField>
    <cacheField name="Non Current Liabilities(000,000s)" numFmtId="164">
      <sharedItems containsBlank="1" containsMixedTypes="1" containsNumber="1" containsInteger="1" minValue="0" maxValue="1358642"/>
    </cacheField>
    <cacheField name="Current liabilities(000,000s)" numFmtId="164">
      <sharedItems containsBlank="1" containsMixedTypes="1" containsNumber="1" containsInteger="1" minValue="174" maxValue="970349"/>
    </cacheField>
    <cacheField name="Total Liabilities(000,000s)" numFmtId="164">
      <sharedItems containsBlank="1" containsMixedTypes="1" containsNumber="1" containsInteger="1" minValue="0" maxValue="1962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">
  <r>
    <x v="0"/>
    <x v="0"/>
    <s v="21/22"/>
  </r>
  <r>
    <x v="1"/>
    <x v="0"/>
    <s v="21/22"/>
  </r>
  <r>
    <x v="2"/>
    <x v="0"/>
    <s v="21/22"/>
  </r>
  <r>
    <x v="3"/>
    <x v="0"/>
    <s v="21/22"/>
  </r>
  <r>
    <x v="4"/>
    <x v="0"/>
    <s v="21/22"/>
  </r>
  <r>
    <x v="5"/>
    <x v="0"/>
    <s v="21/22"/>
  </r>
  <r>
    <x v="6"/>
    <x v="0"/>
    <s v="21/22"/>
  </r>
  <r>
    <x v="7"/>
    <x v="0"/>
    <s v="21/22"/>
  </r>
  <r>
    <x v="8"/>
    <x v="0"/>
    <s v="21/22"/>
  </r>
  <r>
    <x v="9"/>
    <x v="0"/>
    <s v="21/22"/>
  </r>
  <r>
    <x v="10"/>
    <x v="0"/>
    <s v="21/22"/>
  </r>
  <r>
    <x v="11"/>
    <x v="0"/>
    <s v="21/22"/>
  </r>
  <r>
    <x v="12"/>
    <x v="0"/>
    <s v="21/22"/>
  </r>
  <r>
    <x v="13"/>
    <x v="0"/>
    <s v="21/22"/>
  </r>
  <r>
    <x v="14"/>
    <x v="0"/>
    <s v="21/22"/>
  </r>
  <r>
    <x v="15"/>
    <x v="0"/>
    <s v="21/22"/>
  </r>
  <r>
    <x v="16"/>
    <x v="0"/>
    <s v="21/22"/>
  </r>
  <r>
    <x v="17"/>
    <x v="0"/>
    <s v="21/22"/>
  </r>
  <r>
    <x v="18"/>
    <x v="0"/>
    <s v="21/22"/>
  </r>
  <r>
    <x v="19"/>
    <x v="0"/>
    <s v="21/22"/>
  </r>
  <r>
    <x v="20"/>
    <x v="1"/>
    <s v="21/22"/>
  </r>
  <r>
    <x v="21"/>
    <x v="1"/>
    <s v="21/22"/>
  </r>
  <r>
    <x v="22"/>
    <x v="1"/>
    <s v="21/22"/>
  </r>
  <r>
    <x v="23"/>
    <x v="1"/>
    <s v="21/22"/>
  </r>
  <r>
    <x v="24"/>
    <x v="1"/>
    <s v="21/22"/>
  </r>
  <r>
    <x v="25"/>
    <x v="1"/>
    <s v="21/22"/>
  </r>
  <r>
    <x v="26"/>
    <x v="1"/>
    <s v="21/22"/>
  </r>
  <r>
    <x v="27"/>
    <x v="1"/>
    <s v="21/22"/>
  </r>
  <r>
    <x v="28"/>
    <x v="1"/>
    <s v="21/22"/>
  </r>
  <r>
    <x v="29"/>
    <x v="1"/>
    <s v="21/22"/>
  </r>
  <r>
    <x v="30"/>
    <x v="1"/>
    <s v="21/22"/>
  </r>
  <r>
    <x v="31"/>
    <x v="1"/>
    <s v="21/22"/>
  </r>
  <r>
    <x v="32"/>
    <x v="1"/>
    <s v="21/22"/>
  </r>
  <r>
    <x v="33"/>
    <x v="1"/>
    <s v="21/22"/>
  </r>
  <r>
    <x v="34"/>
    <x v="1"/>
    <s v="21/22"/>
  </r>
  <r>
    <x v="35"/>
    <x v="1"/>
    <s v="21/22"/>
  </r>
  <r>
    <x v="36"/>
    <x v="1"/>
    <s v="21/22"/>
  </r>
  <r>
    <x v="37"/>
    <x v="1"/>
    <s v="21/22"/>
  </r>
  <r>
    <x v="38"/>
    <x v="1"/>
    <s v="21/22"/>
  </r>
  <r>
    <x v="39"/>
    <x v="1"/>
    <s v="21/22"/>
  </r>
  <r>
    <x v="40"/>
    <x v="2"/>
    <s v="21/22"/>
  </r>
  <r>
    <x v="41"/>
    <x v="2"/>
    <s v="21/22"/>
  </r>
  <r>
    <x v="42"/>
    <x v="2"/>
    <s v="21/22"/>
  </r>
  <r>
    <x v="43"/>
    <x v="2"/>
    <s v="21/22"/>
  </r>
  <r>
    <x v="44"/>
    <x v="2"/>
    <s v="21/22"/>
  </r>
  <r>
    <x v="45"/>
    <x v="2"/>
    <s v="21/22"/>
  </r>
  <r>
    <x v="46"/>
    <x v="2"/>
    <s v="21/22"/>
  </r>
  <r>
    <x v="47"/>
    <x v="2"/>
    <s v="21/22"/>
  </r>
  <r>
    <x v="48"/>
    <x v="2"/>
    <s v="21/22"/>
  </r>
  <r>
    <x v="49"/>
    <x v="2"/>
    <s v="21/22"/>
  </r>
  <r>
    <x v="50"/>
    <x v="2"/>
    <s v="21/22"/>
  </r>
  <r>
    <x v="51"/>
    <x v="2"/>
    <s v="21/22"/>
  </r>
  <r>
    <x v="52"/>
    <x v="2"/>
    <s v="21/22"/>
  </r>
  <r>
    <x v="53"/>
    <x v="2"/>
    <s v="21/22"/>
  </r>
  <r>
    <x v="54"/>
    <x v="2"/>
    <s v="21/22"/>
  </r>
  <r>
    <x v="55"/>
    <x v="2"/>
    <s v="21/22"/>
  </r>
  <r>
    <x v="56"/>
    <x v="2"/>
    <s v="21/22"/>
  </r>
  <r>
    <x v="57"/>
    <x v="2"/>
    <s v="21/22"/>
  </r>
  <r>
    <x v="58"/>
    <x v="2"/>
    <s v="21/22"/>
  </r>
  <r>
    <x v="59"/>
    <x v="2"/>
    <s v="21/22"/>
  </r>
  <r>
    <x v="60"/>
    <x v="3"/>
    <s v="21/22"/>
  </r>
  <r>
    <x v="61"/>
    <x v="3"/>
    <s v="21/22"/>
  </r>
  <r>
    <x v="62"/>
    <x v="3"/>
    <s v="21/22"/>
  </r>
  <r>
    <x v="63"/>
    <x v="3"/>
    <s v="21/22"/>
  </r>
  <r>
    <x v="64"/>
    <x v="3"/>
    <s v="21/22"/>
  </r>
  <r>
    <x v="65"/>
    <x v="3"/>
    <s v="21/22"/>
  </r>
  <r>
    <x v="66"/>
    <x v="3"/>
    <s v="21/22"/>
  </r>
  <r>
    <x v="67"/>
    <x v="3"/>
    <s v="21/22"/>
  </r>
  <r>
    <x v="68"/>
    <x v="3"/>
    <s v="21/22"/>
  </r>
  <r>
    <x v="69"/>
    <x v="3"/>
    <s v="21/22"/>
  </r>
  <r>
    <x v="70"/>
    <x v="3"/>
    <s v="21/22"/>
  </r>
  <r>
    <x v="71"/>
    <x v="3"/>
    <s v="21/22"/>
  </r>
  <r>
    <x v="72"/>
    <x v="3"/>
    <s v="21/22"/>
  </r>
  <r>
    <x v="73"/>
    <x v="3"/>
    <s v="21/22"/>
  </r>
  <r>
    <x v="74"/>
    <x v="3"/>
    <s v="21/22"/>
  </r>
  <r>
    <x v="75"/>
    <x v="3"/>
    <s v="21/22"/>
  </r>
  <r>
    <x v="76"/>
    <x v="3"/>
    <s v="21/22"/>
  </r>
  <r>
    <x v="77"/>
    <x v="3"/>
    <s v="21/22"/>
  </r>
  <r>
    <x v="78"/>
    <x v="3"/>
    <s v="21/22"/>
  </r>
  <r>
    <x v="79"/>
    <x v="3"/>
    <s v="21/22"/>
  </r>
  <r>
    <x v="80"/>
    <x v="4"/>
    <s v="21/22"/>
  </r>
  <r>
    <x v="81"/>
    <x v="4"/>
    <s v="21/22"/>
  </r>
  <r>
    <x v="82"/>
    <x v="4"/>
    <s v="21/22"/>
  </r>
  <r>
    <x v="83"/>
    <x v="4"/>
    <s v="21/22"/>
  </r>
  <r>
    <x v="84"/>
    <x v="4"/>
    <s v="21/22"/>
  </r>
  <r>
    <x v="85"/>
    <x v="4"/>
    <s v="21/22"/>
  </r>
  <r>
    <x v="86"/>
    <x v="4"/>
    <s v="21/22"/>
  </r>
  <r>
    <x v="87"/>
    <x v="4"/>
    <s v="21/22"/>
  </r>
  <r>
    <x v="88"/>
    <x v="4"/>
    <s v="21/22"/>
  </r>
  <r>
    <x v="89"/>
    <x v="4"/>
    <s v="21/22"/>
  </r>
  <r>
    <x v="90"/>
    <x v="4"/>
    <s v="21/22"/>
  </r>
  <r>
    <x v="91"/>
    <x v="4"/>
    <s v="21/22"/>
  </r>
  <r>
    <x v="92"/>
    <x v="4"/>
    <s v="21/22"/>
  </r>
  <r>
    <x v="93"/>
    <x v="4"/>
    <s v="21/22"/>
  </r>
  <r>
    <x v="94"/>
    <x v="4"/>
    <s v="21/22"/>
  </r>
  <r>
    <x v="95"/>
    <x v="4"/>
    <s v="21/22"/>
  </r>
  <r>
    <x v="96"/>
    <x v="4"/>
    <s v="21/22"/>
  </r>
  <r>
    <x v="97"/>
    <x v="4"/>
    <s v="21/22"/>
  </r>
  <r>
    <x v="98"/>
    <x v="4"/>
    <s v="21/22"/>
  </r>
  <r>
    <x v="99"/>
    <x v="4"/>
    <s v="21/22"/>
  </r>
  <r>
    <x v="0"/>
    <x v="0"/>
    <s v="20/21"/>
  </r>
  <r>
    <x v="1"/>
    <x v="0"/>
    <s v="20/21"/>
  </r>
  <r>
    <x v="3"/>
    <x v="0"/>
    <s v="20/21"/>
  </r>
  <r>
    <x v="4"/>
    <x v="0"/>
    <s v="20/21"/>
  </r>
  <r>
    <x v="5"/>
    <x v="0"/>
    <s v="20/21"/>
  </r>
  <r>
    <x v="6"/>
    <x v="0"/>
    <s v="20/21"/>
  </r>
  <r>
    <x v="7"/>
    <x v="0"/>
    <s v="20/21"/>
  </r>
  <r>
    <x v="100"/>
    <x v="0"/>
    <s v="20/21"/>
  </r>
  <r>
    <x v="8"/>
    <x v="0"/>
    <s v="20/21"/>
  </r>
  <r>
    <x v="9"/>
    <x v="0"/>
    <s v="20/21"/>
  </r>
  <r>
    <x v="10"/>
    <x v="0"/>
    <s v="20/21"/>
  </r>
  <r>
    <x v="11"/>
    <x v="0"/>
    <s v="20/21"/>
  </r>
  <r>
    <x v="12"/>
    <x v="0"/>
    <s v="20/21"/>
  </r>
  <r>
    <x v="13"/>
    <x v="0"/>
    <s v="20/21"/>
  </r>
  <r>
    <x v="101"/>
    <x v="0"/>
    <s v="20/21"/>
  </r>
  <r>
    <x v="15"/>
    <x v="0"/>
    <s v="20/21"/>
  </r>
  <r>
    <x v="16"/>
    <x v="0"/>
    <s v="20/21"/>
  </r>
  <r>
    <x v="102"/>
    <x v="0"/>
    <s v="20/21"/>
  </r>
  <r>
    <x v="18"/>
    <x v="0"/>
    <s v="20/21"/>
  </r>
  <r>
    <x v="19"/>
    <x v="0"/>
    <s v="20/21"/>
  </r>
  <r>
    <x v="103"/>
    <x v="1"/>
    <s v="20/21"/>
  </r>
  <r>
    <x v="20"/>
    <x v="1"/>
    <s v="20/21"/>
  </r>
  <r>
    <x v="21"/>
    <x v="1"/>
    <s v="20/21"/>
  </r>
  <r>
    <x v="22"/>
    <x v="1"/>
    <s v="20/21"/>
  </r>
  <r>
    <x v="23"/>
    <x v="1"/>
    <s v="20/21"/>
  </r>
  <r>
    <x v="24"/>
    <x v="1"/>
    <s v="20/21"/>
  </r>
  <r>
    <x v="104"/>
    <x v="1"/>
    <s v="20/21"/>
  </r>
  <r>
    <x v="26"/>
    <x v="1"/>
    <s v="20/21"/>
  </r>
  <r>
    <x v="28"/>
    <x v="1"/>
    <s v="20/21"/>
  </r>
  <r>
    <x v="29"/>
    <x v="1"/>
    <s v="20/21"/>
  </r>
  <r>
    <x v="105"/>
    <x v="1"/>
    <s v="20/21"/>
  </r>
  <r>
    <x v="30"/>
    <x v="1"/>
    <s v="20/21"/>
  </r>
  <r>
    <x v="32"/>
    <x v="1"/>
    <s v="20/21"/>
  </r>
  <r>
    <x v="34"/>
    <x v="1"/>
    <s v="20/21"/>
  </r>
  <r>
    <x v="35"/>
    <x v="1"/>
    <s v="20/21"/>
  </r>
  <r>
    <x v="36"/>
    <x v="1"/>
    <s v="20/21"/>
  </r>
  <r>
    <x v="37"/>
    <x v="1"/>
    <s v="20/21"/>
  </r>
  <r>
    <x v="38"/>
    <x v="1"/>
    <s v="20/21"/>
  </r>
  <r>
    <x v="106"/>
    <x v="1"/>
    <s v="20/21"/>
  </r>
  <r>
    <x v="39"/>
    <x v="1"/>
    <s v="20/21"/>
  </r>
  <r>
    <x v="40"/>
    <x v="2"/>
    <s v="20/21"/>
  </r>
  <r>
    <x v="41"/>
    <x v="2"/>
    <s v="20/21"/>
  </r>
  <r>
    <x v="107"/>
    <x v="2"/>
    <s v="20/21"/>
  </r>
  <r>
    <x v="42"/>
    <x v="2"/>
    <s v="20/21"/>
  </r>
  <r>
    <x v="43"/>
    <x v="2"/>
    <s v="20/21"/>
  </r>
  <r>
    <x v="108"/>
    <x v="2"/>
    <s v="20/21"/>
  </r>
  <r>
    <x v="45"/>
    <x v="2"/>
    <s v="20/21"/>
  </r>
  <r>
    <x v="46"/>
    <x v="2"/>
    <s v="20/21"/>
  </r>
  <r>
    <x v="47"/>
    <x v="2"/>
    <s v="20/21"/>
  </r>
  <r>
    <x v="48"/>
    <x v="2"/>
    <s v="20/21"/>
  </r>
  <r>
    <x v="49"/>
    <x v="2"/>
    <s v="20/21"/>
  </r>
  <r>
    <x v="50"/>
    <x v="2"/>
    <s v="20/21"/>
  </r>
  <r>
    <x v="109"/>
    <x v="2"/>
    <s v="20/21"/>
  </r>
  <r>
    <x v="51"/>
    <x v="2"/>
    <s v="20/21"/>
  </r>
  <r>
    <x v="53"/>
    <x v="2"/>
    <s v="20/21"/>
  </r>
  <r>
    <x v="54"/>
    <x v="2"/>
    <s v="20/21"/>
  </r>
  <r>
    <x v="55"/>
    <x v="2"/>
    <s v="20/21"/>
  </r>
  <r>
    <x v="56"/>
    <x v="2"/>
    <s v="20/21"/>
  </r>
  <r>
    <x v="57"/>
    <x v="2"/>
    <s v="20/21"/>
  </r>
  <r>
    <x v="59"/>
    <x v="2"/>
    <s v="20/21"/>
  </r>
  <r>
    <x v="61"/>
    <x v="3"/>
    <s v="20/21"/>
  </r>
  <r>
    <x v="110"/>
    <x v="3"/>
    <s v="20/21"/>
  </r>
  <r>
    <x v="63"/>
    <x v="3"/>
    <s v="20/21"/>
  </r>
  <r>
    <x v="111"/>
    <x v="3"/>
    <s v="20/21"/>
  </r>
  <r>
    <x v="64"/>
    <x v="3"/>
    <s v="20/21"/>
  </r>
  <r>
    <x v="112"/>
    <x v="3"/>
    <s v="20/21"/>
  </r>
  <r>
    <x v="65"/>
    <x v="3"/>
    <s v="20/21"/>
  </r>
  <r>
    <x v="66"/>
    <x v="3"/>
    <s v="20/21"/>
  </r>
  <r>
    <x v="67"/>
    <x v="3"/>
    <s v="20/21"/>
  </r>
  <r>
    <x v="68"/>
    <x v="3"/>
    <s v="20/21"/>
  </r>
  <r>
    <x v="113"/>
    <x v="3"/>
    <s v="20/21"/>
  </r>
  <r>
    <x v="70"/>
    <x v="3"/>
    <s v="20/21"/>
  </r>
  <r>
    <x v="71"/>
    <x v="3"/>
    <s v="20/21"/>
  </r>
  <r>
    <x v="72"/>
    <x v="3"/>
    <s v="20/21"/>
  </r>
  <r>
    <x v="73"/>
    <x v="3"/>
    <s v="20/21"/>
  </r>
  <r>
    <x v="74"/>
    <x v="3"/>
    <s v="20/21"/>
  </r>
  <r>
    <x v="75"/>
    <x v="3"/>
    <s v="20/21"/>
  </r>
  <r>
    <x v="76"/>
    <x v="3"/>
    <s v="20/21"/>
  </r>
  <r>
    <x v="77"/>
    <x v="3"/>
    <s v="20/21"/>
  </r>
  <r>
    <x v="78"/>
    <x v="3"/>
    <s v="20/21"/>
  </r>
  <r>
    <x v="79"/>
    <x v="3"/>
    <s v="20/21"/>
  </r>
  <r>
    <x v="80"/>
    <x v="4"/>
    <s v="20/21"/>
  </r>
  <r>
    <x v="81"/>
    <x v="4"/>
    <s v="20/21"/>
  </r>
  <r>
    <x v="82"/>
    <x v="4"/>
    <s v="20/21"/>
  </r>
  <r>
    <x v="114"/>
    <x v="4"/>
    <s v="20/21"/>
  </r>
  <r>
    <x v="86"/>
    <x v="4"/>
    <s v="20/21"/>
  </r>
  <r>
    <x v="87"/>
    <x v="4"/>
    <s v="20/21"/>
  </r>
  <r>
    <x v="88"/>
    <x v="4"/>
    <s v="20/21"/>
  </r>
  <r>
    <x v="84"/>
    <x v="4"/>
    <s v="20/21"/>
  </r>
  <r>
    <x v="89"/>
    <x v="4"/>
    <s v="20/21"/>
  </r>
  <r>
    <x v="85"/>
    <x v="4"/>
    <s v="20/21"/>
  </r>
  <r>
    <x v="115"/>
    <x v="4"/>
    <s v="20/21"/>
  </r>
  <r>
    <x v="90"/>
    <x v="4"/>
    <s v="20/21"/>
  </r>
  <r>
    <x v="91"/>
    <x v="4"/>
    <s v="20/21"/>
  </r>
  <r>
    <x v="92"/>
    <x v="4"/>
    <s v="20/21"/>
  </r>
  <r>
    <x v="93"/>
    <x v="4"/>
    <s v="20/21"/>
  </r>
  <r>
    <x v="94"/>
    <x v="4"/>
    <s v="20/21"/>
  </r>
  <r>
    <x v="95"/>
    <x v="4"/>
    <s v="20/21"/>
  </r>
  <r>
    <x v="96"/>
    <x v="4"/>
    <s v="20/21"/>
  </r>
  <r>
    <x v="97"/>
    <x v="4"/>
    <s v="20/21"/>
  </r>
  <r>
    <x v="98"/>
    <x v="4"/>
    <s v="20/21"/>
  </r>
  <r>
    <x v="0"/>
    <x v="0"/>
    <s v="19/20"/>
  </r>
  <r>
    <x v="1"/>
    <x v="0"/>
    <s v="19/20"/>
  </r>
  <r>
    <x v="116"/>
    <x v="0"/>
    <s v="19/20"/>
  </r>
  <r>
    <x v="3"/>
    <x v="0"/>
    <s v="19/20"/>
  </r>
  <r>
    <x v="4"/>
    <x v="0"/>
    <s v="19/20"/>
  </r>
  <r>
    <x v="5"/>
    <x v="0"/>
    <s v="19/20"/>
  </r>
  <r>
    <x v="6"/>
    <x v="0"/>
    <s v="19/20"/>
  </r>
  <r>
    <x v="7"/>
    <x v="0"/>
    <s v="19/20"/>
  </r>
  <r>
    <x v="9"/>
    <x v="0"/>
    <s v="19/20"/>
  </r>
  <r>
    <x v="10"/>
    <x v="0"/>
    <s v="19/20"/>
  </r>
  <r>
    <x v="11"/>
    <x v="0"/>
    <s v="19/20"/>
  </r>
  <r>
    <x v="12"/>
    <x v="0"/>
    <s v="19/20"/>
  </r>
  <r>
    <x v="13"/>
    <x v="0"/>
    <s v="19/20"/>
  </r>
  <r>
    <x v="14"/>
    <x v="0"/>
    <s v="19/20"/>
  </r>
  <r>
    <x v="101"/>
    <x v="0"/>
    <s v="19/20"/>
  </r>
  <r>
    <x v="15"/>
    <x v="0"/>
    <s v="19/20"/>
  </r>
  <r>
    <x v="16"/>
    <x v="0"/>
    <s v="19/20"/>
  </r>
  <r>
    <x v="17"/>
    <x v="0"/>
    <s v="19/20"/>
  </r>
  <r>
    <x v="18"/>
    <x v="0"/>
    <s v="19/20"/>
  </r>
  <r>
    <x v="19"/>
    <x v="0"/>
    <s v="19/20"/>
  </r>
  <r>
    <x v="103"/>
    <x v="1"/>
    <s v="19/20"/>
  </r>
  <r>
    <x v="20"/>
    <x v="1"/>
    <s v="19/20"/>
  </r>
  <r>
    <x v="21"/>
    <x v="1"/>
    <s v="19/20"/>
  </r>
  <r>
    <x v="22"/>
    <x v="1"/>
    <s v="19/20"/>
  </r>
  <r>
    <x v="24"/>
    <x v="1"/>
    <s v="19/20"/>
  </r>
  <r>
    <x v="104"/>
    <x v="1"/>
    <s v="19/20"/>
  </r>
  <r>
    <x v="27"/>
    <x v="1"/>
    <s v="19/20"/>
  </r>
  <r>
    <x v="28"/>
    <x v="1"/>
    <s v="19/20"/>
  </r>
  <r>
    <x v="29"/>
    <x v="1"/>
    <s v="19/20"/>
  </r>
  <r>
    <x v="117"/>
    <x v="1"/>
    <s v="19/20"/>
  </r>
  <r>
    <x v="30"/>
    <x v="1"/>
    <s v="19/20"/>
  </r>
  <r>
    <x v="31"/>
    <x v="1"/>
    <s v="19/20"/>
  </r>
  <r>
    <x v="32"/>
    <x v="1"/>
    <s v="19/20"/>
  </r>
  <r>
    <x v="34"/>
    <x v="1"/>
    <s v="19/20"/>
  </r>
  <r>
    <x v="35"/>
    <x v="1"/>
    <s v="19/20"/>
  </r>
  <r>
    <x v="36"/>
    <x v="1"/>
    <s v="19/20"/>
  </r>
  <r>
    <x v="37"/>
    <x v="1"/>
    <s v="19/20"/>
  </r>
  <r>
    <x v="38"/>
    <x v="1"/>
    <s v="19/20"/>
  </r>
  <r>
    <x v="106"/>
    <x v="1"/>
    <s v="19/20"/>
  </r>
  <r>
    <x v="39"/>
    <x v="1"/>
    <s v="19/20"/>
  </r>
  <r>
    <x v="40"/>
    <x v="2"/>
    <s v="19/20"/>
  </r>
  <r>
    <x v="41"/>
    <x v="2"/>
    <s v="19/20"/>
  </r>
  <r>
    <x v="42"/>
    <x v="2"/>
    <s v="19/20"/>
  </r>
  <r>
    <x v="118"/>
    <x v="2"/>
    <s v="19/20"/>
  </r>
  <r>
    <x v="43"/>
    <x v="2"/>
    <s v="19/20"/>
  </r>
  <r>
    <x v="45"/>
    <x v="2"/>
    <s v="19/20"/>
  </r>
  <r>
    <x v="46"/>
    <x v="2"/>
    <s v="19/20"/>
  </r>
  <r>
    <x v="47"/>
    <x v="2"/>
    <s v="19/20"/>
  </r>
  <r>
    <x v="48"/>
    <x v="2"/>
    <s v="19/20"/>
  </r>
  <r>
    <x v="49"/>
    <x v="2"/>
    <s v="19/20"/>
  </r>
  <r>
    <x v="119"/>
    <x v="2"/>
    <s v="19/20"/>
  </r>
  <r>
    <x v="50"/>
    <x v="2"/>
    <s v="19/20"/>
  </r>
  <r>
    <x v="109"/>
    <x v="2"/>
    <s v="19/20"/>
  </r>
  <r>
    <x v="51"/>
    <x v="2"/>
    <s v="19/20"/>
  </r>
  <r>
    <x v="53"/>
    <x v="2"/>
    <s v="19/20"/>
  </r>
  <r>
    <x v="54"/>
    <x v="2"/>
    <s v="19/20"/>
  </r>
  <r>
    <x v="120"/>
    <x v="2"/>
    <s v="19/20"/>
  </r>
  <r>
    <x v="56"/>
    <x v="2"/>
    <s v="19/20"/>
  </r>
  <r>
    <x v="57"/>
    <x v="2"/>
    <s v="19/20"/>
  </r>
  <r>
    <x v="59"/>
    <x v="2"/>
    <s v="19/20"/>
  </r>
  <r>
    <x v="61"/>
    <x v="3"/>
    <s v="19/20"/>
  </r>
  <r>
    <x v="110"/>
    <x v="3"/>
    <s v="19/20"/>
  </r>
  <r>
    <x v="63"/>
    <x v="3"/>
    <s v="19/20"/>
  </r>
  <r>
    <x v="64"/>
    <x v="3"/>
    <s v="19/20"/>
  </r>
  <r>
    <x v="112"/>
    <x v="3"/>
    <s v="19/20"/>
  </r>
  <r>
    <x v="66"/>
    <x v="3"/>
    <s v="19/20"/>
  </r>
  <r>
    <x v="67"/>
    <x v="3"/>
    <s v="19/20"/>
  </r>
  <r>
    <x v="68"/>
    <x v="3"/>
    <s v="19/20"/>
  </r>
  <r>
    <x v="113"/>
    <x v="3"/>
    <s v="19/20"/>
  </r>
  <r>
    <x v="70"/>
    <x v="3"/>
    <s v="19/20"/>
  </r>
  <r>
    <x v="72"/>
    <x v="3"/>
    <s v="19/20"/>
  </r>
  <r>
    <x v="73"/>
    <x v="3"/>
    <s v="19/20"/>
  </r>
  <r>
    <x v="74"/>
    <x v="3"/>
    <s v="19/20"/>
  </r>
  <r>
    <x v="75"/>
    <x v="3"/>
    <s v="19/20"/>
  </r>
  <r>
    <x v="76"/>
    <x v="3"/>
    <s v="19/20"/>
  </r>
  <r>
    <x v="77"/>
    <x v="3"/>
    <s v="19/20"/>
  </r>
  <r>
    <x v="78"/>
    <x v="3"/>
    <s v="19/20"/>
  </r>
  <r>
    <x v="79"/>
    <x v="3"/>
    <s v="19/20"/>
  </r>
  <r>
    <x v="121"/>
    <x v="4"/>
    <s v="19/20"/>
  </r>
  <r>
    <x v="80"/>
    <x v="4"/>
    <s v="19/20"/>
  </r>
  <r>
    <x v="81"/>
    <x v="4"/>
    <s v="19/20"/>
  </r>
  <r>
    <x v="82"/>
    <x v="4"/>
    <s v="19/20"/>
  </r>
  <r>
    <x v="114"/>
    <x v="4"/>
    <s v="19/20"/>
  </r>
  <r>
    <x v="86"/>
    <x v="4"/>
    <s v="19/20"/>
  </r>
  <r>
    <x v="87"/>
    <x v="4"/>
    <s v="19/20"/>
  </r>
  <r>
    <x v="84"/>
    <x v="4"/>
    <s v="19/20"/>
  </r>
  <r>
    <x v="89"/>
    <x v="4"/>
    <s v="19/20"/>
  </r>
  <r>
    <x v="85"/>
    <x v="4"/>
    <s v="19/20"/>
  </r>
  <r>
    <x v="115"/>
    <x v="4"/>
    <s v="19/20"/>
  </r>
  <r>
    <x v="90"/>
    <x v="4"/>
    <s v="19/20"/>
  </r>
  <r>
    <x v="91"/>
    <x v="4"/>
    <s v="19/20"/>
  </r>
  <r>
    <x v="92"/>
    <x v="4"/>
    <s v="19/20"/>
  </r>
  <r>
    <x v="93"/>
    <x v="4"/>
    <s v="19/20"/>
  </r>
  <r>
    <x v="95"/>
    <x v="4"/>
    <s v="19/20"/>
  </r>
  <r>
    <x v="96"/>
    <x v="4"/>
    <s v="19/20"/>
  </r>
  <r>
    <x v="97"/>
    <x v="4"/>
    <s v="19/20"/>
  </r>
  <r>
    <x v="98"/>
    <x v="4"/>
    <s v="19/20"/>
  </r>
  <r>
    <x v="122"/>
    <x v="4"/>
    <s v="19/20"/>
  </r>
  <r>
    <x v="0"/>
    <x v="0"/>
    <s v="18/19 "/>
  </r>
  <r>
    <x v="116"/>
    <x v="0"/>
    <s v="18/19 "/>
  </r>
  <r>
    <x v="3"/>
    <x v="0"/>
    <s v="18/19 "/>
  </r>
  <r>
    <x v="4"/>
    <x v="0"/>
    <s v="18/19 "/>
  </r>
  <r>
    <x v="123"/>
    <x v="0"/>
    <s v="18/19 "/>
  </r>
  <r>
    <x v="5"/>
    <x v="0"/>
    <s v="18/19 "/>
  </r>
  <r>
    <x v="6"/>
    <x v="0"/>
    <s v="18/19 "/>
  </r>
  <r>
    <x v="7"/>
    <x v="0"/>
    <s v="18/19 "/>
  </r>
  <r>
    <x v="100"/>
    <x v="0"/>
    <s v="18/19 "/>
  </r>
  <r>
    <x v="124"/>
    <x v="0"/>
    <s v="18/19 "/>
  </r>
  <r>
    <x v="9"/>
    <x v="0"/>
    <s v="18/19 "/>
  </r>
  <r>
    <x v="10"/>
    <x v="0"/>
    <s v="18/19 "/>
  </r>
  <r>
    <x v="11"/>
    <x v="0"/>
    <s v="18/19 "/>
  </r>
  <r>
    <x v="12"/>
    <x v="0"/>
    <s v="18/19 "/>
  </r>
  <r>
    <x v="13"/>
    <x v="0"/>
    <s v="18/19 "/>
  </r>
  <r>
    <x v="15"/>
    <x v="0"/>
    <s v="18/19 "/>
  </r>
  <r>
    <x v="16"/>
    <x v="0"/>
    <s v="18/19 "/>
  </r>
  <r>
    <x v="17"/>
    <x v="0"/>
    <s v="18/19 "/>
  </r>
  <r>
    <x v="18"/>
    <x v="0"/>
    <s v="18/19 "/>
  </r>
  <r>
    <x v="19"/>
    <x v="0"/>
    <s v="18/19 "/>
  </r>
  <r>
    <x v="20"/>
    <x v="1"/>
    <s v="18/19 "/>
  </r>
  <r>
    <x v="21"/>
    <x v="1"/>
    <s v="18/19 "/>
  </r>
  <r>
    <x v="24"/>
    <x v="1"/>
    <s v="18/19 "/>
  </r>
  <r>
    <x v="25"/>
    <x v="1"/>
    <s v="18/19 "/>
  </r>
  <r>
    <x v="104"/>
    <x v="1"/>
    <s v="18/19 "/>
  </r>
  <r>
    <x v="27"/>
    <x v="1"/>
    <s v="18/19 "/>
  </r>
  <r>
    <x v="22"/>
    <x v="1"/>
    <s v="18/19 "/>
  </r>
  <r>
    <x v="28"/>
    <x v="1"/>
    <s v="18/19 "/>
  </r>
  <r>
    <x v="125"/>
    <x v="1"/>
    <s v="18/19 "/>
  </r>
  <r>
    <x v="117"/>
    <x v="1"/>
    <s v="18/19 "/>
  </r>
  <r>
    <x v="30"/>
    <x v="1"/>
    <s v="18/19 "/>
  </r>
  <r>
    <x v="33"/>
    <x v="1"/>
    <s v="18/19 "/>
  </r>
  <r>
    <x v="34"/>
    <x v="1"/>
    <s v="18/19 "/>
  </r>
  <r>
    <x v="35"/>
    <x v="1"/>
    <s v="18/19 "/>
  </r>
  <r>
    <x v="36"/>
    <x v="1"/>
    <s v="18/19 "/>
  </r>
  <r>
    <x v="105"/>
    <x v="1"/>
    <s v="18/19 "/>
  </r>
  <r>
    <x v="37"/>
    <x v="1"/>
    <s v="18/19 "/>
  </r>
  <r>
    <x v="38"/>
    <x v="1"/>
    <s v="18/19 "/>
  </r>
  <r>
    <x v="106"/>
    <x v="1"/>
    <s v="18/19 "/>
  </r>
  <r>
    <x v="39"/>
    <x v="1"/>
    <s v="18/19 "/>
  </r>
  <r>
    <x v="40"/>
    <x v="2"/>
    <s v="18/19 "/>
  </r>
  <r>
    <x v="41"/>
    <x v="2"/>
    <s v="18/19 "/>
  </r>
  <r>
    <x v="42"/>
    <x v="2"/>
    <s v="18/19 "/>
  </r>
  <r>
    <x v="43"/>
    <x v="2"/>
    <s v="18/19 "/>
  </r>
  <r>
    <x v="126"/>
    <x v="2"/>
    <s v="18/19 "/>
  </r>
  <r>
    <x v="44"/>
    <x v="2"/>
    <s v="18/19 "/>
  </r>
  <r>
    <x v="45"/>
    <x v="2"/>
    <s v="18/19 "/>
  </r>
  <r>
    <x v="127"/>
    <x v="2"/>
    <s v="18/19 "/>
  </r>
  <r>
    <x v="46"/>
    <x v="2"/>
    <s v="18/19 "/>
  </r>
  <r>
    <x v="47"/>
    <x v="2"/>
    <s v="18/19 "/>
  </r>
  <r>
    <x v="48"/>
    <x v="2"/>
    <s v="18/19 "/>
  </r>
  <r>
    <x v="49"/>
    <x v="2"/>
    <s v="18/19 "/>
  </r>
  <r>
    <x v="50"/>
    <x v="2"/>
    <s v="18/19 "/>
  </r>
  <r>
    <x v="109"/>
    <x v="2"/>
    <s v="18/19 "/>
  </r>
  <r>
    <x v="51"/>
    <x v="2"/>
    <s v="18/19 "/>
  </r>
  <r>
    <x v="53"/>
    <x v="2"/>
    <s v="18/19 "/>
  </r>
  <r>
    <x v="54"/>
    <x v="2"/>
    <s v="18/19 "/>
  </r>
  <r>
    <x v="120"/>
    <x v="2"/>
    <s v="18/19 "/>
  </r>
  <r>
    <x v="56"/>
    <x v="2"/>
    <s v="18/19 "/>
  </r>
  <r>
    <x v="57"/>
    <x v="2"/>
    <s v="18/19 "/>
  </r>
  <r>
    <x v="128"/>
    <x v="3"/>
    <s v="18/19 "/>
  </r>
  <r>
    <x v="61"/>
    <x v="3"/>
    <s v="18/19 "/>
  </r>
  <r>
    <x v="110"/>
    <x v="3"/>
    <s v="18/19 "/>
  </r>
  <r>
    <x v="63"/>
    <x v="3"/>
    <s v="18/19 "/>
  </r>
  <r>
    <x v="111"/>
    <x v="3"/>
    <s v="18/19 "/>
  </r>
  <r>
    <x v="64"/>
    <x v="3"/>
    <s v="18/19 "/>
  </r>
  <r>
    <x v="129"/>
    <x v="3"/>
    <s v="18/19 "/>
  </r>
  <r>
    <x v="66"/>
    <x v="3"/>
    <s v="18/19 "/>
  </r>
  <r>
    <x v="67"/>
    <x v="3"/>
    <s v="18/19 "/>
  </r>
  <r>
    <x v="70"/>
    <x v="3"/>
    <s v="18/19 "/>
  </r>
  <r>
    <x v="72"/>
    <x v="3"/>
    <s v="18/19 "/>
  </r>
  <r>
    <x v="73"/>
    <x v="3"/>
    <s v="18/19 "/>
  </r>
  <r>
    <x v="74"/>
    <x v="3"/>
    <s v="18/19 "/>
  </r>
  <r>
    <x v="75"/>
    <x v="3"/>
    <s v="18/19 "/>
  </r>
  <r>
    <x v="76"/>
    <x v="3"/>
    <s v="18/19 "/>
  </r>
  <r>
    <x v="77"/>
    <x v="3"/>
    <s v="18/19 "/>
  </r>
  <r>
    <x v="78"/>
    <x v="3"/>
    <s v="18/19 "/>
  </r>
  <r>
    <x v="79"/>
    <x v="3"/>
    <s v="18/19 "/>
  </r>
  <r>
    <x v="121"/>
    <x v="4"/>
    <s v="18/19 "/>
  </r>
  <r>
    <x v="80"/>
    <x v="4"/>
    <s v="18/19 "/>
  </r>
  <r>
    <x v="81"/>
    <x v="4"/>
    <s v="18/19 "/>
  </r>
  <r>
    <x v="82"/>
    <x v="4"/>
    <s v="18/19 "/>
  </r>
  <r>
    <x v="130"/>
    <x v="4"/>
    <s v="18/19 "/>
  </r>
  <r>
    <x v="114"/>
    <x v="4"/>
    <s v="18/19 "/>
  </r>
  <r>
    <x v="131"/>
    <x v="4"/>
    <s v="18/19"/>
  </r>
  <r>
    <x v="86"/>
    <x v="4"/>
    <s v="18/19 "/>
  </r>
  <r>
    <x v="87"/>
    <x v="4"/>
    <s v="18/19 "/>
  </r>
  <r>
    <x v="89"/>
    <x v="4"/>
    <s v="18/19 "/>
  </r>
  <r>
    <x v="85"/>
    <x v="4"/>
    <s v="18/19"/>
  </r>
  <r>
    <x v="115"/>
    <x v="4"/>
    <s v="18/19 "/>
  </r>
  <r>
    <x v="90"/>
    <x v="4"/>
    <s v="18/19 "/>
  </r>
  <r>
    <x v="91"/>
    <x v="4"/>
    <s v="18/19 "/>
  </r>
  <r>
    <x v="92"/>
    <x v="4"/>
    <s v="18/19 "/>
  </r>
  <r>
    <x v="93"/>
    <x v="4"/>
    <s v="18/19 "/>
  </r>
  <r>
    <x v="95"/>
    <x v="4"/>
    <s v="18/19 "/>
  </r>
  <r>
    <x v="97"/>
    <x v="4"/>
    <s v="18/19 "/>
  </r>
  <r>
    <x v="98"/>
    <x v="4"/>
    <s v="18/19 "/>
  </r>
  <r>
    <x v="122"/>
    <x v="4"/>
    <s v="18/19 "/>
  </r>
  <r>
    <x v="0"/>
    <x v="0"/>
    <s v="17/18"/>
  </r>
  <r>
    <x v="116"/>
    <x v="0"/>
    <s v="17/18"/>
  </r>
  <r>
    <x v="3"/>
    <x v="0"/>
    <s v="17/18"/>
  </r>
  <r>
    <x v="4"/>
    <x v="0"/>
    <s v="17/18"/>
  </r>
  <r>
    <x v="5"/>
    <x v="0"/>
    <s v="17/18"/>
  </r>
  <r>
    <x v="6"/>
    <x v="0"/>
    <s v="17/18"/>
  </r>
  <r>
    <x v="7"/>
    <x v="0"/>
    <s v="17/18"/>
  </r>
  <r>
    <x v="124"/>
    <x v="0"/>
    <s v="17/18"/>
  </r>
  <r>
    <x v="9"/>
    <x v="0"/>
    <s v="17/18"/>
  </r>
  <r>
    <x v="10"/>
    <x v="0"/>
    <s v="17/18"/>
  </r>
  <r>
    <x v="11"/>
    <x v="0"/>
    <s v="17/18"/>
  </r>
  <r>
    <x v="12"/>
    <x v="0"/>
    <s v="17/18"/>
  </r>
  <r>
    <x v="13"/>
    <x v="0"/>
    <s v="17/18"/>
  </r>
  <r>
    <x v="15"/>
    <x v="0"/>
    <s v="17/18"/>
  </r>
  <r>
    <x v="132"/>
    <x v="0"/>
    <s v="17/18"/>
  </r>
  <r>
    <x v="133"/>
    <x v="0"/>
    <s v="17/18"/>
  </r>
  <r>
    <x v="16"/>
    <x v="0"/>
    <s v="17/18"/>
  </r>
  <r>
    <x v="17"/>
    <x v="0"/>
    <s v="17/18"/>
  </r>
  <r>
    <x v="102"/>
    <x v="0"/>
    <s v="17/18"/>
  </r>
  <r>
    <x v="18"/>
    <x v="0"/>
    <s v="17/18"/>
  </r>
  <r>
    <x v="103"/>
    <x v="1"/>
    <s v="17/18"/>
  </r>
  <r>
    <x v="20"/>
    <x v="1"/>
    <s v="17/18"/>
  </r>
  <r>
    <x v="21"/>
    <x v="1"/>
    <s v="17/18"/>
  </r>
  <r>
    <x v="22"/>
    <x v="1"/>
    <s v="17/18"/>
  </r>
  <r>
    <x v="24"/>
    <x v="1"/>
    <s v="17/18"/>
  </r>
  <r>
    <x v="134"/>
    <x v="1"/>
    <s v="17/18"/>
  </r>
  <r>
    <x v="104"/>
    <x v="1"/>
    <s v="17/18"/>
  </r>
  <r>
    <x v="27"/>
    <x v="1"/>
    <s v="17/18"/>
  </r>
  <r>
    <x v="28"/>
    <x v="1"/>
    <s v="17/18"/>
  </r>
  <r>
    <x v="125"/>
    <x v="1"/>
    <s v="17/18"/>
  </r>
  <r>
    <x v="135"/>
    <x v="1"/>
    <s v="17/18"/>
  </r>
  <r>
    <x v="117"/>
    <x v="1"/>
    <s v="17/18"/>
  </r>
  <r>
    <x v="30"/>
    <x v="1"/>
    <s v="17/18"/>
  </r>
  <r>
    <x v="136"/>
    <x v="1"/>
    <s v="17/18"/>
  </r>
  <r>
    <x v="34"/>
    <x v="1"/>
    <s v="17/18"/>
  </r>
  <r>
    <x v="35"/>
    <x v="1"/>
    <s v="17/18"/>
  </r>
  <r>
    <x v="36"/>
    <x v="1"/>
    <s v="17/18"/>
  </r>
  <r>
    <x v="37"/>
    <x v="1"/>
    <s v="17/18"/>
  </r>
  <r>
    <x v="38"/>
    <x v="1"/>
    <s v="17/18"/>
  </r>
  <r>
    <x v="39"/>
    <x v="1"/>
    <s v="17/18"/>
  </r>
  <r>
    <x v="40"/>
    <x v="2"/>
    <s v="17/18"/>
  </r>
  <r>
    <x v="41"/>
    <x v="2"/>
    <s v="17/18"/>
  </r>
  <r>
    <x v="107"/>
    <x v="2"/>
    <s v="17/18"/>
  </r>
  <r>
    <x v="42"/>
    <x v="2"/>
    <s v="17/18"/>
  </r>
  <r>
    <x v="43"/>
    <x v="2"/>
    <s v="17/18"/>
  </r>
  <r>
    <x v="126"/>
    <x v="2"/>
    <s v="17/18"/>
  </r>
  <r>
    <x v="108"/>
    <x v="2"/>
    <s v="17/18"/>
  </r>
  <r>
    <x v="45"/>
    <x v="2"/>
    <s v="17/18"/>
  </r>
  <r>
    <x v="46"/>
    <x v="2"/>
    <s v="17/18"/>
  </r>
  <r>
    <x v="47"/>
    <x v="2"/>
    <s v="17/18"/>
  </r>
  <r>
    <x v="48"/>
    <x v="2"/>
    <s v="17/18"/>
  </r>
  <r>
    <x v="49"/>
    <x v="2"/>
    <s v="17/18"/>
  </r>
  <r>
    <x v="50"/>
    <x v="2"/>
    <s v="17/18"/>
  </r>
  <r>
    <x v="51"/>
    <x v="2"/>
    <s v="17/18"/>
  </r>
  <r>
    <x v="53"/>
    <x v="2"/>
    <s v="17/18"/>
  </r>
  <r>
    <x v="54"/>
    <x v="2"/>
    <s v="17/18"/>
  </r>
  <r>
    <x v="120"/>
    <x v="2"/>
    <s v="17/18"/>
  </r>
  <r>
    <x v="56"/>
    <x v="2"/>
    <s v="17/18"/>
  </r>
  <r>
    <x v="57"/>
    <x v="2"/>
    <s v="17/18"/>
  </r>
  <r>
    <x v="59"/>
    <x v="2"/>
    <s v="17/18"/>
  </r>
  <r>
    <x v="137"/>
    <x v="3"/>
    <s v="17/18"/>
  </r>
  <r>
    <x v="61"/>
    <x v="3"/>
    <s v="17/18"/>
  </r>
  <r>
    <x v="63"/>
    <x v="3"/>
    <s v="17/18"/>
  </r>
  <r>
    <x v="64"/>
    <x v="3"/>
    <s v="17/18"/>
  </r>
  <r>
    <x v="129"/>
    <x v="3"/>
    <s v="17/18"/>
  </r>
  <r>
    <x v="66"/>
    <x v="3"/>
    <s v="17/18"/>
  </r>
  <r>
    <x v="67"/>
    <x v="3"/>
    <s v="17/18"/>
  </r>
  <r>
    <x v="113"/>
    <x v="3"/>
    <s v="17/18"/>
  </r>
  <r>
    <x v="70"/>
    <x v="3"/>
    <s v="17/18"/>
  </r>
  <r>
    <x v="72"/>
    <x v="3"/>
    <s v="17/18"/>
  </r>
  <r>
    <x v="138"/>
    <x v="3"/>
    <s v="17/18"/>
  </r>
  <r>
    <x v="73"/>
    <x v="3"/>
    <s v="17/18"/>
  </r>
  <r>
    <x v="74"/>
    <x v="3"/>
    <s v="17/18"/>
  </r>
  <r>
    <x v="75"/>
    <x v="3"/>
    <s v="17/18"/>
  </r>
  <r>
    <x v="139"/>
    <x v="3"/>
    <s v="17/18"/>
  </r>
  <r>
    <x v="77"/>
    <x v="3"/>
    <s v="17/18"/>
  </r>
  <r>
    <x v="78"/>
    <x v="3"/>
    <s v="17/18"/>
  </r>
  <r>
    <x v="79"/>
    <x v="3"/>
    <s v="17/18"/>
  </r>
  <r>
    <x v="121"/>
    <x v="4"/>
    <s v="17/18"/>
  </r>
  <r>
    <x v="80"/>
    <x v="4"/>
    <s v="17/18"/>
  </r>
  <r>
    <x v="81"/>
    <x v="4"/>
    <s v="17/18"/>
  </r>
  <r>
    <x v="82"/>
    <x v="4"/>
    <s v="17/18"/>
  </r>
  <r>
    <x v="130"/>
    <x v="4"/>
    <s v="17/18"/>
  </r>
  <r>
    <x v="114"/>
    <x v="4"/>
    <s v="17/18"/>
  </r>
  <r>
    <x v="86"/>
    <x v="4"/>
    <s v="17/18"/>
  </r>
  <r>
    <x v="131"/>
    <x v="4"/>
    <s v="17/18"/>
  </r>
  <r>
    <x v="87"/>
    <x v="4"/>
    <s v="17/18"/>
  </r>
  <r>
    <x v="84"/>
    <x v="4"/>
    <s v="17/18"/>
  </r>
  <r>
    <x v="89"/>
    <x v="4"/>
    <s v="17/18"/>
  </r>
  <r>
    <x v="85"/>
    <x v="4"/>
    <s v="17/18"/>
  </r>
  <r>
    <x v="90"/>
    <x v="4"/>
    <s v="17/18"/>
  </r>
  <r>
    <x v="91"/>
    <x v="4"/>
    <s v="17/18"/>
  </r>
  <r>
    <x v="92"/>
    <x v="4"/>
    <s v="17/18"/>
  </r>
  <r>
    <x v="93"/>
    <x v="4"/>
    <s v="17/18"/>
  </r>
  <r>
    <x v="95"/>
    <x v="4"/>
    <s v="17/18"/>
  </r>
  <r>
    <x v="98"/>
    <x v="4"/>
    <s v="17/18"/>
  </r>
  <r>
    <x v="122"/>
    <x v="4"/>
    <s v="17/18"/>
  </r>
  <r>
    <x v="99"/>
    <x v="4"/>
    <s v="17/18"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140"/>
    <x v="5"/>
    <m/>
  </r>
  <r>
    <x v="0"/>
    <x v="0"/>
    <s v="16/17"/>
  </r>
  <r>
    <x v="116"/>
    <x v="0"/>
    <s v="16/17"/>
  </r>
  <r>
    <x v="4"/>
    <x v="0"/>
    <s v="16/17"/>
  </r>
  <r>
    <x v="5"/>
    <x v="0"/>
    <s v="16/17"/>
  </r>
  <r>
    <x v="6"/>
    <x v="0"/>
    <s v="16/17"/>
  </r>
  <r>
    <x v="7"/>
    <x v="0"/>
    <s v="16/17"/>
  </r>
  <r>
    <x v="141"/>
    <x v="0"/>
    <s v="16/17"/>
  </r>
  <r>
    <x v="9"/>
    <x v="0"/>
    <s v="16/17"/>
  </r>
  <r>
    <x v="10"/>
    <x v="0"/>
    <s v="16/17"/>
  </r>
  <r>
    <x v="11"/>
    <x v="0"/>
    <s v="16/17"/>
  </r>
  <r>
    <x v="12"/>
    <x v="0"/>
    <s v="16/17"/>
  </r>
  <r>
    <x v="142"/>
    <x v="0"/>
    <s v="16/17"/>
  </r>
  <r>
    <x v="15"/>
    <x v="0"/>
    <s v="16/17"/>
  </r>
  <r>
    <x v="132"/>
    <x v="0"/>
    <s v="16/17"/>
  </r>
  <r>
    <x v="143"/>
    <x v="0"/>
    <s v="16/17"/>
  </r>
  <r>
    <x v="133"/>
    <x v="0"/>
    <s v="16/17"/>
  </r>
  <r>
    <x v="16"/>
    <x v="0"/>
    <s v="16/17"/>
  </r>
  <r>
    <x v="17"/>
    <x v="0"/>
    <s v="16/17"/>
  </r>
  <r>
    <x v="102"/>
    <x v="0"/>
    <s v="16/17"/>
  </r>
  <r>
    <x v="18"/>
    <x v="0"/>
    <s v="16/17"/>
  </r>
  <r>
    <x v="103"/>
    <x v="1"/>
    <s v="16/17"/>
  </r>
  <r>
    <x v="20"/>
    <x v="1"/>
    <s v="16/17"/>
  </r>
  <r>
    <x v="21"/>
    <x v="1"/>
    <s v="16/17"/>
  </r>
  <r>
    <x v="22"/>
    <x v="1"/>
    <s v="16/17"/>
  </r>
  <r>
    <x v="24"/>
    <x v="1"/>
    <s v="16/17"/>
  </r>
  <r>
    <x v="134"/>
    <x v="1"/>
    <s v="16/17"/>
  </r>
  <r>
    <x v="104"/>
    <x v="1"/>
    <s v="16/17"/>
  </r>
  <r>
    <x v="27"/>
    <x v="1"/>
    <s v="16/17"/>
  </r>
  <r>
    <x v="29"/>
    <x v="1"/>
    <s v="16/17"/>
  </r>
  <r>
    <x v="135"/>
    <x v="1"/>
    <s v="16/17"/>
  </r>
  <r>
    <x v="117"/>
    <x v="1"/>
    <s v="16/17"/>
  </r>
  <r>
    <x v="136"/>
    <x v="1"/>
    <s v="16/17"/>
  </r>
  <r>
    <x v="32"/>
    <x v="1"/>
    <s v="16/17"/>
  </r>
  <r>
    <x v="34"/>
    <x v="1"/>
    <s v="16/17"/>
  </r>
  <r>
    <x v="35"/>
    <x v="1"/>
    <s v="16/17"/>
  </r>
  <r>
    <x v="36"/>
    <x v="1"/>
    <s v="16/17"/>
  </r>
  <r>
    <x v="37"/>
    <x v="1"/>
    <s v="16/17"/>
  </r>
  <r>
    <x v="144"/>
    <x v="1"/>
    <s v="16/17"/>
  </r>
  <r>
    <x v="38"/>
    <x v="1"/>
    <s v="16/17"/>
  </r>
  <r>
    <x v="39"/>
    <x v="1"/>
    <s v="16/17"/>
  </r>
  <r>
    <x v="40"/>
    <x v="2"/>
    <s v="16/17"/>
  </r>
  <r>
    <x v="41"/>
    <x v="2"/>
    <s v="16/17"/>
  </r>
  <r>
    <x v="42"/>
    <x v="2"/>
    <s v="16/17"/>
  </r>
  <r>
    <x v="43"/>
    <x v="2"/>
    <s v="16/17"/>
  </r>
  <r>
    <x v="126"/>
    <x v="2"/>
    <s v="16/17"/>
  </r>
  <r>
    <x v="108"/>
    <x v="2"/>
    <s v="16/17"/>
  </r>
  <r>
    <x v="44"/>
    <x v="2"/>
    <s v="16/17"/>
  </r>
  <r>
    <x v="45"/>
    <x v="2"/>
    <s v="16/17"/>
  </r>
  <r>
    <x v="46"/>
    <x v="2"/>
    <s v="16/17"/>
  </r>
  <r>
    <x v="47"/>
    <x v="2"/>
    <s v="16/17"/>
  </r>
  <r>
    <x v="48"/>
    <x v="2"/>
    <s v="16/17"/>
  </r>
  <r>
    <x v="49"/>
    <x v="2"/>
    <s v="16/17"/>
  </r>
  <r>
    <x v="50"/>
    <x v="2"/>
    <s v="16/17"/>
  </r>
  <r>
    <x v="145"/>
    <x v="2"/>
    <s v="16/17"/>
  </r>
  <r>
    <x v="146"/>
    <x v="2"/>
    <s v="16/17"/>
  </r>
  <r>
    <x v="51"/>
    <x v="2"/>
    <s v="16/17"/>
  </r>
  <r>
    <x v="53"/>
    <x v="2"/>
    <s v="16/17"/>
  </r>
  <r>
    <x v="54"/>
    <x v="2"/>
    <s v="16/17"/>
  </r>
  <r>
    <x v="56"/>
    <x v="2"/>
    <s v="16/17"/>
  </r>
  <r>
    <x v="57"/>
    <x v="2"/>
    <s v="16/17"/>
  </r>
  <r>
    <x v="147"/>
    <x v="3"/>
    <s v="16/17"/>
  </r>
  <r>
    <x v="137"/>
    <x v="3"/>
    <s v="16/17"/>
  </r>
  <r>
    <x v="61"/>
    <x v="3"/>
    <s v="16/17"/>
  </r>
  <r>
    <x v="63"/>
    <x v="3"/>
    <s v="16/17"/>
  </r>
  <r>
    <x v="64"/>
    <x v="3"/>
    <s v="16/17"/>
  </r>
  <r>
    <x v="129"/>
    <x v="3"/>
    <s v="16/17"/>
  </r>
  <r>
    <x v="66"/>
    <x v="3"/>
    <s v="16/17"/>
  </r>
  <r>
    <x v="67"/>
    <x v="3"/>
    <s v="16/17"/>
  </r>
  <r>
    <x v="68"/>
    <x v="3"/>
    <s v="16/17"/>
  </r>
  <r>
    <x v="113"/>
    <x v="3"/>
    <s v="16/17"/>
  </r>
  <r>
    <x v="72"/>
    <x v="3"/>
    <s v="16/17"/>
  </r>
  <r>
    <x v="138"/>
    <x v="3"/>
    <s v="16/17"/>
  </r>
  <r>
    <x v="73"/>
    <x v="3"/>
    <s v="16/17"/>
  </r>
  <r>
    <x v="74"/>
    <x v="3"/>
    <s v="16/17"/>
  </r>
  <r>
    <x v="75"/>
    <x v="3"/>
    <s v="16/17"/>
  </r>
  <r>
    <x v="139"/>
    <x v="3"/>
    <s v="16/17"/>
  </r>
  <r>
    <x v="76"/>
    <x v="3"/>
    <s v="16/17"/>
  </r>
  <r>
    <x v="78"/>
    <x v="3"/>
    <s v="16/17"/>
  </r>
  <r>
    <x v="80"/>
    <x v="4"/>
    <s v="16/17"/>
  </r>
  <r>
    <x v="81"/>
    <x v="4"/>
    <s v="16/17"/>
  </r>
  <r>
    <x v="82"/>
    <x v="4"/>
    <s v="16/17"/>
  </r>
  <r>
    <x v="130"/>
    <x v="4"/>
    <s v="16/17"/>
  </r>
  <r>
    <x v="114"/>
    <x v="4"/>
    <s v="16/17"/>
  </r>
  <r>
    <x v="131"/>
    <x v="4"/>
    <s v="16/17"/>
  </r>
  <r>
    <x v="86"/>
    <x v="4"/>
    <s v="16/17"/>
  </r>
  <r>
    <x v="87"/>
    <x v="4"/>
    <s v="16/17"/>
  </r>
  <r>
    <x v="88"/>
    <x v="4"/>
    <s v="16/17"/>
  </r>
  <r>
    <x v="84"/>
    <x v="4"/>
    <s v="16/17"/>
  </r>
  <r>
    <x v="89"/>
    <x v="4"/>
    <s v="16/17"/>
  </r>
  <r>
    <x v="148"/>
    <x v="4"/>
    <s v="16/17"/>
  </r>
  <r>
    <x v="85"/>
    <x v="4"/>
    <s v="16/17"/>
  </r>
  <r>
    <x v="90"/>
    <x v="4"/>
    <s v="16/17"/>
  </r>
  <r>
    <x v="91"/>
    <x v="4"/>
    <s v="16/17"/>
  </r>
  <r>
    <x v="92"/>
    <x v="4"/>
    <s v="16/17"/>
  </r>
  <r>
    <x v="93"/>
    <x v="4"/>
    <s v="16/17"/>
  </r>
  <r>
    <x v="149"/>
    <x v="4"/>
    <s v="16/17"/>
  </r>
  <r>
    <x v="98"/>
    <x v="4"/>
    <s v="16/17"/>
  </r>
  <r>
    <x v="122"/>
    <x v="4"/>
    <s v="16/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x v="0"/>
    <x v="0"/>
    <s v="21/22"/>
    <m/>
    <n v="5"/>
    <n v="-53447"/>
    <n v="649"/>
    <n v="0"/>
    <n v="978971"/>
    <n v="437033"/>
    <n v="225966"/>
    <n v="433857"/>
    <n v="319148"/>
    <n v="753005"/>
  </r>
  <r>
    <x v="1"/>
    <x v="0"/>
    <s v="21/22"/>
    <m/>
    <n v="14"/>
    <n v="7606"/>
    <n v="642"/>
    <n v="275311"/>
    <n v="298100"/>
    <n v="192418"/>
    <n v="-26169"/>
    <n v="0"/>
    <n v="324269"/>
    <n v="324269"/>
  </r>
  <r>
    <x v="2"/>
    <x v="0"/>
    <s v="21/22"/>
    <m/>
    <n v="13"/>
    <n v="29922"/>
    <n v="190"/>
    <n v="27324"/>
    <n v="206203"/>
    <n v="164274"/>
    <n v="55124"/>
    <n v="72809"/>
    <n v="78270"/>
    <n v="151079"/>
  </r>
  <r>
    <x v="3"/>
    <x v="0"/>
    <s v="21/22"/>
    <m/>
    <n v="9"/>
    <n v="31937"/>
    <n v="828"/>
    <n v="395201"/>
    <n v="268811"/>
    <n v="195186"/>
    <n v="-246287"/>
    <n v="12695"/>
    <n v="502403"/>
    <n v="515098"/>
  </r>
  <r>
    <x v="4"/>
    <x v="0"/>
    <s v="21/22"/>
    <m/>
    <n v="18"/>
    <n v="37289"/>
    <n v="273"/>
    <n v="20059"/>
    <n v="275120"/>
    <n v="147416"/>
    <n v="129364"/>
    <n v="38369"/>
    <n v="107387"/>
    <n v="145756"/>
  </r>
  <r>
    <x v="5"/>
    <x v="0"/>
    <s v="21/22"/>
    <n v="1"/>
    <n v="3"/>
    <n v="-141389"/>
    <n v="788"/>
    <n v="0"/>
    <n v="1018943"/>
    <n v="561066"/>
    <n v="513909"/>
    <n v="93836"/>
    <n v="411198"/>
    <n v="505034"/>
  </r>
  <r>
    <x v="6"/>
    <x v="0"/>
    <s v="21/22"/>
    <m/>
    <n v="12"/>
    <n v="-27431"/>
    <n v="295"/>
    <n v="30000"/>
    <n v="174732"/>
    <n v="159999"/>
    <n v="-6770"/>
    <n v="63286"/>
    <n v="93961"/>
    <n v="157247"/>
  </r>
  <r>
    <x v="7"/>
    <x v="0"/>
    <s v="21/22"/>
    <m/>
    <n v="16"/>
    <n v="-52148"/>
    <n v="442"/>
    <n v="16825"/>
    <n v="629231"/>
    <n v="211015"/>
    <n v="273219"/>
    <n v="208672"/>
    <n v="147340"/>
    <n v="356012"/>
  </r>
  <r>
    <x v="8"/>
    <x v="0"/>
    <s v="21/22"/>
    <m/>
    <n v="17"/>
    <n v="-42796"/>
    <n v="999"/>
    <n v="58339"/>
    <n v="227263"/>
    <n v="220574"/>
    <n v="-69890"/>
    <n v="106058"/>
    <n v="191094"/>
    <n v="297152"/>
  </r>
  <r>
    <x v="9"/>
    <x v="0"/>
    <s v="21/22"/>
    <m/>
    <n v="8"/>
    <n v="-108693"/>
    <n v="467"/>
    <n v="60426"/>
    <n v="519908"/>
    <n v="252168"/>
    <n v="-52713"/>
    <n v="403931"/>
    <n v="168690"/>
    <n v="572621"/>
  </r>
  <r>
    <x v="10"/>
    <x v="0"/>
    <s v="21/22"/>
    <m/>
    <n v="2"/>
    <n v="2863"/>
    <n v="1005"/>
    <n v="83903"/>
    <n v="795698"/>
    <n v="698336"/>
    <n v="236984"/>
    <n v="174231"/>
    <n v="384483"/>
    <n v="558714"/>
  </r>
  <r>
    <x v="11"/>
    <x v="0"/>
    <s v="21/22"/>
    <m/>
    <n v="1"/>
    <n v="48644"/>
    <n v="549"/>
    <n v="57831"/>
    <n v="1500921"/>
    <n v="714642"/>
    <n v="813751"/>
    <n v="152122"/>
    <n v="535047"/>
    <n v="687169"/>
  </r>
  <r>
    <x v="12"/>
    <x v="0"/>
    <s v="21/22"/>
    <n v="1"/>
    <n v="6"/>
    <n v="-134660"/>
    <n v="1035"/>
    <n v="0"/>
    <n v="1508134"/>
    <n v="679887"/>
    <n v="148647"/>
    <n v="782609"/>
    <n v="576879"/>
    <n v="1359488"/>
  </r>
  <r>
    <x v="13"/>
    <x v="0"/>
    <s v="21/22"/>
    <m/>
    <n v="11"/>
    <n v="-82363"/>
    <n v="289"/>
    <n v="11335"/>
    <n v="339603"/>
    <n v="209825"/>
    <n v="112786"/>
    <n v="56670"/>
    <n v="170147"/>
    <n v="226817"/>
  </r>
  <r>
    <x v="14"/>
    <x v="0"/>
    <s v="21/22"/>
    <m/>
    <n v="20"/>
    <n v="-20823"/>
    <n v="354"/>
    <n v="27370"/>
    <n v="162770"/>
    <n v="156062"/>
    <n v="3156"/>
    <n v="62341"/>
    <n v="97273"/>
    <n v="159614"/>
  </r>
  <r>
    <x v="15"/>
    <x v="0"/>
    <s v="21/22"/>
    <m/>
    <n v="15"/>
    <n v="-5080"/>
    <n v="408"/>
    <n v="91980"/>
    <n v="201373"/>
    <n v="175600"/>
    <n v="-1983"/>
    <n v="41669"/>
    <n v="161687"/>
    <n v="203356"/>
  </r>
  <r>
    <x v="16"/>
    <x v="0"/>
    <s v="21/22"/>
    <m/>
    <n v="4"/>
    <n v="-58426"/>
    <n v="719"/>
    <n v="2376"/>
    <n v="2168768"/>
    <n v="516926"/>
    <n v="206628"/>
    <n v="1358642"/>
    <n v="603497"/>
    <n v="1962139"/>
  </r>
  <r>
    <x v="17"/>
    <x v="0"/>
    <s v="21/22"/>
    <m/>
    <n v="19"/>
    <n v="-20633"/>
    <n v="361"/>
    <n v="41975"/>
    <n v="258762"/>
    <n v="149330"/>
    <n v="-40720"/>
    <n v="146379"/>
    <n v="153102"/>
    <n v="299481"/>
  </r>
  <r>
    <x v="18"/>
    <x v="0"/>
    <s v="21/22"/>
    <m/>
    <n v="7"/>
    <n v="13593"/>
    <n v="725"/>
    <n v="249900"/>
    <n v="319320"/>
    <n v="295883"/>
    <n v="-180247"/>
    <n v="122467"/>
    <n v="377100"/>
    <n v="499567"/>
  </r>
  <r>
    <x v="19"/>
    <x v="0"/>
    <s v="21/22"/>
    <n v="0"/>
    <n v="10"/>
    <n v="-50635"/>
    <n v="424"/>
    <n v="243622"/>
    <n v="336894"/>
    <n v="194668"/>
    <n v="-116786"/>
    <n v="121301"/>
    <n v="332379"/>
    <n v="453680"/>
  </r>
  <r>
    <x v="20"/>
    <x v="1"/>
    <s v="21/22"/>
    <m/>
    <n v="8"/>
    <n v="-10620"/>
    <n v="327"/>
    <n v="1379"/>
    <n v="2307"/>
    <n v="96550"/>
    <n v="103403"/>
    <n v="60877"/>
    <n v="60434"/>
    <n v="121311"/>
  </r>
  <r>
    <x v="21"/>
    <x v="1"/>
    <s v="21/22"/>
    <m/>
    <n v="3"/>
    <n v="-25176"/>
    <n v="1193"/>
    <n v="49911"/>
    <n v="990781"/>
    <n v="428341"/>
    <n v="68510"/>
    <n v="541190"/>
    <n v="381081"/>
    <n v="922271"/>
  </r>
  <r>
    <x v="22"/>
    <x v="1"/>
    <s v="21/22"/>
    <n v="1"/>
    <n v="2"/>
    <n v="97577"/>
    <n v="1392"/>
    <n v="175306"/>
    <n v="1401607"/>
    <n v="638838"/>
    <n v="-353213"/>
    <n v="914154"/>
    <n v="840666"/>
    <n v="1754820"/>
  </r>
  <r>
    <x v="23"/>
    <x v="1"/>
    <s v="21/22"/>
    <m/>
    <n v="17"/>
    <n v="660"/>
    <n v="273"/>
    <n v="946"/>
    <n v="1654"/>
    <n v="53760"/>
    <n v="-39547"/>
    <n v="35433"/>
    <n v="5768"/>
    <n v="41201"/>
  </r>
  <r>
    <x v="24"/>
    <x v="1"/>
    <s v="21/22"/>
    <m/>
    <n v="11"/>
    <n v="-770"/>
    <n v="301"/>
    <n v="1224"/>
    <n v="2774"/>
    <n v="70940"/>
    <n v="-54268"/>
    <n v="54675"/>
    <n v="2367"/>
    <n v="57042"/>
  </r>
  <r>
    <x v="25"/>
    <x v="1"/>
    <s v="21/22"/>
    <m/>
    <n v="20"/>
    <m/>
    <m/>
    <m/>
    <m/>
    <m/>
    <m/>
    <m/>
    <m/>
    <n v="0"/>
  </r>
  <r>
    <x v="26"/>
    <x v="1"/>
    <s v="21/22"/>
    <m/>
    <n v="13"/>
    <n v="11970"/>
    <n v="291"/>
    <n v="965"/>
    <n v="1457"/>
    <n v="53940"/>
    <n v="-144"/>
    <n v="1427"/>
    <n v="174"/>
    <n v="1601"/>
  </r>
  <r>
    <x v="27"/>
    <x v="1"/>
    <s v="21/22"/>
    <m/>
    <n v="14"/>
    <n v="13485"/>
    <n v="324"/>
    <n v="7546"/>
    <n v="287359"/>
    <n v="171946"/>
    <n v="146638"/>
    <n v="93076"/>
    <n v="47645"/>
    <n v="140721"/>
  </r>
  <r>
    <x v="28"/>
    <x v="1"/>
    <s v="21/22"/>
    <m/>
    <n v="15"/>
    <n v="-743"/>
    <n v="394"/>
    <n v="1441"/>
    <n v="267563"/>
    <n v="182958"/>
    <n v="80193"/>
    <n v="81987"/>
    <n v="105382"/>
    <n v="187369"/>
  </r>
  <r>
    <x v="29"/>
    <x v="1"/>
    <s v="21/22"/>
    <m/>
    <n v="18"/>
    <m/>
    <m/>
    <m/>
    <m/>
    <m/>
    <m/>
    <m/>
    <m/>
    <n v="0"/>
  </r>
  <r>
    <x v="30"/>
    <x v="1"/>
    <s v="21/22"/>
    <m/>
    <n v="19"/>
    <m/>
    <m/>
    <m/>
    <m/>
    <m/>
    <m/>
    <m/>
    <m/>
    <n v="0"/>
  </r>
  <r>
    <x v="31"/>
    <x v="1"/>
    <s v="21/22"/>
    <m/>
    <n v="16"/>
    <n v="-920"/>
    <n v="173"/>
    <n v="674"/>
    <n v="179"/>
    <n v="14210"/>
    <n v="-1322"/>
    <n v="645"/>
    <n v="856"/>
    <n v="1501"/>
  </r>
  <r>
    <x v="32"/>
    <x v="1"/>
    <s v="21/22"/>
    <m/>
    <n v="10"/>
    <n v="1340"/>
    <n v="323"/>
    <n v="886"/>
    <n v="2448"/>
    <n v="63820"/>
    <n v="806"/>
    <n v="1178"/>
    <n v="464"/>
    <n v="1642"/>
  </r>
  <r>
    <x v="33"/>
    <x v="1"/>
    <s v="21/22"/>
    <m/>
    <n v="12"/>
    <n v="-7070"/>
    <n v="98"/>
    <n v="476"/>
    <n v="136"/>
    <n v="10430"/>
    <n v="-1261"/>
    <n v="689"/>
    <n v="708"/>
    <n v="1397"/>
  </r>
  <r>
    <x v="34"/>
    <x v="1"/>
    <s v="21/22"/>
    <n v="1"/>
    <n v="5"/>
    <n v="-38239"/>
    <n v="450"/>
    <n v="39946"/>
    <n v="168000"/>
    <n v="122634"/>
    <n v="-70013"/>
    <n v="82885"/>
    <n v="155129"/>
    <n v="238014"/>
  </r>
  <r>
    <x v="35"/>
    <x v="1"/>
    <s v="21/22"/>
    <m/>
    <n v="1"/>
    <n v="12936"/>
    <n v="894"/>
    <n v="38356"/>
    <n v="2269223"/>
    <n v="719778"/>
    <n v="546447"/>
    <n v="1096046"/>
    <n v="626730"/>
    <n v="1722776"/>
  </r>
  <r>
    <x v="36"/>
    <x v="1"/>
    <s v="21/22"/>
    <m/>
    <n v="6"/>
    <m/>
    <m/>
    <m/>
    <m/>
    <m/>
    <m/>
    <m/>
    <m/>
    <n v="0"/>
  </r>
  <r>
    <x v="37"/>
    <x v="1"/>
    <s v="21/22"/>
    <m/>
    <n v="4"/>
    <m/>
    <n v="524"/>
    <n v="95635"/>
    <n v="856765"/>
    <n v="385863"/>
    <n v="118883"/>
    <n v="478007"/>
    <n v="259875"/>
    <n v="737882"/>
  </r>
  <r>
    <x v="38"/>
    <x v="1"/>
    <s v="21/22"/>
    <m/>
    <n v="9"/>
    <n v="-46097"/>
    <n v="413"/>
    <n v="21489"/>
    <n v="381458"/>
    <n v="110179"/>
    <n v="6578"/>
    <n v="192361"/>
    <n v="182519"/>
    <n v="374880"/>
  </r>
  <r>
    <x v="39"/>
    <x v="1"/>
    <s v="21/22"/>
    <m/>
    <n v="7"/>
    <n v="-17890"/>
    <n v="432"/>
    <n v="54678"/>
    <n v="575652"/>
    <n v="128450"/>
    <n v="296284"/>
    <n v="102567"/>
    <n v="176801"/>
    <n v="279368"/>
  </r>
  <r>
    <x v="40"/>
    <x v="2"/>
    <s v="21/22"/>
    <n v="1"/>
    <n v="1"/>
    <n v="-66537"/>
    <n v="427"/>
    <n v="25961"/>
    <n v="502899"/>
    <n v="297592"/>
    <n v="131230"/>
    <n v="139040"/>
    <n v="232629"/>
    <n v="371669"/>
  </r>
  <r>
    <x v="41"/>
    <x v="2"/>
    <s v="21/22"/>
    <m/>
    <n v="8"/>
    <n v="11100"/>
    <n v="187"/>
    <n v="864"/>
    <n v="355940"/>
    <n v="119598"/>
    <n v="177208"/>
    <n v="91148"/>
    <n v="87584"/>
    <n v="178732"/>
  </r>
  <r>
    <x v="42"/>
    <x v="2"/>
    <s v="21/22"/>
    <m/>
    <n v="13"/>
    <n v="-46694"/>
    <n v="204"/>
    <n v="4342"/>
    <n v="110359"/>
    <n v="80380"/>
    <n v="9348"/>
    <n v="36212"/>
    <n v="64799"/>
    <n v="101011"/>
  </r>
  <r>
    <x v="43"/>
    <x v="2"/>
    <s v="21/22"/>
    <m/>
    <n v="18"/>
    <m/>
    <m/>
    <m/>
    <m/>
    <m/>
    <m/>
    <m/>
    <m/>
    <n v="0"/>
  </r>
  <r>
    <x v="44"/>
    <x v="2"/>
    <s v="21/22"/>
    <m/>
    <n v="14"/>
    <n v="-3530"/>
    <n v="192"/>
    <n v="2564"/>
    <n v="254565"/>
    <n v="70910"/>
    <n v="38562"/>
    <n v="275668"/>
    <n v="78589"/>
    <n v="354257"/>
  </r>
  <r>
    <x v="45"/>
    <x v="2"/>
    <s v="21/22"/>
    <m/>
    <n v="7"/>
    <n v="46830"/>
    <n v="246"/>
    <n v="0"/>
    <n v="366000"/>
    <n v="232353"/>
    <n v="218092"/>
    <n v="49512"/>
    <n v="98397"/>
    <n v="147909"/>
  </r>
  <r>
    <x v="46"/>
    <x v="2"/>
    <s v="21/22"/>
    <m/>
    <n v="19"/>
    <n v="-61729"/>
    <n v="185"/>
    <n v="37917"/>
    <n v="307120"/>
    <n v="81016"/>
    <n v="5401"/>
    <n v="134149"/>
    <n v="167570"/>
    <n v="301719"/>
  </r>
  <r>
    <x v="47"/>
    <x v="2"/>
    <s v="21/22"/>
    <n v="1"/>
    <n v="2"/>
    <n v="-140056"/>
    <n v="498"/>
    <n v="52"/>
    <n v="871065"/>
    <n v="439222"/>
    <n v="-86605"/>
    <n v="613642"/>
    <n v="344028"/>
    <n v="957670"/>
  </r>
  <r>
    <x v="48"/>
    <x v="2"/>
    <s v="21/22"/>
    <n v="1"/>
    <n v="4"/>
    <n v="-254313"/>
    <n v="281"/>
    <n v="10058"/>
    <n v="931695"/>
    <n v="444543"/>
    <n v="169434"/>
    <n v="382773"/>
    <n v="379488"/>
    <n v="762261"/>
  </r>
  <r>
    <x v="49"/>
    <x v="2"/>
    <s v="21/22"/>
    <m/>
    <n v="5"/>
    <n v="-22345"/>
    <n v="176"/>
    <n v="1090"/>
    <n v="322649"/>
    <n v="113449"/>
    <n v="58644"/>
    <n v="101049"/>
    <n v="162956"/>
    <n v="264005"/>
  </r>
  <r>
    <x v="50"/>
    <x v="2"/>
    <s v="21/22"/>
    <m/>
    <n v="3"/>
    <n v="-51951"/>
    <n v="113"/>
    <n v="356"/>
    <n v="355181"/>
    <n v="175995"/>
    <n v="68831"/>
    <n v="125968"/>
    <n v="160383"/>
    <n v="286351"/>
  </r>
  <r>
    <x v="51"/>
    <x v="2"/>
    <s v="21/22"/>
    <n v="1"/>
    <n v="6"/>
    <n v="-219291"/>
    <n v="455"/>
    <n v="20531"/>
    <n v="363226"/>
    <n v="205875"/>
    <n v="-340367"/>
    <n v="460299"/>
    <n v="243294"/>
    <n v="703593"/>
  </r>
  <r>
    <x v="52"/>
    <x v="2"/>
    <s v="21/22"/>
    <m/>
    <n v="17"/>
    <n v="-4350"/>
    <n v="103"/>
    <n v="587"/>
    <n v="125465"/>
    <n v="14756"/>
    <n v="-27591"/>
    <n v="90680"/>
    <n v="62376"/>
    <n v="153056"/>
  </r>
  <r>
    <x v="53"/>
    <x v="2"/>
    <s v="21/22"/>
    <m/>
    <n v="15"/>
    <n v="-36748"/>
    <n v="197"/>
    <n v="56552"/>
    <n v="265058"/>
    <n v="77784"/>
    <n v="12756"/>
    <n v="91614"/>
    <n v="160688"/>
    <n v="252302"/>
  </r>
  <r>
    <x v="54"/>
    <x v="2"/>
    <s v="21/22"/>
    <m/>
    <n v="11"/>
    <n v="1384"/>
    <n v="228"/>
    <n v="23893"/>
    <n v="239922"/>
    <n v="138988"/>
    <n v="27714"/>
    <n v="81654"/>
    <n v="130554"/>
    <n v="212208"/>
  </r>
  <r>
    <x v="55"/>
    <x v="2"/>
    <s v="21/22"/>
    <m/>
    <n v="16"/>
    <n v="-17710"/>
    <n v="134"/>
    <n v="10344"/>
    <n v="178089"/>
    <n v="39070"/>
    <n v="42535"/>
    <n v="97889"/>
    <n v="37665"/>
    <n v="135554"/>
  </r>
  <r>
    <x v="56"/>
    <x v="2"/>
    <s v="21/22"/>
    <m/>
    <n v="10"/>
    <n v="-6831"/>
    <n v="172"/>
    <n v="5000"/>
    <n v="185966"/>
    <n v="112700"/>
    <n v="14265"/>
    <n v="95244"/>
    <n v="76457"/>
    <n v="171701"/>
  </r>
  <r>
    <x v="57"/>
    <x v="2"/>
    <s v="21/22"/>
    <m/>
    <n v="12"/>
    <n v="-69053"/>
    <n v="179"/>
    <n v="15942"/>
    <n v="326937"/>
    <n v="78080"/>
    <n v="127228"/>
    <n v="100533"/>
    <n v="99175"/>
    <n v="199708"/>
  </r>
  <r>
    <x v="58"/>
    <x v="2"/>
    <s v="21/22"/>
    <m/>
    <n v="20"/>
    <m/>
    <m/>
    <m/>
    <m/>
    <m/>
    <m/>
    <m/>
    <m/>
    <n v="0"/>
  </r>
  <r>
    <x v="59"/>
    <x v="2"/>
    <s v="21/22"/>
    <m/>
    <n v="9"/>
    <n v="-5061"/>
    <n v="218"/>
    <n v="576"/>
    <n v="256671"/>
    <n v="84550"/>
    <n v="-165566"/>
    <n v="256770"/>
    <n v="165467"/>
    <n v="422237"/>
  </r>
  <r>
    <x v="60"/>
    <x v="3"/>
    <s v="21/22"/>
    <n v="1"/>
    <n v="9"/>
    <n v="-42323"/>
    <n v="134"/>
    <n v="56223"/>
    <n v="107645"/>
    <n v="47463"/>
    <n v="-58949"/>
    <n v="128952"/>
    <n v="37642"/>
    <n v="166594"/>
  </r>
  <r>
    <x v="61"/>
    <x v="3"/>
    <s v="21/22"/>
    <m/>
    <n v="5"/>
    <n v="-89654"/>
    <m/>
    <n v="65489"/>
    <n v="122895"/>
    <n v="87423"/>
    <n v="-46941"/>
    <m/>
    <m/>
    <n v="169836"/>
  </r>
  <r>
    <x v="62"/>
    <x v="3"/>
    <s v="21/22"/>
    <m/>
    <n v="18"/>
    <n v="-45623"/>
    <n v="94"/>
    <n v="26356"/>
    <n v="65234"/>
    <n v="36743"/>
    <n v="-23854"/>
    <n v="62545"/>
    <n v="26543"/>
    <n v="89088"/>
  </r>
  <r>
    <x v="63"/>
    <x v="3"/>
    <s v="21/22"/>
    <m/>
    <n v="7"/>
    <n v="24645"/>
    <m/>
    <n v="74563"/>
    <n v="190445"/>
    <n v="63924"/>
    <n v="-78491"/>
    <m/>
    <m/>
    <n v="268936"/>
  </r>
  <r>
    <x v="64"/>
    <x v="3"/>
    <s v="21/22"/>
    <n v="1"/>
    <n v="6"/>
    <n v="-40875"/>
    <n v="344"/>
    <n v="9533"/>
    <n v="135308"/>
    <n v="65169"/>
    <n v="-137588"/>
    <n v="204231"/>
    <n v="68665"/>
    <n v="272896"/>
  </r>
  <r>
    <x v="65"/>
    <x v="3"/>
    <s v="21/22"/>
    <m/>
    <n v="8"/>
    <n v="5493"/>
    <m/>
    <n v="98754"/>
    <n v="98522"/>
    <n v="36454"/>
    <n v="-88412"/>
    <m/>
    <m/>
    <n v="186934"/>
  </r>
  <r>
    <x v="66"/>
    <x v="3"/>
    <s v="21/22"/>
    <m/>
    <n v="2"/>
    <n v="-16925"/>
    <n v="497"/>
    <n v="39383"/>
    <n v="205736"/>
    <n v="74504"/>
    <n v="-74228"/>
    <n v="195462"/>
    <n v="84503"/>
    <n v="279965"/>
  </r>
  <r>
    <x v="67"/>
    <x v="3"/>
    <s v="21/22"/>
    <m/>
    <n v="13"/>
    <n v="-21524"/>
    <n v="631"/>
    <n v="27922"/>
    <n v="173992"/>
    <n v="69585"/>
    <n v="-64673"/>
    <n v="147776"/>
    <n v="90889"/>
    <n v="238665"/>
  </r>
  <r>
    <x v="68"/>
    <x v="3"/>
    <s v="21/22"/>
    <m/>
    <n v="15"/>
    <m/>
    <m/>
    <m/>
    <m/>
    <m/>
    <m/>
    <m/>
    <m/>
    <n v="0"/>
  </r>
  <r>
    <x v="69"/>
    <x v="3"/>
    <s v="21/22"/>
    <m/>
    <n v="16"/>
    <n v="-53454"/>
    <n v="124"/>
    <n v="5324"/>
    <n v="70135"/>
    <n v="20345"/>
    <n v="-45079"/>
    <n v="89765"/>
    <n v="25449"/>
    <n v="115214"/>
  </r>
  <r>
    <x v="70"/>
    <x v="3"/>
    <s v="21/22"/>
    <m/>
    <n v="19"/>
    <m/>
    <m/>
    <m/>
    <m/>
    <m/>
    <m/>
    <m/>
    <m/>
    <n v="0"/>
  </r>
  <r>
    <x v="71"/>
    <x v="3"/>
    <s v="21/22"/>
    <m/>
    <n v="12"/>
    <n v="-75349"/>
    <m/>
    <n v="54373"/>
    <n v="134953"/>
    <n v="89763"/>
    <n v="300"/>
    <m/>
    <m/>
    <n v="134653"/>
  </r>
  <r>
    <x v="72"/>
    <x v="3"/>
    <s v="21/22"/>
    <n v="1"/>
    <n v="4"/>
    <n v="-65973"/>
    <m/>
    <n v="49567"/>
    <n v="129836"/>
    <n v="89365"/>
    <n v="-54757"/>
    <m/>
    <m/>
    <n v="184593"/>
  </r>
  <r>
    <x v="73"/>
    <x v="3"/>
    <s v="21/22"/>
    <m/>
    <n v="11"/>
    <n v="-57432"/>
    <m/>
    <n v="35684"/>
    <n v="178354"/>
    <n v="45893"/>
    <n v="32710"/>
    <m/>
    <m/>
    <n v="145644"/>
  </r>
  <r>
    <x v="74"/>
    <x v="3"/>
    <s v="21/22"/>
    <m/>
    <n v="14"/>
    <n v="6323"/>
    <m/>
    <n v="64285"/>
    <n v="124536"/>
    <n v="56446"/>
    <n v="9191"/>
    <m/>
    <m/>
    <n v="115345"/>
  </r>
  <r>
    <x v="75"/>
    <x v="3"/>
    <s v="21/22"/>
    <m/>
    <n v="3"/>
    <n v="-17638"/>
    <m/>
    <n v="82976"/>
    <n v="254664"/>
    <n v="89354"/>
    <n v="-9869"/>
    <m/>
    <m/>
    <n v="264533"/>
  </r>
  <r>
    <x v="76"/>
    <x v="3"/>
    <s v="21/22"/>
    <m/>
    <n v="17"/>
    <m/>
    <m/>
    <m/>
    <m/>
    <m/>
    <m/>
    <m/>
    <m/>
    <n v="0"/>
  </r>
  <r>
    <x v="77"/>
    <x v="3"/>
    <s v="21/22"/>
    <m/>
    <n v="10"/>
    <m/>
    <m/>
    <m/>
    <m/>
    <m/>
    <m/>
    <m/>
    <m/>
    <n v="0"/>
  </r>
  <r>
    <x v="78"/>
    <x v="3"/>
    <s v="21/22"/>
    <n v="1"/>
    <n v="1"/>
    <n v="-19116"/>
    <n v="139"/>
    <n v="11593"/>
    <n v="91271"/>
    <n v="44720"/>
    <n v="-45578"/>
    <n v="82754"/>
    <n v="54095"/>
    <n v="136849"/>
  </r>
  <r>
    <x v="79"/>
    <x v="3"/>
    <s v="21/22"/>
    <m/>
    <n v="20"/>
    <m/>
    <m/>
    <m/>
    <m/>
    <m/>
    <m/>
    <m/>
    <m/>
    <n v="0"/>
  </r>
  <r>
    <x v="80"/>
    <x v="4"/>
    <s v="21/22"/>
    <m/>
    <n v="14"/>
    <n v="8715"/>
    <m/>
    <n v="12735"/>
    <n v="32486"/>
    <n v="35202"/>
    <n v="2460"/>
    <m/>
    <m/>
    <n v="30026"/>
  </r>
  <r>
    <x v="81"/>
    <x v="4"/>
    <s v="21/22"/>
    <n v="1"/>
    <n v="3"/>
    <n v="-187"/>
    <m/>
    <m/>
    <n v="319812"/>
    <n v="86216"/>
    <n v="1223"/>
    <m/>
    <m/>
    <n v="318589"/>
  </r>
  <r>
    <x v="82"/>
    <x v="4"/>
    <s v="21/22"/>
    <m/>
    <n v="18"/>
    <n v="-6800"/>
    <m/>
    <m/>
    <n v="68148"/>
    <n v="72221"/>
    <n v="16495"/>
    <m/>
    <m/>
    <n v="51653"/>
  </r>
  <r>
    <x v="83"/>
    <x v="4"/>
    <s v="21/22"/>
    <m/>
    <n v="17"/>
    <n v="126"/>
    <m/>
    <m/>
    <n v="12167"/>
    <n v="25632"/>
    <n v="986"/>
    <m/>
    <m/>
    <n v="11181"/>
  </r>
  <r>
    <x v="84"/>
    <x v="4"/>
    <s v="21/22"/>
    <m/>
    <n v="19"/>
    <n v="-12691"/>
    <m/>
    <m/>
    <n v="56833"/>
    <n v="35603"/>
    <n v="18881"/>
    <m/>
    <m/>
    <n v="37952"/>
  </r>
  <r>
    <x v="85"/>
    <x v="4"/>
    <s v="21/22"/>
    <m/>
    <n v="9"/>
    <n v="120"/>
    <m/>
    <m/>
    <n v="65710"/>
    <n v="51528"/>
    <n v="447"/>
    <m/>
    <m/>
    <n v="65263"/>
  </r>
  <r>
    <x v="86"/>
    <x v="4"/>
    <s v="21/22"/>
    <m/>
    <n v="20"/>
    <n v="-1959"/>
    <s v="n.a."/>
    <n v="3779"/>
    <n v="311978"/>
    <n v="20598"/>
    <n v="45174"/>
    <n v="121871"/>
    <n v="144933"/>
    <n v="266804"/>
  </r>
  <r>
    <x v="87"/>
    <x v="4"/>
    <s v="21/22"/>
    <n v="0"/>
    <n v="10"/>
    <n v="22007"/>
    <n v="164"/>
    <n v="15975"/>
    <n v="164273"/>
    <n v="165068"/>
    <n v="-61237"/>
    <n v="54015"/>
    <n v="171494"/>
    <n v="225510"/>
  </r>
  <r>
    <x v="88"/>
    <x v="4"/>
    <s v="21/22"/>
    <m/>
    <n v="16"/>
    <n v="-2841"/>
    <m/>
    <m/>
    <n v="46299"/>
    <n v="33584"/>
    <n v="6695"/>
    <m/>
    <m/>
    <n v="39604"/>
  </r>
  <r>
    <x v="89"/>
    <x v="4"/>
    <s v="21/22"/>
    <m/>
    <n v="13"/>
    <n v="3044"/>
    <m/>
    <m/>
    <n v="53494"/>
    <n v="38565"/>
    <n v="14162"/>
    <m/>
    <m/>
    <n v="39332"/>
  </r>
  <r>
    <x v="90"/>
    <x v="4"/>
    <s v="21/22"/>
    <m/>
    <n v="5"/>
    <n v="-59643"/>
    <s v="n.a."/>
    <s v="n.a."/>
    <n v="67586"/>
    <n v="78434"/>
    <n v="14111"/>
    <s v="n.a."/>
    <s v="n.a."/>
    <n v="53475"/>
  </r>
  <r>
    <x v="91"/>
    <x v="4"/>
    <s v="21/22"/>
    <n v="1"/>
    <n v="2"/>
    <n v="-31000"/>
    <s v="n.a."/>
    <s v="n.a."/>
    <n v="244651"/>
    <n v="237549"/>
    <n v="24639"/>
    <s v="n.a."/>
    <s v="n.a."/>
    <n v="220012"/>
  </r>
  <r>
    <x v="92"/>
    <x v="4"/>
    <s v="21/22"/>
    <m/>
    <n v="8"/>
    <n v="-46027"/>
    <s v="n.a."/>
    <n v="30132"/>
    <n v="549113"/>
    <n v="191006"/>
    <n v="2246"/>
    <n v="394875"/>
    <n v="151991"/>
    <n v="546867"/>
  </r>
  <r>
    <x v="93"/>
    <x v="4"/>
    <s v="21/22"/>
    <n v="1"/>
    <n v="1"/>
    <n v="-360423"/>
    <s v="n.a."/>
    <s v="n.a."/>
    <n v="1023476"/>
    <n v="669616"/>
    <n v="151904"/>
    <s v="n.a."/>
    <s v="n.a."/>
    <n v="871572"/>
  </r>
  <r>
    <x v="94"/>
    <x v="4"/>
    <s v="21/22"/>
    <m/>
    <n v="7"/>
    <n v="1640"/>
    <m/>
    <m/>
    <n v="152003"/>
    <n v="47472"/>
    <n v="38115"/>
    <m/>
    <m/>
    <n v="113888"/>
  </r>
  <r>
    <x v="95"/>
    <x v="4"/>
    <s v="21/22"/>
    <m/>
    <n v="6"/>
    <n v="2102"/>
    <m/>
    <m/>
    <n v="50391"/>
    <n v="57472"/>
    <n v="10063"/>
    <m/>
    <m/>
    <n v="40328"/>
  </r>
  <r>
    <x v="96"/>
    <x v="4"/>
    <s v="21/22"/>
    <m/>
    <n v="11"/>
    <n v="12213"/>
    <m/>
    <m/>
    <n v="46794"/>
    <n v="44362"/>
    <n v="11148"/>
    <m/>
    <m/>
    <n v="35646"/>
  </r>
  <r>
    <x v="97"/>
    <x v="4"/>
    <s v="21/22"/>
    <m/>
    <n v="12"/>
    <n v="1132"/>
    <m/>
    <m/>
    <n v="67586"/>
    <n v="36416"/>
    <n v="14111"/>
    <m/>
    <m/>
    <n v="53475"/>
  </r>
  <r>
    <x v="98"/>
    <x v="4"/>
    <s v="21/22"/>
    <m/>
    <n v="4"/>
    <n v="-12210"/>
    <s v="n.a."/>
    <s v="n.a."/>
    <n v="219997"/>
    <n v="83497"/>
    <n v="47631"/>
    <s v="n.a."/>
    <s v="n.a."/>
    <n v="172366"/>
  </r>
  <r>
    <x v="99"/>
    <x v="4"/>
    <s v="21/22"/>
    <m/>
    <n v="15"/>
    <n v="-31078"/>
    <m/>
    <m/>
    <n v="46474"/>
    <n v="26287"/>
    <n v="26142"/>
    <m/>
    <m/>
    <n v="20332"/>
  </r>
  <r>
    <x v="0"/>
    <x v="0"/>
    <s v="20/21"/>
    <m/>
    <n v="8"/>
    <n v="-124210"/>
    <n v="634"/>
    <n v="0"/>
    <n v="912120"/>
    <n v="379980"/>
    <n v="275247"/>
    <n v="381014"/>
    <n v="255859"/>
    <m/>
  </r>
  <r>
    <x v="1"/>
    <x v="0"/>
    <s v="20/21"/>
    <m/>
    <n v="11"/>
    <n v="-37147"/>
    <n v="663"/>
    <n v="248030"/>
    <n v="243993"/>
    <n v="203324"/>
    <n v="-33274"/>
    <n v="0"/>
    <n v="277267"/>
    <n v="277267"/>
  </r>
  <r>
    <x v="3"/>
    <x v="0"/>
    <s v="20/21"/>
    <m/>
    <n v="16"/>
    <n v="-57807"/>
    <n v="821"/>
    <n v="350810"/>
    <n v="167044"/>
    <n v="163000"/>
    <n v="-278401"/>
    <n v="13485"/>
    <n v="431960"/>
    <n v="445445"/>
  </r>
  <r>
    <x v="4"/>
    <x v="0"/>
    <s v="20/21"/>
    <m/>
    <n v="17"/>
    <n v="-3017"/>
    <n v="267"/>
    <n v="607"/>
    <n v="188195"/>
    <n v="135206"/>
    <n v="87262"/>
    <n v="16185"/>
    <n v="84749"/>
    <n v="100934"/>
  </r>
  <r>
    <x v="5"/>
    <x v="0"/>
    <s v="20/21"/>
    <m/>
    <n v="4"/>
    <n v="-178971"/>
    <n v="817"/>
    <n v="34471"/>
    <n v="960469"/>
    <n v="507279"/>
    <n v="467414"/>
    <n v="70307"/>
    <n v="422748"/>
    <n v="493055"/>
  </r>
  <r>
    <x v="6"/>
    <x v="0"/>
    <s v="20/21"/>
    <m/>
    <n v="14"/>
    <n v="-42681"/>
    <n v="297"/>
    <n v="0"/>
    <n v="111035"/>
    <n v="134383"/>
    <n v="-20497"/>
    <n v="27291"/>
    <n v="87482"/>
    <n v="114773"/>
  </r>
  <r>
    <x v="7"/>
    <x v="0"/>
    <s v="20/21"/>
    <m/>
    <n v="10"/>
    <n v="-141073"/>
    <n v="450"/>
    <n v="3957"/>
    <n v="394023"/>
    <n v="225306"/>
    <n v="58034"/>
    <n v="193919"/>
    <n v="142071"/>
    <n v="335990"/>
  </r>
  <r>
    <x v="100"/>
    <x v="0"/>
    <s v="20/21"/>
    <m/>
    <n v="18"/>
    <n v="-108499"/>
    <n v="194"/>
    <n v="787"/>
    <n v="388724"/>
    <n v="135447"/>
    <n v="286208"/>
    <n v="16258"/>
    <n v="86258"/>
    <n v="102516"/>
  </r>
  <r>
    <x v="8"/>
    <x v="0"/>
    <s v="20/21"/>
    <m/>
    <n v="9"/>
    <n v="30236"/>
    <n v="428"/>
    <n v="39959"/>
    <n v="229608"/>
    <n v="199508"/>
    <n v="-14786"/>
    <n v="74872"/>
    <n v="169523"/>
    <n v="244395"/>
  </r>
  <r>
    <x v="9"/>
    <x v="0"/>
    <s v="20/21"/>
    <m/>
    <n v="5"/>
    <n v="-36126"/>
    <n v="435"/>
    <n v="124514"/>
    <n v="542443"/>
    <n v="261874"/>
    <n v="45693"/>
    <n v="250590"/>
    <n v="246160"/>
    <n v="496750"/>
  </r>
  <r>
    <x v="10"/>
    <x v="0"/>
    <s v="20/21"/>
    <m/>
    <n v="3"/>
    <n v="-11039"/>
    <n v="964"/>
    <n v="82659"/>
    <n v="802791"/>
    <n v="564218"/>
    <n v="230658"/>
    <n v="253384"/>
    <n v="318748"/>
    <n v="572132"/>
  </r>
  <r>
    <x v="11"/>
    <x v="0"/>
    <s v="20/21"/>
    <m/>
    <n v="1"/>
    <n v="2761"/>
    <n v="509"/>
    <n v="34502"/>
    <n v="1374132"/>
    <n v="664744"/>
    <n v="765595"/>
    <n v="150098"/>
    <n v="458439"/>
    <n v="608537"/>
  </r>
  <r>
    <x v="12"/>
    <x v="0"/>
    <s v="20/21"/>
    <m/>
    <n v="2"/>
    <n v="-107572"/>
    <n v="983"/>
    <n v="0"/>
    <n v="1470185"/>
    <n v="576401"/>
    <n v="317892"/>
    <n v="704309"/>
    <n v="447983"/>
    <n v="1152292"/>
  </r>
  <r>
    <x v="13"/>
    <x v="0"/>
    <s v="20/21"/>
    <m/>
    <n v="12"/>
    <n v="-14222"/>
    <n v="291"/>
    <n v="137287"/>
    <n v="216265"/>
    <n v="163538"/>
    <n v="-1389"/>
    <n v="11122"/>
    <n v="206532"/>
    <n v="217654"/>
  </r>
  <r>
    <x v="101"/>
    <x v="0"/>
    <s v="20/21"/>
    <m/>
    <n v="20"/>
    <m/>
    <m/>
    <m/>
    <m/>
    <m/>
    <m/>
    <m/>
    <m/>
    <n v="0"/>
  </r>
  <r>
    <x v="15"/>
    <x v="0"/>
    <s v="20/21"/>
    <m/>
    <n v="15"/>
    <n v="-11754"/>
    <n v="385"/>
    <n v="103501"/>
    <n v="209759"/>
    <n v="183311"/>
    <n v="3099"/>
    <n v="31284"/>
    <n v="175376"/>
    <n v="206660"/>
  </r>
  <r>
    <x v="16"/>
    <x v="0"/>
    <s v="20/21"/>
    <m/>
    <n v="7"/>
    <n v="-97756"/>
    <n v="672"/>
    <n v="2293"/>
    <n v="2033196"/>
    <n v="420422"/>
    <n v="298639"/>
    <n v="1347378"/>
    <n v="387179"/>
    <n v="1734557"/>
  </r>
  <r>
    <x v="102"/>
    <x v="0"/>
    <s v="20/21"/>
    <m/>
    <n v="19"/>
    <m/>
    <m/>
    <m/>
    <m/>
    <m/>
    <m/>
    <m/>
    <m/>
    <n v="0"/>
  </r>
  <r>
    <x v="18"/>
    <x v="0"/>
    <s v="20/21"/>
    <m/>
    <n v="6"/>
    <n v="-29794"/>
    <n v="652"/>
    <n v="115505"/>
    <n v="230080"/>
    <n v="222388"/>
    <n v="-190966"/>
    <n v="161292"/>
    <n v="259754"/>
    <n v="421046"/>
  </r>
  <r>
    <x v="19"/>
    <x v="0"/>
    <s v="20/21"/>
    <n v="1"/>
    <n v="13"/>
    <n v="24439"/>
    <n v="379"/>
    <n v="184220"/>
    <n v="390149"/>
    <n v="224703"/>
    <n v="-65171"/>
    <n v="134866"/>
    <n v="320454"/>
    <n v="455320"/>
  </r>
  <r>
    <x v="103"/>
    <x v="1"/>
    <s v="20/21"/>
    <m/>
    <n v="16"/>
    <m/>
    <m/>
    <m/>
    <m/>
    <m/>
    <m/>
    <m/>
    <m/>
    <n v="0"/>
  </r>
  <r>
    <x v="20"/>
    <x v="1"/>
    <s v="20/21"/>
    <m/>
    <n v="10"/>
    <n v="-25421"/>
    <n v="341"/>
    <n v="0"/>
    <n v="245481"/>
    <n v="101851"/>
    <n v="112455"/>
    <n v="82173"/>
    <n v="50853"/>
    <n v="133026"/>
  </r>
  <r>
    <x v="21"/>
    <x v="1"/>
    <s v="20/21"/>
    <n v="1"/>
    <n v="1"/>
    <n v="-107369"/>
    <n v="1020"/>
    <n v="82010"/>
    <n v="970576"/>
    <n v="362859"/>
    <n v="-27741"/>
    <n v="415150"/>
    <n v="583167"/>
    <n v="998317"/>
  </r>
  <r>
    <x v="22"/>
    <x v="1"/>
    <s v="20/21"/>
    <m/>
    <n v="3"/>
    <n v="-481318"/>
    <n v="1289"/>
    <n v="188172"/>
    <n v="1030948"/>
    <n v="590177"/>
    <n v="-450732"/>
    <n v="669060"/>
    <n v="812620"/>
    <n v="1481680"/>
  </r>
  <r>
    <x v="23"/>
    <x v="1"/>
    <s v="20/21"/>
    <m/>
    <n v="12"/>
    <n v="-2490"/>
    <n v="254"/>
    <n v="876"/>
    <n v="1546"/>
    <n v="53760"/>
    <n v="-27444"/>
    <n v="26456"/>
    <n v="2534"/>
    <n v="28990"/>
  </r>
  <r>
    <x v="24"/>
    <x v="1"/>
    <s v="20/21"/>
    <m/>
    <n v="8"/>
    <n v="-9580"/>
    <n v="285"/>
    <n v="1742"/>
    <n v="7243"/>
    <n v="66840"/>
    <n v="-3755"/>
    <n v="4566"/>
    <n v="6432"/>
    <n v="10998"/>
  </r>
  <r>
    <x v="104"/>
    <x v="1"/>
    <s v="20/21"/>
    <m/>
    <n v="20"/>
    <n v="-11407"/>
    <n v="269"/>
    <n v="5940"/>
    <n v="205760"/>
    <n v="49766"/>
    <n v="126672"/>
    <n v="6729"/>
    <n v="72359"/>
    <n v="79088"/>
  </r>
  <r>
    <x v="26"/>
    <x v="1"/>
    <s v="20/21"/>
    <m/>
    <n v="17"/>
    <n v="11970"/>
    <n v="275"/>
    <n v="1714"/>
    <n v="10356"/>
    <n v="53940"/>
    <n v="-25947"/>
    <n v="8467"/>
    <n v="27836"/>
    <n v="36303"/>
  </r>
  <r>
    <x v="28"/>
    <x v="1"/>
    <s v="20/21"/>
    <m/>
    <n v="15"/>
    <n v="-14205"/>
    <n v="334"/>
    <n v="0"/>
    <n v="198029"/>
    <n v="128446"/>
    <n v="80936"/>
    <n v="29431"/>
    <n v="87662"/>
    <n v="117093"/>
  </r>
  <r>
    <x v="29"/>
    <x v="1"/>
    <s v="20/21"/>
    <m/>
    <n v="9"/>
    <m/>
    <m/>
    <m/>
    <m/>
    <m/>
    <m/>
    <m/>
    <m/>
    <n v="0"/>
  </r>
  <r>
    <x v="105"/>
    <x v="1"/>
    <s v="20/21"/>
    <m/>
    <n v="18"/>
    <m/>
    <m/>
    <m/>
    <m/>
    <m/>
    <m/>
    <m/>
    <m/>
    <n v="0"/>
  </r>
  <r>
    <x v="30"/>
    <x v="1"/>
    <s v="20/21"/>
    <m/>
    <n v="14"/>
    <m/>
    <m/>
    <m/>
    <m/>
    <m/>
    <m/>
    <m/>
    <m/>
    <n v="0"/>
  </r>
  <r>
    <x v="32"/>
    <x v="1"/>
    <s v="20/21"/>
    <m/>
    <n v="11"/>
    <n v="-1050"/>
    <n v="354"/>
    <n v="54761"/>
    <n v="95677"/>
    <n v="63820"/>
    <n v="1465"/>
    <n v="56644"/>
    <n v="37568"/>
    <n v="94212"/>
  </r>
  <r>
    <x v="34"/>
    <x v="1"/>
    <s v="20/21"/>
    <m/>
    <n v="6"/>
    <n v="-36684"/>
    <n v="384"/>
    <n v="37024"/>
    <n v="134458"/>
    <n v="87681"/>
    <n v="-31314"/>
    <n v="31067"/>
    <n v="134705"/>
    <n v="165772"/>
  </r>
  <r>
    <x v="35"/>
    <x v="1"/>
    <s v="20/21"/>
    <m/>
    <n v="2"/>
    <n v="874"/>
    <n v="861"/>
    <n v="237237"/>
    <n v="1585567"/>
    <n v="640700"/>
    <n v="533655"/>
    <n v="456682"/>
    <n v="671687"/>
    <n v="1128369"/>
  </r>
  <r>
    <x v="36"/>
    <x v="1"/>
    <s v="20/21"/>
    <m/>
    <n v="5"/>
    <m/>
    <m/>
    <m/>
    <m/>
    <m/>
    <m/>
    <m/>
    <m/>
    <n v="0"/>
  </r>
  <r>
    <x v="37"/>
    <x v="1"/>
    <s v="20/21"/>
    <m/>
    <n v="4"/>
    <n v="-41359"/>
    <n v="397"/>
    <n v="12949"/>
    <n v="263704"/>
    <n v="173439"/>
    <n v="56502"/>
    <n v="61193"/>
    <n v="146009"/>
    <n v="207202"/>
  </r>
  <r>
    <x v="38"/>
    <x v="1"/>
    <s v="20/21"/>
    <m/>
    <n v="13"/>
    <n v="-31207"/>
    <n v="407"/>
    <n v="14609"/>
    <n v="400274"/>
    <n v="109611"/>
    <n v="8997"/>
    <n v="174727"/>
    <n v="216550"/>
    <n v="391277"/>
  </r>
  <r>
    <x v="106"/>
    <x v="1"/>
    <s v="20/21"/>
    <m/>
    <n v="19"/>
    <m/>
    <m/>
    <m/>
    <m/>
    <m/>
    <m/>
    <m/>
    <m/>
    <n v="0"/>
  </r>
  <r>
    <x v="39"/>
    <x v="1"/>
    <s v="20/21"/>
    <m/>
    <n v="7"/>
    <n v="-30"/>
    <n v="385"/>
    <n v="87678"/>
    <n v="678978"/>
    <n v="97750"/>
    <n v="67454"/>
    <n v="467846"/>
    <n v="143678"/>
    <n v="611524"/>
  </r>
  <r>
    <x v="40"/>
    <x v="2"/>
    <s v="20/21"/>
    <m/>
    <n v="2"/>
    <n v="-96416"/>
    <n v="411"/>
    <n v="71684"/>
    <n v="405740"/>
    <n v="246107"/>
    <n v="67294"/>
    <n v="104256"/>
    <n v="234190"/>
    <n v="338446"/>
  </r>
  <r>
    <x v="41"/>
    <x v="2"/>
    <s v="20/21"/>
    <m/>
    <n v="3"/>
    <n v="35227"/>
    <n v="171"/>
    <n v="852"/>
    <n v="347587"/>
    <n v="240030"/>
    <n v="166109"/>
    <n v="72572"/>
    <n v="108906"/>
    <n v="181478"/>
  </r>
  <r>
    <x v="107"/>
    <x v="2"/>
    <s v="20/21"/>
    <m/>
    <n v="18"/>
    <m/>
    <m/>
    <m/>
    <m/>
    <m/>
    <m/>
    <m/>
    <m/>
    <n v="0"/>
  </r>
  <r>
    <x v="42"/>
    <x v="2"/>
    <s v="20/21"/>
    <m/>
    <n v="12"/>
    <n v="-30846"/>
    <n v="183"/>
    <n v="6528"/>
    <n v="121478"/>
    <n v="79856"/>
    <n v="16139"/>
    <n v="27562"/>
    <n v="77778"/>
    <n v="105340"/>
  </r>
  <r>
    <x v="43"/>
    <x v="2"/>
    <s v="20/21"/>
    <m/>
    <n v="16"/>
    <m/>
    <m/>
    <m/>
    <m/>
    <m/>
    <m/>
    <m/>
    <m/>
    <n v="0"/>
  </r>
  <r>
    <x v="108"/>
    <x v="2"/>
    <s v="20/21"/>
    <m/>
    <n v="19"/>
    <m/>
    <m/>
    <m/>
    <m/>
    <m/>
    <m/>
    <m/>
    <m/>
    <n v="0"/>
  </r>
  <r>
    <x v="45"/>
    <x v="2"/>
    <s v="20/21"/>
    <m/>
    <n v="13"/>
    <n v="-10373"/>
    <n v="247"/>
    <n v="0"/>
    <n v="296422"/>
    <n v="160692"/>
    <n v="153012"/>
    <n v="39146"/>
    <n v="104264"/>
    <n v="143410"/>
  </r>
  <r>
    <x v="46"/>
    <x v="2"/>
    <s v="20/21"/>
    <m/>
    <n v="11"/>
    <n v="-42730"/>
    <n v="196"/>
    <n v="42892"/>
    <n v="292838"/>
    <n v="74514"/>
    <n v="4682"/>
    <n v="125009"/>
    <n v="163146"/>
    <n v="288155"/>
  </r>
  <r>
    <x v="47"/>
    <x v="2"/>
    <s v="20/21"/>
    <m/>
    <n v="1"/>
    <n v="-245579"/>
    <n v="520"/>
    <n v="9321"/>
    <n v="953305"/>
    <n v="362608"/>
    <n v="53451"/>
    <n v="581891"/>
    <n v="317963"/>
    <n v="899854"/>
  </r>
  <r>
    <x v="48"/>
    <x v="2"/>
    <s v="20/21"/>
    <m/>
    <n v="4"/>
    <n v="-209885"/>
    <n v="270"/>
    <n v="48416"/>
    <n v="907811"/>
    <n v="480712"/>
    <n v="28439"/>
    <n v="499212"/>
    <n v="380160"/>
    <n v="879372"/>
  </r>
  <r>
    <x v="49"/>
    <x v="2"/>
    <s v="20/21"/>
    <m/>
    <n v="6"/>
    <n v="-25650"/>
    <n v="183"/>
    <n v="25675"/>
    <n v="334648"/>
    <n v="148451"/>
    <n v="74884"/>
    <n v="84582"/>
    <n v="175182"/>
    <n v="259764"/>
  </r>
  <r>
    <x v="50"/>
    <x v="2"/>
    <s v="20/21"/>
    <m/>
    <n v="5"/>
    <n v="-58942"/>
    <n v="110"/>
    <n v="0"/>
    <n v="417779"/>
    <n v="222931"/>
    <n v="140259"/>
    <n v="82783"/>
    <n v="194737"/>
    <n v="277520"/>
  </r>
  <r>
    <x v="109"/>
    <x v="2"/>
    <s v="20/21"/>
    <m/>
    <n v="20"/>
    <m/>
    <m/>
    <m/>
    <m/>
    <m/>
    <m/>
    <m/>
    <m/>
    <n v="0"/>
  </r>
  <r>
    <x v="51"/>
    <x v="2"/>
    <s v="20/21"/>
    <m/>
    <n v="7"/>
    <n v="-185317"/>
    <n v="403"/>
    <n v="22968"/>
    <n v="375299"/>
    <n v="226537"/>
    <n v="-273245"/>
    <n v="389087"/>
    <n v="259457"/>
    <n v="648544"/>
  </r>
  <r>
    <x v="53"/>
    <x v="2"/>
    <s v="20/21"/>
    <m/>
    <n v="9"/>
    <n v="-24421"/>
    <n v="201"/>
    <n v="76784"/>
    <n v="359673"/>
    <n v="76314"/>
    <n v="130"/>
    <n v="254067"/>
    <n v="105476"/>
    <n v="359543"/>
  </r>
  <r>
    <x v="54"/>
    <x v="2"/>
    <s v="20/21"/>
    <m/>
    <n v="8"/>
    <n v="-13851"/>
    <n v="181"/>
    <n v="40997"/>
    <n v="222278"/>
    <n v="116933"/>
    <n v="12480"/>
    <n v="58908"/>
    <n v="150890"/>
    <n v="209798"/>
  </r>
  <r>
    <x v="55"/>
    <x v="2"/>
    <s v="20/21"/>
    <m/>
    <n v="15"/>
    <n v="-16963"/>
    <n v="94"/>
    <n v="124"/>
    <n v="166775"/>
    <n v="39072"/>
    <n v="39395"/>
    <n v="28890"/>
    <n v="98490"/>
    <n v="127380"/>
  </r>
  <r>
    <x v="56"/>
    <x v="2"/>
    <s v="20/21"/>
    <m/>
    <n v="17"/>
    <n v="-37796"/>
    <n v="180"/>
    <n v="1250"/>
    <n v="148209"/>
    <n v="83718"/>
    <n v="20352"/>
    <n v="60382"/>
    <n v="67475"/>
    <n v="127857"/>
  </r>
  <r>
    <x v="57"/>
    <x v="2"/>
    <s v="20/21"/>
    <m/>
    <n v="14"/>
    <n v="-36886"/>
    <n v="175"/>
    <n v="8169"/>
    <n v="389704"/>
    <n v="78904"/>
    <n v="196282"/>
    <n v="101229"/>
    <n v="92193"/>
    <n v="193422"/>
  </r>
  <r>
    <x v="59"/>
    <x v="2"/>
    <s v="20/21"/>
    <m/>
    <n v="10"/>
    <n v="-24415"/>
    <n v="160"/>
    <n v="39683"/>
    <n v="298868"/>
    <n v="99204"/>
    <n v="49504"/>
    <n v="102661"/>
    <n v="146703"/>
    <n v="249364"/>
  </r>
  <r>
    <x v="61"/>
    <x v="3"/>
    <s v="20/21"/>
    <m/>
    <n v="7"/>
    <n v="78534"/>
    <m/>
    <n v="98672"/>
    <n v="189456"/>
    <n v="189134"/>
    <n v="-1778"/>
    <m/>
    <m/>
    <n v="191234"/>
  </r>
  <r>
    <x v="110"/>
    <x v="3"/>
    <s v="20/21"/>
    <m/>
    <n v="19"/>
    <n v="-97542"/>
    <m/>
    <n v="81234"/>
    <n v="129834"/>
    <n v="89125"/>
    <n v="-59409"/>
    <m/>
    <m/>
    <n v="189243"/>
  </r>
  <r>
    <x v="63"/>
    <x v="3"/>
    <s v="20/21"/>
    <m/>
    <n v="16"/>
    <n v="-76634"/>
    <m/>
    <n v="125688"/>
    <n v="267596"/>
    <n v="189646"/>
    <n v="21939"/>
    <m/>
    <m/>
    <n v="245657"/>
  </r>
  <r>
    <x v="111"/>
    <x v="3"/>
    <s v="20/21"/>
    <m/>
    <n v="18"/>
    <n v="-8543"/>
    <m/>
    <n v="58276"/>
    <n v="138453"/>
    <n v="53423"/>
    <n v="-605"/>
    <m/>
    <m/>
    <n v="139058"/>
  </r>
  <r>
    <x v="64"/>
    <x v="3"/>
    <s v="20/21"/>
    <m/>
    <n v="1"/>
    <n v="-38232"/>
    <n v="265"/>
    <n v="19"/>
    <n v="208377"/>
    <n v="51596"/>
    <n v="-162095"/>
    <n v="291339"/>
    <n v="79133"/>
    <n v="370472"/>
  </r>
  <r>
    <x v="112"/>
    <x v="3"/>
    <s v="20/21"/>
    <m/>
    <n v="21"/>
    <n v="-5437"/>
    <m/>
    <n v="12937"/>
    <n v="89043"/>
    <n v="30533"/>
    <n v="-66927"/>
    <m/>
    <m/>
    <n v="79864"/>
  </r>
  <r>
    <x v="65"/>
    <x v="3"/>
    <s v="20/21"/>
    <m/>
    <n v="8"/>
    <n v="34523"/>
    <m/>
    <n v="53497"/>
    <n v="69145"/>
    <n v="79782"/>
    <n v="31902"/>
    <m/>
    <m/>
    <n v="37243"/>
  </r>
  <r>
    <x v="66"/>
    <x v="3"/>
    <s v="20/21"/>
    <m/>
    <n v="3"/>
    <n v="-19325"/>
    <n v="502"/>
    <n v="268088"/>
    <n v="262112"/>
    <n v="66277"/>
    <n v="-96095"/>
    <n v="28668"/>
    <n v="329539"/>
    <n v="358207"/>
  </r>
  <r>
    <x v="67"/>
    <x v="3"/>
    <s v="20/21"/>
    <n v="1"/>
    <n v="2"/>
    <n v="-41620"/>
    <n v="583"/>
    <n v="0"/>
    <n v="217671"/>
    <n v="61755"/>
    <n v="-72305"/>
    <n v="234369"/>
    <n v="55607"/>
    <n v="289976"/>
  </r>
  <r>
    <x v="68"/>
    <x v="3"/>
    <s v="20/21"/>
    <m/>
    <n v="9"/>
    <m/>
    <m/>
    <m/>
    <m/>
    <m/>
    <m/>
    <m/>
    <m/>
    <n v="0"/>
  </r>
  <r>
    <x v="113"/>
    <x v="3"/>
    <s v="20/21"/>
    <m/>
    <n v="20"/>
    <m/>
    <m/>
    <m/>
    <m/>
    <m/>
    <m/>
    <m/>
    <m/>
    <n v="0"/>
  </r>
  <r>
    <x v="70"/>
    <x v="3"/>
    <s v="20/21"/>
    <m/>
    <n v="10"/>
    <m/>
    <m/>
    <m/>
    <m/>
    <m/>
    <m/>
    <m/>
    <m/>
    <n v="0"/>
  </r>
  <r>
    <x v="71"/>
    <x v="3"/>
    <s v="20/21"/>
    <m/>
    <n v="6"/>
    <n v="-75348"/>
    <m/>
    <n v="52341"/>
    <n v="102345"/>
    <n v="85973"/>
    <n v="-33058"/>
    <m/>
    <m/>
    <n v="135403"/>
  </r>
  <r>
    <x v="72"/>
    <x v="3"/>
    <s v="20/21"/>
    <n v="1"/>
    <n v="12"/>
    <n v="-54385"/>
    <m/>
    <n v="135749"/>
    <n v="215345"/>
    <n v="187674"/>
    <n v="-30500"/>
    <m/>
    <m/>
    <n v="245845"/>
  </r>
  <r>
    <x v="73"/>
    <x v="3"/>
    <s v="20/21"/>
    <m/>
    <n v="14"/>
    <n v="-54322"/>
    <m/>
    <n v="195043"/>
    <n v="95643"/>
    <n v="90786"/>
    <n v="-60847"/>
    <m/>
    <m/>
    <n v="156490"/>
  </r>
  <r>
    <x v="74"/>
    <x v="3"/>
    <s v="20/21"/>
    <m/>
    <n v="17"/>
    <n v="-76813"/>
    <m/>
    <n v="126539"/>
    <n v="129544"/>
    <n v="67589"/>
    <n v="-4959"/>
    <m/>
    <m/>
    <n v="134503"/>
  </r>
  <r>
    <x v="75"/>
    <x v="3"/>
    <s v="20/21"/>
    <m/>
    <n v="11"/>
    <n v="-12349"/>
    <m/>
    <n v="134943"/>
    <n v="85434"/>
    <n v="26354"/>
    <n v="-13000"/>
    <m/>
    <m/>
    <n v="98434"/>
  </r>
  <r>
    <x v="76"/>
    <x v="3"/>
    <s v="20/21"/>
    <m/>
    <n v="13"/>
    <m/>
    <m/>
    <m/>
    <m/>
    <m/>
    <m/>
    <m/>
    <m/>
    <n v="0"/>
  </r>
  <r>
    <x v="77"/>
    <x v="3"/>
    <s v="20/21"/>
    <m/>
    <n v="5"/>
    <m/>
    <m/>
    <m/>
    <m/>
    <m/>
    <m/>
    <m/>
    <m/>
    <n v="0"/>
  </r>
  <r>
    <x v="78"/>
    <x v="3"/>
    <s v="20/21"/>
    <n v="1"/>
    <n v="4"/>
    <n v="-22113"/>
    <n v="119"/>
    <n v="4285"/>
    <n v="79504"/>
    <n v="38585"/>
    <n v="-58549"/>
    <n v="107900"/>
    <n v="30154"/>
    <n v="138054"/>
  </r>
  <r>
    <x v="79"/>
    <x v="3"/>
    <s v="20/21"/>
    <m/>
    <n v="15"/>
    <m/>
    <m/>
    <m/>
    <m/>
    <m/>
    <m/>
    <m/>
    <m/>
    <n v="0"/>
  </r>
  <r>
    <x v="80"/>
    <x v="4"/>
    <s v="20/21"/>
    <m/>
    <n v="13"/>
    <m/>
    <m/>
    <n v="7969"/>
    <n v="36429"/>
    <n v="12397"/>
    <n v="-6248"/>
    <m/>
    <m/>
    <n v="42677"/>
  </r>
  <r>
    <x v="81"/>
    <x v="4"/>
    <s v="20/21"/>
    <m/>
    <n v="3"/>
    <n v="-116"/>
    <m/>
    <m/>
    <n v="315307"/>
    <m/>
    <n v="1410"/>
    <m/>
    <m/>
    <n v="313897"/>
  </r>
  <r>
    <x v="82"/>
    <x v="4"/>
    <s v="20/21"/>
    <m/>
    <n v="11"/>
    <n v="62"/>
    <m/>
    <m/>
    <n v="102981"/>
    <m/>
    <n v="23198"/>
    <m/>
    <m/>
    <n v="79783"/>
  </r>
  <r>
    <x v="114"/>
    <x v="4"/>
    <s v="20/21"/>
    <m/>
    <n v="20"/>
    <n v="951"/>
    <m/>
    <m/>
    <n v="48059"/>
    <m/>
    <n v="16932"/>
    <m/>
    <m/>
    <n v="31127"/>
  </r>
  <r>
    <x v="86"/>
    <x v="4"/>
    <s v="20/21"/>
    <m/>
    <n v="12"/>
    <n v="-1064"/>
    <s v="n.a."/>
    <n v="3332"/>
    <n v="322286"/>
    <n v="16294"/>
    <n v="49633"/>
    <n v="253831"/>
    <n v="18821"/>
    <n v="272653"/>
  </r>
  <r>
    <x v="87"/>
    <x v="4"/>
    <s v="20/21"/>
    <n v="1"/>
    <n v="1"/>
    <n v="-23522"/>
    <n v="210"/>
    <n v="2387"/>
    <n v="185655"/>
    <n v="87430"/>
    <n v="-83244"/>
    <n v="133608"/>
    <n v="135291"/>
    <n v="268899"/>
  </r>
  <r>
    <x v="88"/>
    <x v="4"/>
    <s v="20/21"/>
    <m/>
    <n v="16"/>
    <n v="-2177"/>
    <n v="14"/>
    <n v="3730"/>
    <n v="339020"/>
    <n v="17991"/>
    <n v="21454"/>
    <n v="285057"/>
    <n v="32509"/>
    <n v="317566"/>
  </r>
  <r>
    <x v="84"/>
    <x v="4"/>
    <s v="20/21"/>
    <m/>
    <n v="10"/>
    <n v="-10388"/>
    <m/>
    <m/>
    <n v="66167"/>
    <m/>
    <n v="27649"/>
    <m/>
    <m/>
    <n v="38518"/>
  </r>
  <r>
    <x v="89"/>
    <x v="4"/>
    <s v="20/21"/>
    <m/>
    <n v="8"/>
    <n v="-15184"/>
    <m/>
    <m/>
    <n v="58877"/>
    <m/>
    <n v="11206"/>
    <m/>
    <m/>
    <n v="47671"/>
  </r>
  <r>
    <x v="85"/>
    <x v="4"/>
    <s v="20/21"/>
    <m/>
    <n v="18"/>
    <n v="-1044"/>
    <m/>
    <m/>
    <n v="89550"/>
    <m/>
    <n v="69550"/>
    <m/>
    <m/>
    <n v="20000"/>
  </r>
  <r>
    <x v="115"/>
    <x v="4"/>
    <s v="20/21"/>
    <m/>
    <n v="19"/>
    <n v="-7760"/>
    <m/>
    <m/>
    <n v="34352"/>
    <m/>
    <n v="1362"/>
    <m/>
    <m/>
    <n v="32990"/>
  </r>
  <r>
    <x v="90"/>
    <x v="4"/>
    <s v="20/21"/>
    <m/>
    <n v="9"/>
    <n v="-30161"/>
    <m/>
    <m/>
    <n v="139653"/>
    <m/>
    <n v="72228"/>
    <m/>
    <m/>
    <n v="67425"/>
  </r>
  <r>
    <x v="91"/>
    <x v="4"/>
    <s v="20/21"/>
    <n v="1"/>
    <n v="5"/>
    <n v="-76392"/>
    <s v="n.a."/>
    <s v="n.a."/>
    <n v="163142"/>
    <s v="n.a."/>
    <n v="-4361"/>
    <s v="n.a."/>
    <s v="n.a."/>
    <n v="167503"/>
  </r>
  <r>
    <x v="92"/>
    <x v="4"/>
    <s v="20/21"/>
    <m/>
    <n v="4"/>
    <n v="-100514"/>
    <s v="n.a."/>
    <n v="9062"/>
    <n v="660374"/>
    <n v="161741"/>
    <n v="48274"/>
    <n v="446853"/>
    <n v="165247"/>
    <n v="612100"/>
  </r>
  <r>
    <x v="93"/>
    <x v="4"/>
    <s v="20/21"/>
    <m/>
    <n v="2"/>
    <n v="-177636"/>
    <n v="643"/>
    <n v="68444"/>
    <n v="972492"/>
    <n v="544873"/>
    <n v="315281"/>
    <n v="151626"/>
    <n v="505585"/>
    <n v="657211"/>
  </r>
  <r>
    <x v="94"/>
    <x v="4"/>
    <s v="20/21"/>
    <m/>
    <n v="7"/>
    <n v="-23888"/>
    <m/>
    <m/>
    <n v="104001"/>
    <m/>
    <n v="39489"/>
    <m/>
    <m/>
    <n v="64512"/>
  </r>
  <r>
    <x v="95"/>
    <x v="4"/>
    <s v="20/21"/>
    <m/>
    <n v="15"/>
    <n v="-7434"/>
    <m/>
    <m/>
    <n v="57892"/>
    <m/>
    <n v="7973"/>
    <m/>
    <m/>
    <n v="49919"/>
  </r>
  <r>
    <x v="96"/>
    <x v="4"/>
    <s v="20/21"/>
    <m/>
    <n v="17"/>
    <n v="-4528"/>
    <m/>
    <m/>
    <n v="41069"/>
    <m/>
    <n v="-864"/>
    <m/>
    <m/>
    <n v="41933"/>
  </r>
  <r>
    <x v="97"/>
    <x v="4"/>
    <s v="20/21"/>
    <m/>
    <n v="14"/>
    <n v="2217"/>
    <m/>
    <m/>
    <n v="68015"/>
    <m/>
    <n v="14487"/>
    <m/>
    <m/>
    <n v="53528"/>
  </r>
  <r>
    <x v="98"/>
    <x v="4"/>
    <s v="20/21"/>
    <m/>
    <n v="6"/>
    <n v="-9170"/>
    <n v="221"/>
    <n v="152653"/>
    <n v="274966"/>
    <n v="81489"/>
    <n v="-4219"/>
    <n v="14389"/>
    <n v="264795"/>
    <n v="279185"/>
  </r>
  <r>
    <x v="0"/>
    <x v="0"/>
    <s v="19/20"/>
    <m/>
    <n v="8"/>
    <n v="-12884"/>
    <n v="394"/>
    <n v="274396"/>
    <n v="1194438"/>
    <n v="384349"/>
    <n v="553077"/>
    <n v="154444"/>
    <n v="486917"/>
    <n v="641361"/>
  </r>
  <r>
    <x v="1"/>
    <x v="0"/>
    <s v="19/20"/>
    <m/>
    <n v="17"/>
    <n v="-100590"/>
    <n v="658"/>
    <n v="238020"/>
    <n v="187829"/>
    <n v="119371"/>
    <n v="-103645"/>
    <n v="0"/>
    <n v="291474"/>
    <n v="291474"/>
  </r>
  <r>
    <x v="116"/>
    <x v="0"/>
    <s v="19/20"/>
    <m/>
    <n v="18"/>
    <n v="-60090"/>
    <n v="622"/>
    <n v="36625"/>
    <n v="166518"/>
    <n v="95380"/>
    <n v="-117964"/>
    <n v="72634"/>
    <n v="211753"/>
    <n v="284387"/>
  </r>
  <r>
    <x v="3"/>
    <x v="0"/>
    <s v="19/20"/>
    <m/>
    <n v="15"/>
    <n v="-68711"/>
    <n v="979"/>
    <n v="269058"/>
    <n v="184991"/>
    <n v="135099"/>
    <n v="-207215"/>
    <n v="14635"/>
    <n v="377570"/>
    <n v="392205"/>
  </r>
  <r>
    <x v="4"/>
    <x v="0"/>
    <s v="19/20"/>
    <m/>
    <n v="10"/>
    <n v="621"/>
    <n v="225"/>
    <n v="573"/>
    <n v="171019"/>
    <n v="148382"/>
    <n v="85222"/>
    <n v="1532"/>
    <n v="84265"/>
    <n v="85797"/>
  </r>
  <r>
    <x v="5"/>
    <x v="0"/>
    <s v="19/20"/>
    <m/>
    <n v="4"/>
    <n v="35583"/>
    <n v="808"/>
    <n v="51039"/>
    <n v="965037"/>
    <n v="446421"/>
    <n v="560221"/>
    <n v="44961"/>
    <n v="359855"/>
    <n v="404816"/>
  </r>
  <r>
    <x v="6"/>
    <x v="0"/>
    <s v="19/20"/>
    <m/>
    <n v="14"/>
    <n v="-60738"/>
    <n v="279"/>
    <n v="37437"/>
    <n v="168899"/>
    <n v="142347"/>
    <n v="-6966"/>
    <n v="15947"/>
    <n v="86547"/>
    <n v="102494"/>
  </r>
  <r>
    <x v="7"/>
    <x v="0"/>
    <s v="19/20"/>
    <m/>
    <n v="12"/>
    <n v="-153265"/>
    <n v="452"/>
    <n v="64330"/>
    <n v="411025"/>
    <n v="203685"/>
    <n v="77726"/>
    <n v="59039"/>
    <n v="274260"/>
    <n v="333299"/>
  </r>
  <r>
    <x v="9"/>
    <x v="0"/>
    <s v="19/20"/>
    <m/>
    <n v="5"/>
    <n v="-2704"/>
    <n v="178"/>
    <n v="1327"/>
    <n v="75718"/>
    <n v="17212"/>
    <n v="41817"/>
    <n v="13802"/>
    <n v="13610"/>
    <n v="27412"/>
  </r>
  <r>
    <x v="10"/>
    <x v="0"/>
    <s v="19/20"/>
    <m/>
    <n v="1"/>
    <n v="-43661"/>
    <n v="880"/>
    <n v="79017"/>
    <n v="828872"/>
    <n v="542119"/>
    <n v="231047"/>
    <n v="249593"/>
    <n v="419476"/>
    <n v="669069"/>
  </r>
  <r>
    <x v="11"/>
    <x v="0"/>
    <s v="19/20"/>
    <m/>
    <n v="2"/>
    <n v="-138083"/>
    <n v="477"/>
    <n v="33643"/>
    <n v="1204921"/>
    <n v="524174"/>
    <n v="691114"/>
    <n v="94331"/>
    <n v="436496"/>
    <n v="530827"/>
  </r>
  <r>
    <x v="12"/>
    <x v="0"/>
    <s v="19/20"/>
    <m/>
    <n v="3"/>
    <n v="-25458"/>
    <n v="992"/>
    <n v="0"/>
    <n v="1515969"/>
    <n v="557795"/>
    <n v="384872"/>
    <n v="694602"/>
    <n v="233031"/>
    <n v="927633"/>
  </r>
  <r>
    <x v="13"/>
    <x v="0"/>
    <s v="19/20"/>
    <m/>
    <n v="13"/>
    <n v="-25002"/>
    <n v="292"/>
    <n v="125233"/>
    <n v="261072"/>
    <n v="169244"/>
    <n v="12199"/>
    <n v="15843"/>
    <n v="104134"/>
    <n v="119977"/>
  </r>
  <r>
    <x v="14"/>
    <x v="0"/>
    <s v="19/20"/>
    <m/>
    <n v="20"/>
    <n v="2180"/>
    <n v="327"/>
    <n v="12187"/>
    <n v="126865"/>
    <n v="132347"/>
    <n v="5368"/>
    <n v="17363"/>
    <n v="216609"/>
    <n v="233972"/>
  </r>
  <r>
    <x v="101"/>
    <x v="0"/>
    <s v="19/20"/>
    <m/>
    <n v="9"/>
    <m/>
    <m/>
    <m/>
    <m/>
    <m/>
    <m/>
    <m/>
    <m/>
    <n v="0"/>
  </r>
  <r>
    <x v="15"/>
    <x v="0"/>
    <s v="19/20"/>
    <m/>
    <n v="11"/>
    <n v="-67982"/>
    <n v="431"/>
    <n v="106340"/>
    <n v="264106"/>
    <n v="138596"/>
    <n v="13953"/>
    <n v="33545"/>
    <n v="348232"/>
    <n v="381777"/>
  </r>
  <r>
    <x v="16"/>
    <x v="0"/>
    <s v="19/20"/>
    <m/>
    <n v="6"/>
    <n v="-70038"/>
    <n v="647"/>
    <n v="193252"/>
    <n v="2052421"/>
    <n v="429393"/>
    <n v="372354"/>
    <n v="1075416"/>
    <n v="604651"/>
    <n v="1680067"/>
  </r>
  <r>
    <x v="17"/>
    <x v="0"/>
    <s v="19/20"/>
    <m/>
    <n v="19"/>
    <n v="-34621"/>
    <n v="328"/>
    <n v="24296"/>
    <n v="265332"/>
    <n v="131477"/>
    <n v="10195"/>
    <n v="133327"/>
    <n v="121810"/>
    <n v="255137"/>
  </r>
  <r>
    <x v="18"/>
    <x v="0"/>
    <s v="19/20"/>
    <m/>
    <n v="16"/>
    <n v="-71651"/>
    <n v="582"/>
    <n v="146844"/>
    <n v="247297"/>
    <n v="153410"/>
    <n v="-158073"/>
    <n v="119329"/>
    <n v="286041"/>
    <n v="405370"/>
  </r>
  <r>
    <x v="19"/>
    <x v="0"/>
    <s v="19/20"/>
    <n v="1"/>
    <n v="7"/>
    <n v="-40583"/>
    <n v="380"/>
    <n v="178425"/>
    <n v="310040"/>
    <n v="146756"/>
    <n v="-85662"/>
    <n v="80459"/>
    <n v="315243"/>
    <n v="395702"/>
  </r>
  <r>
    <x v="103"/>
    <x v="1"/>
    <s v="19/20"/>
    <m/>
    <n v="16"/>
    <m/>
    <m/>
    <m/>
    <m/>
    <m/>
    <m/>
    <m/>
    <m/>
    <n v="0"/>
  </r>
  <r>
    <x v="20"/>
    <x v="1"/>
    <s v="19/20"/>
    <m/>
    <n v="11"/>
    <n v="-20847"/>
    <n v="337"/>
    <n v="0"/>
    <n v="308431"/>
    <n v="103827"/>
    <n v="137147"/>
    <n v="102195"/>
    <n v="69089"/>
    <n v="171284"/>
  </r>
  <r>
    <x v="21"/>
    <x v="1"/>
    <s v="19/20"/>
    <n v="1"/>
    <n v="3"/>
    <n v="1807"/>
    <n v="1061"/>
    <n v="56005"/>
    <n v="1096196"/>
    <n v="360269"/>
    <n v="81349"/>
    <n v="517275"/>
    <n v="497571"/>
    <n v="1014846"/>
  </r>
  <r>
    <x v="22"/>
    <x v="1"/>
    <s v="19/20"/>
    <m/>
    <n v="2"/>
    <n v="-97339"/>
    <n v="1412"/>
    <n v="268474"/>
    <n v="1474027"/>
    <n v="728783"/>
    <n v="35187"/>
    <n v="468491"/>
    <n v="970349"/>
    <n v="1438840"/>
  </r>
  <r>
    <x v="24"/>
    <x v="1"/>
    <s v="19/20"/>
    <m/>
    <n v="17"/>
    <n v="2620"/>
    <n v="235"/>
    <n v="38565"/>
    <n v="147689"/>
    <n v="70590"/>
    <n v="16327"/>
    <n v="84575"/>
    <n v="46787"/>
    <n v="131362"/>
  </r>
  <r>
    <x v="104"/>
    <x v="1"/>
    <s v="19/20"/>
    <m/>
    <n v="14"/>
    <m/>
    <m/>
    <m/>
    <m/>
    <m/>
    <m/>
    <m/>
    <m/>
    <n v="0"/>
  </r>
  <r>
    <x v="27"/>
    <x v="1"/>
    <s v="19/20"/>
    <m/>
    <n v="20"/>
    <n v="9126"/>
    <n v="289"/>
    <n v="9669"/>
    <n v="215661"/>
    <n v="102083"/>
    <n v="102301"/>
    <n v="25882"/>
    <n v="87478"/>
    <n v="113360"/>
  </r>
  <r>
    <x v="28"/>
    <x v="1"/>
    <s v="19/20"/>
    <m/>
    <n v="8"/>
    <n v="16640"/>
    <n v="284"/>
    <n v="76548"/>
    <n v="367967"/>
    <n v="88070"/>
    <n v="124525"/>
    <n v="164567"/>
    <n v="78875"/>
    <n v="243442"/>
  </r>
  <r>
    <x v="29"/>
    <x v="1"/>
    <s v="19/20"/>
    <m/>
    <n v="7"/>
    <m/>
    <m/>
    <m/>
    <m/>
    <m/>
    <m/>
    <m/>
    <m/>
    <n v="0"/>
  </r>
  <r>
    <x v="117"/>
    <x v="1"/>
    <s v="19/20"/>
    <m/>
    <n v="18"/>
    <m/>
    <m/>
    <m/>
    <m/>
    <m/>
    <m/>
    <m/>
    <m/>
    <n v="0"/>
  </r>
  <r>
    <x v="30"/>
    <x v="1"/>
    <s v="19/20"/>
    <m/>
    <n v="12"/>
    <m/>
    <m/>
    <m/>
    <m/>
    <m/>
    <m/>
    <m/>
    <m/>
    <n v="0"/>
  </r>
  <r>
    <x v="31"/>
    <x v="1"/>
    <s v="19/20"/>
    <m/>
    <n v="19"/>
    <n v="17040"/>
    <n v="134"/>
    <n v="67488"/>
    <n v="109752"/>
    <n v="59570"/>
    <n v="-46549"/>
    <n v="88766"/>
    <n v="67535"/>
    <n v="156301"/>
  </r>
  <r>
    <x v="32"/>
    <x v="1"/>
    <s v="19/20"/>
    <m/>
    <n v="10"/>
    <n v="2170"/>
    <n v="185"/>
    <n v="83467"/>
    <n v="290364"/>
    <n v="57540"/>
    <n v="44734"/>
    <n v="98753"/>
    <n v="146877"/>
    <n v="245630"/>
  </r>
  <r>
    <x v="34"/>
    <x v="1"/>
    <s v="19/20"/>
    <m/>
    <n v="15"/>
    <n v="1418"/>
    <n v="400"/>
    <n v="13452"/>
    <n v="176216"/>
    <n v="102398"/>
    <n v="13134"/>
    <n v="35768"/>
    <n v="127314"/>
    <n v="163082"/>
  </r>
  <r>
    <x v="35"/>
    <x v="1"/>
    <s v="19/20"/>
    <m/>
    <n v="1"/>
    <n v="313"/>
    <n v="777"/>
    <n v="511433"/>
    <n v="1322457"/>
    <n v="691800"/>
    <n v="423664"/>
    <n v="397465"/>
    <n v="501328"/>
    <n v="898793"/>
  </r>
  <r>
    <x v="36"/>
    <x v="1"/>
    <s v="19/20"/>
    <m/>
    <n v="6"/>
    <m/>
    <m/>
    <m/>
    <m/>
    <m/>
    <m/>
    <m/>
    <m/>
    <n v="0"/>
  </r>
  <r>
    <x v="37"/>
    <x v="1"/>
    <s v="19/20"/>
    <m/>
    <n v="4"/>
    <n v="1183"/>
    <n v="423"/>
    <n v="12815"/>
    <n v="340800"/>
    <n v="152340"/>
    <n v="98353"/>
    <n v="78752"/>
    <n v="163695"/>
    <n v="242447"/>
  </r>
  <r>
    <x v="38"/>
    <x v="1"/>
    <s v="19/20"/>
    <m/>
    <n v="9"/>
    <n v="-8022"/>
    <n v="432"/>
    <n v="31095"/>
    <n v="498858"/>
    <n v="173247"/>
    <n v="40291"/>
    <n v="246179"/>
    <n v="212388"/>
    <n v="458567"/>
  </r>
  <r>
    <x v="106"/>
    <x v="1"/>
    <s v="19/20"/>
    <m/>
    <n v="13"/>
    <m/>
    <m/>
    <m/>
    <m/>
    <m/>
    <m/>
    <m/>
    <m/>
    <n v="0"/>
  </r>
  <r>
    <x v="39"/>
    <x v="1"/>
    <s v="19/20"/>
    <m/>
    <n v="5"/>
    <n v="-994"/>
    <n v="304"/>
    <n v="0"/>
    <n v="217093"/>
    <n v="97752"/>
    <n v="95141"/>
    <n v="39987"/>
    <n v="81965"/>
    <n v="121952"/>
  </r>
  <r>
    <x v="40"/>
    <x v="2"/>
    <s v="19/20"/>
    <m/>
    <n v="6"/>
    <n v="-194616"/>
    <n v="407"/>
    <n v="96517"/>
    <n v="380588"/>
    <n v="188879"/>
    <n v="34124"/>
    <n v="45702"/>
    <n v="300762"/>
    <n v="346464"/>
  </r>
  <r>
    <x v="41"/>
    <x v="2"/>
    <s v="19/20"/>
    <m/>
    <n v="3"/>
    <n v="52667"/>
    <n v="175"/>
    <n v="830"/>
    <n v="325998"/>
    <n v="240980"/>
    <n v="130882"/>
    <n v="76340"/>
    <n v="118777"/>
    <n v="195117"/>
  </r>
  <r>
    <x v="42"/>
    <x v="2"/>
    <s v="19/20"/>
    <m/>
    <n v="12"/>
    <n v="-39518"/>
    <n v="198"/>
    <n v="8416"/>
    <n v="137397"/>
    <n v="71991"/>
    <n v="30032"/>
    <n v="25010"/>
    <n v="82355"/>
    <n v="107365"/>
  </r>
  <r>
    <x v="118"/>
    <x v="2"/>
    <s v="19/20"/>
    <m/>
    <n v="19"/>
    <m/>
    <m/>
    <m/>
    <m/>
    <m/>
    <m/>
    <m/>
    <m/>
    <n v="0"/>
  </r>
  <r>
    <x v="43"/>
    <x v="2"/>
    <s v="19/20"/>
    <m/>
    <n v="14"/>
    <m/>
    <m/>
    <m/>
    <m/>
    <m/>
    <m/>
    <m/>
    <m/>
    <n v="0"/>
  </r>
  <r>
    <x v="45"/>
    <x v="2"/>
    <s v="19/20"/>
    <m/>
    <n v="10"/>
    <n v="-29821"/>
    <n v="282"/>
    <n v="0"/>
    <n v="238903"/>
    <n v="34714"/>
    <n v="87536"/>
    <n v="49246"/>
    <n v="102121"/>
    <n v="151367"/>
  </r>
  <r>
    <x v="46"/>
    <x v="2"/>
    <s v="19/20"/>
    <m/>
    <n v="17"/>
    <n v="-33435"/>
    <n v="195"/>
    <n v="23868"/>
    <n v="281557"/>
    <n v="65094"/>
    <n v="14389"/>
    <n v="136346"/>
    <n v="130822"/>
    <n v="267168"/>
  </r>
  <r>
    <x v="47"/>
    <x v="2"/>
    <s v="19/20"/>
    <m/>
    <n v="2"/>
    <n v="-102394"/>
    <n v="483"/>
    <n v="32278"/>
    <n v="915224"/>
    <n v="372370"/>
    <n v="-36949"/>
    <n v="594912"/>
    <n v="357260"/>
    <n v="952172"/>
  </r>
  <r>
    <x v="48"/>
    <x v="2"/>
    <s v="19/20"/>
    <m/>
    <n v="1"/>
    <n v="-89682"/>
    <n v="270"/>
    <n v="127598"/>
    <n v="1176876"/>
    <n v="573424"/>
    <n v="239205"/>
    <n v="502738"/>
    <n v="434933"/>
    <n v="937671"/>
  </r>
  <r>
    <x v="49"/>
    <x v="2"/>
    <s v="19/20"/>
    <m/>
    <n v="4"/>
    <n v="-15876"/>
    <n v="245"/>
    <n v="36535"/>
    <n v="288696"/>
    <n v="106259"/>
    <n v="26956"/>
    <n v="99204"/>
    <n v="162536"/>
    <n v="261740"/>
  </r>
  <r>
    <x v="119"/>
    <x v="2"/>
    <s v="19/20"/>
    <m/>
    <n v="18"/>
    <n v="-1101"/>
    <n v="154"/>
    <n v="4535"/>
    <n v="298465"/>
    <n v="39680"/>
    <n v="117052"/>
    <n v="78979"/>
    <n v="102434"/>
    <n v="181413"/>
  </r>
  <r>
    <x v="50"/>
    <x v="2"/>
    <s v="19/20"/>
    <m/>
    <n v="7"/>
    <n v="-18972"/>
    <n v="112"/>
    <n v="0"/>
    <n v="436910"/>
    <n v="271944"/>
    <n v="126451"/>
    <n v="106054"/>
    <n v="204405"/>
    <n v="310459"/>
  </r>
  <r>
    <x v="109"/>
    <x v="2"/>
    <s v="19/20"/>
    <m/>
    <n v="11"/>
    <s v="n.a."/>
    <s v="n.a."/>
    <s v="n.a."/>
    <s v="n.a."/>
    <s v="n.a."/>
    <s v="n.a."/>
    <s v="n.a."/>
    <s v="n.a."/>
    <e v="#VALUE!"/>
  </r>
  <r>
    <x v="51"/>
    <x v="2"/>
    <s v="19/20"/>
    <m/>
    <n v="5"/>
    <n v="-204028"/>
    <n v="424"/>
    <n v="22886"/>
    <n v="465969"/>
    <n v="173811"/>
    <n v="-242450"/>
    <n v="386910"/>
    <n v="321509"/>
    <n v="708419"/>
  </r>
  <r>
    <x v="53"/>
    <x v="2"/>
    <s v="19/20"/>
    <m/>
    <n v="15"/>
    <n v="-14704"/>
    <n v="169"/>
    <n v="21520"/>
    <n v="305207"/>
    <n v="70265"/>
    <n v="73919"/>
    <n v="109859"/>
    <n v="121429"/>
    <n v="231288"/>
  </r>
  <r>
    <x v="54"/>
    <x v="2"/>
    <s v="19/20"/>
    <m/>
    <n v="8"/>
    <n v="-1746"/>
    <n v="182"/>
    <n v="5893"/>
    <n v="243823"/>
    <n v="121289"/>
    <n v="26330"/>
    <n v="91905"/>
    <n v="125588"/>
    <n v="217493"/>
  </r>
  <r>
    <x v="120"/>
    <x v="2"/>
    <s v="19/20"/>
    <m/>
    <n v="20"/>
    <m/>
    <m/>
    <m/>
    <m/>
    <m/>
    <m/>
    <m/>
    <m/>
    <n v="0"/>
  </r>
  <r>
    <x v="56"/>
    <x v="2"/>
    <s v="19/20"/>
    <m/>
    <n v="16"/>
    <n v="-19070"/>
    <n v="166"/>
    <n v="0"/>
    <n v="209759"/>
    <n v="80561"/>
    <n v="72987"/>
    <n v="61677"/>
    <n v="75096"/>
    <n v="136773"/>
  </r>
  <r>
    <x v="57"/>
    <x v="2"/>
    <s v="19/20"/>
    <m/>
    <n v="13"/>
    <n v="-10033"/>
    <n v="194"/>
    <n v="3106"/>
    <n v="362654"/>
    <n v="67571"/>
    <n v="233167"/>
    <n v="51700"/>
    <n v="77787"/>
    <n v="129487"/>
  </r>
  <r>
    <x v="59"/>
    <x v="2"/>
    <s v="19/20"/>
    <m/>
    <n v="9"/>
    <n v="-14543"/>
    <n v="172"/>
    <n v="2655"/>
    <n v="245569"/>
    <n v="65590"/>
    <n v="92236"/>
    <n v="85686"/>
    <n v="67647"/>
    <n v="153333"/>
  </r>
  <r>
    <x v="61"/>
    <x v="3"/>
    <s v="19/20"/>
    <m/>
    <n v="5"/>
    <n v="65345"/>
    <m/>
    <n v="53472"/>
    <n v="135646"/>
    <n v="116346"/>
    <n v="-28298"/>
    <m/>
    <m/>
    <n v="163944"/>
  </r>
  <r>
    <x v="110"/>
    <x v="3"/>
    <s v="19/20"/>
    <m/>
    <n v="18"/>
    <n v="-3758"/>
    <m/>
    <n v="8791"/>
    <n v="56283"/>
    <n v="89354"/>
    <n v="-16057"/>
    <m/>
    <m/>
    <n v="72340"/>
  </r>
  <r>
    <x v="63"/>
    <x v="3"/>
    <s v="19/20"/>
    <m/>
    <n v="9"/>
    <n v="86753"/>
    <m/>
    <n v="65824"/>
    <n v="162546"/>
    <n v="63425"/>
    <n v="-6357"/>
    <m/>
    <m/>
    <n v="168903"/>
  </r>
  <r>
    <x v="64"/>
    <x v="3"/>
    <s v="19/20"/>
    <n v="1"/>
    <n v="3"/>
    <n v="-62900"/>
    <n v="286"/>
    <n v="42062"/>
    <n v="185600"/>
    <n v="65689"/>
    <n v="-170229"/>
    <n v="200417"/>
    <n v="155412"/>
    <n v="355829"/>
  </r>
  <r>
    <x v="112"/>
    <x v="3"/>
    <s v="19/20"/>
    <m/>
    <n v="14"/>
    <n v="-75682"/>
    <m/>
    <n v="34523"/>
    <n v="83453"/>
    <n v="45455"/>
    <n v="10108"/>
    <m/>
    <m/>
    <n v="73345"/>
  </r>
  <r>
    <x v="66"/>
    <x v="3"/>
    <s v="19/20"/>
    <m/>
    <n v="7"/>
    <n v="-20383"/>
    <n v="515"/>
    <n v="178779"/>
    <n v="275331"/>
    <n v="72103"/>
    <n v="-105571"/>
    <n v="129305"/>
    <n v="251597"/>
    <n v="380902"/>
  </r>
  <r>
    <x v="67"/>
    <x v="3"/>
    <s v="19/20"/>
    <n v="1"/>
    <n v="6"/>
    <n v="-6146"/>
    <n v="679"/>
    <n v="44200"/>
    <n v="236189"/>
    <n v="120616"/>
    <n v="-42104"/>
    <n v="158415"/>
    <n v="119878"/>
    <n v="278293"/>
  </r>
  <r>
    <x v="68"/>
    <x v="3"/>
    <s v="19/20"/>
    <m/>
    <n v="8"/>
    <m/>
    <m/>
    <m/>
    <m/>
    <m/>
    <m/>
    <m/>
    <m/>
    <n v="0"/>
  </r>
  <r>
    <x v="113"/>
    <x v="3"/>
    <s v="19/20"/>
    <m/>
    <n v="12"/>
    <m/>
    <m/>
    <m/>
    <m/>
    <m/>
    <m/>
    <m/>
    <m/>
    <n v="0"/>
  </r>
  <r>
    <x v="70"/>
    <x v="3"/>
    <s v="19/20"/>
    <m/>
    <n v="11"/>
    <m/>
    <m/>
    <m/>
    <m/>
    <m/>
    <m/>
    <m/>
    <m/>
    <n v="0"/>
  </r>
  <r>
    <x v="72"/>
    <x v="3"/>
    <s v="19/20"/>
    <n v="1"/>
    <n v="1"/>
    <n v="-54378"/>
    <m/>
    <n v="53791"/>
    <n v="286544"/>
    <n v="143589"/>
    <n v="118108"/>
    <m/>
    <m/>
    <n v="168436"/>
  </r>
  <r>
    <x v="73"/>
    <x v="3"/>
    <s v="19/20"/>
    <m/>
    <n v="10"/>
    <m/>
    <m/>
    <m/>
    <m/>
    <m/>
    <m/>
    <m/>
    <m/>
    <n v="0"/>
  </r>
  <r>
    <x v="74"/>
    <x v="3"/>
    <s v="19/20"/>
    <m/>
    <n v="17"/>
    <m/>
    <m/>
    <m/>
    <m/>
    <m/>
    <m/>
    <m/>
    <m/>
    <n v="0"/>
  </r>
  <r>
    <x v="75"/>
    <x v="3"/>
    <s v="19/20"/>
    <m/>
    <n v="13"/>
    <m/>
    <m/>
    <m/>
    <m/>
    <m/>
    <m/>
    <m/>
    <m/>
    <n v="0"/>
  </r>
  <r>
    <x v="76"/>
    <x v="3"/>
    <s v="19/20"/>
    <m/>
    <n v="15"/>
    <m/>
    <m/>
    <m/>
    <m/>
    <m/>
    <m/>
    <m/>
    <m/>
    <n v="0"/>
  </r>
  <r>
    <x v="77"/>
    <x v="3"/>
    <s v="19/20"/>
    <m/>
    <n v="4"/>
    <m/>
    <m/>
    <m/>
    <m/>
    <m/>
    <m/>
    <m/>
    <m/>
    <n v="0"/>
  </r>
  <r>
    <x v="78"/>
    <x v="3"/>
    <s v="19/20"/>
    <n v="1"/>
    <n v="2"/>
    <n v="-1539"/>
    <n v="108"/>
    <n v="11185"/>
    <n v="87676"/>
    <n v="54363"/>
    <n v="-70933"/>
    <n v="116331"/>
    <n v="42278"/>
    <n v="158609"/>
  </r>
  <r>
    <x v="79"/>
    <x v="3"/>
    <s v="19/20"/>
    <m/>
    <n v="16"/>
    <m/>
    <m/>
    <m/>
    <m/>
    <m/>
    <m/>
    <m/>
    <m/>
    <n v="0"/>
  </r>
  <r>
    <x v="121"/>
    <x v="4"/>
    <s v="19/20"/>
    <m/>
    <n v="19"/>
    <n v="4011"/>
    <m/>
    <m/>
    <n v="53697"/>
    <n v="25680"/>
    <n v="14476"/>
    <m/>
    <m/>
    <n v="39221"/>
  </r>
  <r>
    <x v="80"/>
    <x v="4"/>
    <s v="19/20"/>
    <m/>
    <n v="11"/>
    <n v="7998"/>
    <m/>
    <m/>
    <n v="62838"/>
    <n v="27412"/>
    <n v="13406"/>
    <m/>
    <m/>
    <n v="49432"/>
  </r>
  <r>
    <x v="81"/>
    <x v="4"/>
    <s v="19/20"/>
    <m/>
    <n v="9"/>
    <n v="-2"/>
    <m/>
    <m/>
    <n v="371972"/>
    <n v="62332"/>
    <n v="1526"/>
    <m/>
    <m/>
    <n v="370446"/>
  </r>
  <r>
    <x v="82"/>
    <x v="4"/>
    <s v="19/20"/>
    <m/>
    <n v="17"/>
    <n v="406"/>
    <m/>
    <m/>
    <n v="93490"/>
    <n v="103844"/>
    <n v="12614"/>
    <m/>
    <m/>
    <n v="80876"/>
  </r>
  <r>
    <x v="114"/>
    <x v="4"/>
    <s v="19/20"/>
    <m/>
    <n v="16"/>
    <n v="3541"/>
    <m/>
    <m/>
    <n v="41442"/>
    <n v="27563"/>
    <n v="16010"/>
    <m/>
    <m/>
    <n v="25432"/>
  </r>
  <r>
    <x v="86"/>
    <x v="4"/>
    <s v="19/20"/>
    <m/>
    <n v="12"/>
    <n v="-1188"/>
    <n v="12"/>
    <n v="3237"/>
    <n v="333886"/>
    <n v="14156"/>
    <n v="53197"/>
    <n v="263207"/>
    <n v="17482"/>
    <n v="280689"/>
  </r>
  <r>
    <x v="87"/>
    <x v="4"/>
    <s v="19/20"/>
    <n v="1"/>
    <n v="4"/>
    <n v="22250"/>
    <s v="n.a."/>
    <s v="n.a."/>
    <n v="184045"/>
    <n v="95465"/>
    <n v="-46812"/>
    <s v="n.a."/>
    <s v="n.a."/>
    <n v="230857"/>
  </r>
  <r>
    <x v="84"/>
    <x v="4"/>
    <s v="19/20"/>
    <m/>
    <n v="15"/>
    <n v="-10275"/>
    <m/>
    <m/>
    <n v="48159"/>
    <n v="27710"/>
    <n v="21903"/>
    <m/>
    <m/>
    <n v="26256"/>
  </r>
  <r>
    <x v="89"/>
    <x v="4"/>
    <s v="19/20"/>
    <m/>
    <n v="8"/>
    <n v="2764"/>
    <m/>
    <m/>
    <n v="63145"/>
    <n v="35836"/>
    <n v="26474"/>
    <m/>
    <m/>
    <n v="36671"/>
  </r>
  <r>
    <x v="85"/>
    <x v="4"/>
    <s v="19/20"/>
    <m/>
    <n v="13"/>
    <n v="-1157"/>
    <m/>
    <m/>
    <n v="71030"/>
    <n v="36717"/>
    <n v="1411"/>
    <m/>
    <m/>
    <n v="69619"/>
  </r>
  <r>
    <x v="115"/>
    <x v="4"/>
    <s v="19/20"/>
    <m/>
    <n v="18"/>
    <n v="8462"/>
    <m/>
    <m/>
    <n v="42474"/>
    <n v="20900"/>
    <n v="9274"/>
    <m/>
    <m/>
    <n v="33200"/>
  </r>
  <r>
    <x v="90"/>
    <x v="4"/>
    <s v="19/20"/>
    <m/>
    <n v="5"/>
    <n v="-2207"/>
    <s v="n.a."/>
    <n v="0"/>
    <n v="337777"/>
    <n v="17641"/>
    <n v="25817"/>
    <n v="122129"/>
    <n v="189831"/>
    <n v="311960"/>
  </r>
  <r>
    <x v="91"/>
    <x v="4"/>
    <s v="19/20"/>
    <n v="1"/>
    <n v="2"/>
    <n v="-97843"/>
    <s v="n.a."/>
    <s v="n.a."/>
    <n v="225876"/>
    <n v="118882"/>
    <n v="-55133"/>
    <s v="n.a."/>
    <s v="n.a."/>
    <n v="281009"/>
  </r>
  <r>
    <x v="92"/>
    <x v="4"/>
    <s v="19/20"/>
    <m/>
    <n v="7"/>
    <n v="-39334"/>
    <s v="n.a."/>
    <n v="16689"/>
    <n v="666934"/>
    <n v="210178"/>
    <n v="148788"/>
    <n v="346812"/>
    <n v="171334"/>
    <n v="518146"/>
  </r>
  <r>
    <x v="93"/>
    <x v="4"/>
    <s v="19/20"/>
    <m/>
    <n v="1"/>
    <n v="-174971"/>
    <s v="n.a."/>
    <n v="197494"/>
    <n v="1087390"/>
    <n v="518752"/>
    <n v="323861"/>
    <n v="97947"/>
    <n v="665582"/>
    <n v="763529"/>
  </r>
  <r>
    <x v="95"/>
    <x v="4"/>
    <s v="19/20"/>
    <m/>
    <n v="10"/>
    <n v="2327"/>
    <m/>
    <m/>
    <n v="80149"/>
    <n v="37826"/>
    <n v="15442"/>
    <m/>
    <m/>
    <n v="64707"/>
  </r>
  <r>
    <x v="96"/>
    <x v="4"/>
    <s v="19/20"/>
    <m/>
    <n v="14"/>
    <n v="2927"/>
    <m/>
    <m/>
    <n v="17566"/>
    <n v="28528"/>
    <n v="3878"/>
    <m/>
    <m/>
    <n v="13688"/>
  </r>
  <r>
    <x v="97"/>
    <x v="4"/>
    <s v="19/20"/>
    <m/>
    <n v="6"/>
    <n v="1964"/>
    <m/>
    <m/>
    <n v="65805"/>
    <n v="34175"/>
    <n v="65805"/>
    <m/>
    <m/>
    <n v="0"/>
  </r>
  <r>
    <x v="98"/>
    <x v="4"/>
    <s v="19/20"/>
    <m/>
    <n v="3"/>
    <n v="-1935"/>
    <s v="n.a."/>
    <s v="n.a."/>
    <n v="130050"/>
    <n v="61203"/>
    <n v="14603"/>
    <s v="n.a."/>
    <s v="n.a."/>
    <n v="115447"/>
  </r>
  <r>
    <x v="122"/>
    <x v="4"/>
    <s v="19/20"/>
    <m/>
    <n v="20"/>
    <n v="-4871"/>
    <m/>
    <m/>
    <n v="51168"/>
    <n v="36124"/>
    <n v="5697"/>
    <m/>
    <m/>
    <n v="45471"/>
  </r>
  <r>
    <x v="0"/>
    <x v="0"/>
    <s v="18/19 "/>
    <m/>
    <n v="5"/>
    <n v="-30545"/>
    <n v="724"/>
    <n v="10172"/>
    <n v="1040298"/>
    <n v="446268"/>
    <n v="443214"/>
    <n v="319195"/>
    <n v="277889"/>
    <n v="597084"/>
  </r>
  <r>
    <x v="116"/>
    <x v="0"/>
    <s v="18/19 "/>
    <m/>
    <n v="14"/>
    <n v="-32421"/>
    <n v="621"/>
    <n v="39600"/>
    <n v="166462"/>
    <n v="131134"/>
    <n v="-58686"/>
    <n v="120739"/>
    <n v="104282"/>
    <n v="225021"/>
  </r>
  <r>
    <x v="3"/>
    <x v="0"/>
    <s v="18/19 "/>
    <m/>
    <n v="17"/>
    <n v="-17861"/>
    <n v="954"/>
    <n v="243646"/>
    <n v="164027"/>
    <n v="159577"/>
    <n v="-140921"/>
    <n v="9758"/>
    <n v="295190"/>
    <n v="304948"/>
  </r>
  <r>
    <x v="4"/>
    <x v="0"/>
    <s v="18/19 "/>
    <m/>
    <n v="15"/>
    <n v="5036"/>
    <n v="255"/>
    <n v="576"/>
    <n v="146733"/>
    <n v="153623"/>
    <n v="85060"/>
    <n v="9989"/>
    <n v="51683"/>
    <n v="61672"/>
  </r>
  <r>
    <x v="123"/>
    <x v="0"/>
    <s v="18/19 "/>
    <m/>
    <n v="18"/>
    <m/>
    <m/>
    <m/>
    <m/>
    <m/>
    <m/>
    <m/>
    <m/>
    <n v="0"/>
  </r>
  <r>
    <x v="5"/>
    <x v="0"/>
    <s v="18/19 "/>
    <n v="1"/>
    <n v="3"/>
    <n v="-107667"/>
    <n v="798"/>
    <n v="79395"/>
    <n v="977142"/>
    <n v="498070"/>
    <n v="516956"/>
    <n v="43274"/>
    <n v="416913"/>
    <n v="460187"/>
  </r>
  <r>
    <x v="6"/>
    <x v="0"/>
    <s v="18/19 "/>
    <m/>
    <n v="12"/>
    <n v="2609"/>
    <n v="236"/>
    <n v="24375"/>
    <n v="203432"/>
    <n v="155404"/>
    <n v="33297"/>
    <n v="26101"/>
    <n v="69460"/>
    <n v="95561"/>
  </r>
  <r>
    <x v="7"/>
    <x v="0"/>
    <s v="18/19 "/>
    <m/>
    <n v="8"/>
    <n v="-124662"/>
    <n v="456"/>
    <n v="19999"/>
    <n v="443162"/>
    <n v="209226"/>
    <n v="179277"/>
    <n v="77885"/>
    <n v="185999"/>
    <n v="263884"/>
  </r>
  <r>
    <x v="100"/>
    <x v="0"/>
    <s v="18/19 "/>
    <m/>
    <n v="19"/>
    <n v="-22499"/>
    <n v="266"/>
    <n v="370"/>
    <n v="273019"/>
    <n v="153575"/>
    <n v="161781"/>
    <n v="54814"/>
    <n v="56424"/>
    <n v="111238"/>
  </r>
  <r>
    <x v="124"/>
    <x v="0"/>
    <s v="18/19 "/>
    <m/>
    <n v="20"/>
    <m/>
    <m/>
    <m/>
    <m/>
    <m/>
    <m/>
    <m/>
    <m/>
    <n v="0"/>
  </r>
  <r>
    <x v="9"/>
    <x v="0"/>
    <s v="18/19 "/>
    <m/>
    <n v="9"/>
    <n v="3958"/>
    <n v="171"/>
    <n v="9195"/>
    <n v="79730"/>
    <n v="20021"/>
    <n v="44990"/>
    <n v="17136"/>
    <n v="11335"/>
    <n v="28471"/>
  </r>
  <r>
    <x v="10"/>
    <x v="0"/>
    <s v="18/19 "/>
    <m/>
    <n v="2"/>
    <n v="37673"/>
    <n v="853"/>
    <n v="89466"/>
    <n v="839985"/>
    <n v="601353"/>
    <n v="280049"/>
    <n v="148748"/>
    <n v="411189"/>
    <n v="559937"/>
  </r>
  <r>
    <x v="11"/>
    <x v="0"/>
    <s v="18/19 "/>
    <n v="1"/>
    <n v="1"/>
    <n v="11237"/>
    <n v="463"/>
    <n v="10966"/>
    <n v="1318038"/>
    <n v="596658"/>
    <n v="843665"/>
    <n v="96437"/>
    <n v="377936"/>
    <n v="474373"/>
  </r>
  <r>
    <x v="12"/>
    <x v="0"/>
    <s v="18/19 "/>
    <m/>
    <n v="6"/>
    <n v="21050"/>
    <n v="940"/>
    <n v="0"/>
    <n v="1668469"/>
    <n v="699175"/>
    <n v="462907"/>
    <n v="727446"/>
    <n v="478116"/>
    <n v="1205562"/>
  </r>
  <r>
    <x v="13"/>
    <x v="0"/>
    <s v="18/19 "/>
    <m/>
    <n v="13"/>
    <n v="38729"/>
    <n v="274"/>
    <n v="2092"/>
    <n v="241463"/>
    <n v="196721"/>
    <n v="37403"/>
    <n v="161592"/>
    <n v="42469"/>
    <n v="204061"/>
  </r>
  <r>
    <x v="15"/>
    <x v="0"/>
    <s v="18/19 "/>
    <m/>
    <n v="16"/>
    <n v="-38170"/>
    <n v="385"/>
    <n v="48907"/>
    <n v="267409"/>
    <n v="161269"/>
    <n v="66550"/>
    <n v="58405"/>
    <n v="142454"/>
    <n v="200859"/>
  </r>
  <r>
    <x v="16"/>
    <x v="0"/>
    <s v="18/19 "/>
    <m/>
    <n v="4"/>
    <n v="76428"/>
    <n v="561"/>
    <n v="796"/>
    <n v="1889190"/>
    <n v="513627"/>
    <n v="450110"/>
    <n v="991585"/>
    <n v="447496"/>
    <n v="1439081"/>
  </r>
  <r>
    <x v="17"/>
    <x v="0"/>
    <s v="18/19 "/>
    <m/>
    <n v="11"/>
    <n v="10886"/>
    <n v="297"/>
    <n v="19997"/>
    <n v="210986"/>
    <n v="164627"/>
    <n v="-19444"/>
    <n v="114941"/>
    <n v="115489"/>
    <n v="230430"/>
  </r>
  <r>
    <x v="18"/>
    <x v="0"/>
    <s v="18/19 "/>
    <m/>
    <n v="10"/>
    <n v="-30749"/>
    <n v="542"/>
    <n v="101356"/>
    <n v="242669"/>
    <n v="215141"/>
    <n v="-88102"/>
    <n v="115735"/>
    <n v="215036"/>
    <n v="330771"/>
  </r>
  <r>
    <x v="19"/>
    <x v="0"/>
    <s v="18/19 "/>
    <m/>
    <n v="7"/>
    <n v="24413"/>
    <n v="365"/>
    <n v="184525"/>
    <n v="255686"/>
    <n v="194572"/>
    <n v="-45955"/>
    <n v="27792"/>
    <n v="273849"/>
    <n v="301641"/>
  </r>
  <r>
    <x v="20"/>
    <x v="1"/>
    <s v="18/19 "/>
    <m/>
    <n v="8"/>
    <n v="-17300"/>
    <n v="324"/>
    <n v="2307"/>
    <n v="224715"/>
    <n v="104850"/>
    <n v="112455"/>
    <n v="82173"/>
    <n v="50853"/>
    <n v="133026"/>
  </r>
  <r>
    <x v="21"/>
    <x v="1"/>
    <s v="18/19 "/>
    <m/>
    <n v="2"/>
    <n v="46700"/>
    <n v="1044"/>
    <n v="48543"/>
    <n v="944562"/>
    <n v="368000"/>
    <n v="-9883"/>
    <n v="539867"/>
    <n v="414578"/>
    <n v="954445"/>
  </r>
  <r>
    <x v="24"/>
    <x v="1"/>
    <s v="18/19 "/>
    <m/>
    <n v="17"/>
    <n v="15410"/>
    <n v="235"/>
    <n v="45456"/>
    <n v="276567"/>
    <n v="67970"/>
    <n v="39203"/>
    <n v="179699"/>
    <n v="57665"/>
    <n v="237364"/>
  </r>
  <r>
    <x v="25"/>
    <x v="1"/>
    <s v="18/19 "/>
    <m/>
    <n v="11"/>
    <m/>
    <m/>
    <m/>
    <m/>
    <m/>
    <m/>
    <m/>
    <m/>
    <n v="0"/>
  </r>
  <r>
    <x v="104"/>
    <x v="1"/>
    <s v="18/19 "/>
    <m/>
    <n v="12"/>
    <m/>
    <m/>
    <m/>
    <m/>
    <m/>
    <m/>
    <m/>
    <m/>
    <n v="0"/>
  </r>
  <r>
    <x v="27"/>
    <x v="1"/>
    <s v="18/19 "/>
    <m/>
    <n v="7"/>
    <n v="1826"/>
    <n v="365"/>
    <n v="25781"/>
    <n v="198304"/>
    <n v="86783"/>
    <n v="43142"/>
    <n v="66651"/>
    <n v="88510"/>
    <n v="155161"/>
  </r>
  <r>
    <x v="22"/>
    <x v="1"/>
    <s v="18/19 "/>
    <m/>
    <n v="1"/>
    <n v="4527"/>
    <n v="1338"/>
    <n v="11935"/>
    <n v="1358998"/>
    <n v="852171"/>
    <n v="132607"/>
    <n v="539226"/>
    <n v="687165"/>
    <n v="1226391"/>
  </r>
  <r>
    <x v="28"/>
    <x v="1"/>
    <s v="18/19 "/>
    <m/>
    <n v="5"/>
    <n v="6780"/>
    <n v="216"/>
    <n v="84678"/>
    <n v="183467"/>
    <n v="58070"/>
    <n v="55520"/>
    <n v="78857"/>
    <n v="49090"/>
    <n v="127947"/>
  </r>
  <r>
    <x v="125"/>
    <x v="1"/>
    <s v="18/19 "/>
    <m/>
    <n v="18"/>
    <n v="-20"/>
    <n v="168"/>
    <n v="57878"/>
    <n v="129647"/>
    <n v="60580"/>
    <n v="55178"/>
    <n v="50773"/>
    <n v="23696"/>
    <n v="74469"/>
  </r>
  <r>
    <x v="117"/>
    <x v="1"/>
    <s v="18/19 "/>
    <m/>
    <n v="13"/>
    <m/>
    <m/>
    <m/>
    <m/>
    <m/>
    <m/>
    <m/>
    <m/>
    <n v="0"/>
  </r>
  <r>
    <x v="30"/>
    <x v="1"/>
    <s v="18/19 "/>
    <m/>
    <n v="15"/>
    <m/>
    <m/>
    <m/>
    <m/>
    <m/>
    <m/>
    <m/>
    <m/>
    <n v="0"/>
  </r>
  <r>
    <x v="33"/>
    <x v="1"/>
    <s v="18/19 "/>
    <m/>
    <n v="20"/>
    <n v="10130"/>
    <n v="156"/>
    <n v="785"/>
    <n v="6805"/>
    <n v="7540"/>
    <n v="-262"/>
    <n v="6809"/>
    <n v="258"/>
    <n v="7067"/>
  </r>
  <r>
    <x v="34"/>
    <x v="1"/>
    <s v="18/19 "/>
    <m/>
    <n v="10"/>
    <n v="6159"/>
    <n v="408"/>
    <n v="17508"/>
    <n v="185583"/>
    <n v="108893"/>
    <n v="11736"/>
    <n v="57276"/>
    <n v="116571"/>
    <n v="173847"/>
  </r>
  <r>
    <x v="35"/>
    <x v="1"/>
    <s v="18/19 "/>
    <m/>
    <n v="3"/>
    <n v="38394"/>
    <n v="817"/>
    <n v="27588"/>
    <n v="1138283"/>
    <n v="602354"/>
    <n v="533676"/>
    <n v="132868"/>
    <n v="472759"/>
    <n v="605627"/>
  </r>
  <r>
    <x v="36"/>
    <x v="1"/>
    <s v="18/19 "/>
    <m/>
    <n v="9"/>
    <m/>
    <m/>
    <m/>
    <m/>
    <m/>
    <m/>
    <m/>
    <m/>
    <n v="0"/>
  </r>
  <r>
    <x v="105"/>
    <x v="1"/>
    <s v="18/19 "/>
    <m/>
    <n v="19"/>
    <m/>
    <m/>
    <m/>
    <m/>
    <m/>
    <m/>
    <m/>
    <m/>
    <n v="0"/>
  </r>
  <r>
    <x v="37"/>
    <x v="1"/>
    <s v="18/19 "/>
    <m/>
    <n v="6"/>
    <n v="2476"/>
    <n v="444"/>
    <n v="1141"/>
    <n v="263540"/>
    <n v="142449"/>
    <n v="101805"/>
    <n v="40636"/>
    <n v="121099"/>
    <n v="161735"/>
  </r>
  <r>
    <x v="38"/>
    <x v="1"/>
    <s v="18/19 "/>
    <m/>
    <n v="4"/>
    <n v="1475"/>
    <n v="408"/>
    <n v="14579"/>
    <n v="578098"/>
    <n v="187823"/>
    <n v="48400"/>
    <n v="323517"/>
    <n v="206181"/>
    <n v="529698"/>
  </r>
  <r>
    <x v="106"/>
    <x v="1"/>
    <s v="18/19 "/>
    <m/>
    <n v="16"/>
    <m/>
    <m/>
    <m/>
    <m/>
    <m/>
    <m/>
    <m/>
    <m/>
    <n v="0"/>
  </r>
  <r>
    <x v="39"/>
    <x v="1"/>
    <s v="18/19 "/>
    <m/>
    <n v="14"/>
    <n v="11819"/>
    <n v="379"/>
    <n v="0"/>
    <n v="203761"/>
    <n v="122301"/>
    <n v="96135"/>
    <n v="29639"/>
    <n v="77987"/>
    <n v="107626"/>
  </r>
  <r>
    <x v="40"/>
    <x v="2"/>
    <s v="18/19 "/>
    <n v="1"/>
    <n v="5"/>
    <n v="-145985"/>
    <n v="382"/>
    <n v="95543"/>
    <n v="455954"/>
    <n v="227739"/>
    <n v="83286"/>
    <n v="26664"/>
    <n v="346004"/>
    <n v="372668"/>
  </r>
  <r>
    <x v="41"/>
    <x v="2"/>
    <s v="18/19 "/>
    <m/>
    <n v="3"/>
    <n v="26582"/>
    <n v="176"/>
    <n v="740"/>
    <n v="207309"/>
    <n v="188002"/>
    <n v="78214"/>
    <n v="48469"/>
    <n v="80626"/>
    <n v="129095"/>
  </r>
  <r>
    <x v="42"/>
    <x v="2"/>
    <s v="18/19 "/>
    <m/>
    <n v="10"/>
    <n v="-21716"/>
    <n v="200"/>
    <n v="14482"/>
    <n v="144464"/>
    <n v="81140"/>
    <n v="26257"/>
    <n v="40899"/>
    <n v="77307"/>
    <n v="118206"/>
  </r>
  <r>
    <x v="43"/>
    <x v="2"/>
    <s v="18/19 "/>
    <m/>
    <n v="15"/>
    <m/>
    <m/>
    <m/>
    <m/>
    <m/>
    <m/>
    <m/>
    <m/>
    <n v="0"/>
  </r>
  <r>
    <x v="126"/>
    <x v="2"/>
    <s v="18/19 "/>
    <m/>
    <n v="20"/>
    <m/>
    <m/>
    <m/>
    <m/>
    <m/>
    <m/>
    <m/>
    <m/>
    <n v="0"/>
  </r>
  <r>
    <x v="44"/>
    <x v="2"/>
    <s v="18/19 "/>
    <m/>
    <n v="18"/>
    <n v="-7674"/>
    <n v="102"/>
    <n v="453"/>
    <n v="75684"/>
    <n v="29831"/>
    <n v="46552"/>
    <n v="27565"/>
    <n v="1567"/>
    <n v="29132"/>
  </r>
  <r>
    <x v="45"/>
    <x v="2"/>
    <s v="18/19 "/>
    <m/>
    <n v="16"/>
    <n v="-27683"/>
    <n v="216"/>
    <n v="7500"/>
    <n v="231005"/>
    <n v="105493"/>
    <n v="62179"/>
    <n v="36192"/>
    <n v="132633"/>
    <n v="168825"/>
  </r>
  <r>
    <x v="127"/>
    <x v="2"/>
    <s v="18/19 "/>
    <m/>
    <n v="19"/>
    <m/>
    <m/>
    <m/>
    <m/>
    <m/>
    <m/>
    <m/>
    <m/>
    <n v="0"/>
  </r>
  <r>
    <x v="46"/>
    <x v="2"/>
    <s v="18/19 "/>
    <m/>
    <n v="17"/>
    <n v="10231"/>
    <n v="171"/>
    <n v="17749"/>
    <n v="210189"/>
    <n v="154104"/>
    <n v="-5472"/>
    <n v="77071"/>
    <n v="138589"/>
    <n v="215660"/>
  </r>
  <r>
    <x v="47"/>
    <x v="2"/>
    <s v="18/19 "/>
    <n v="1"/>
    <n v="4"/>
    <n v="-48387"/>
    <n v="463"/>
    <n v="6717"/>
    <n v="829508"/>
    <n v="395390"/>
    <n v="-4555"/>
    <n v="604718"/>
    <n v="229345"/>
    <n v="834063"/>
  </r>
  <r>
    <x v="48"/>
    <x v="2"/>
    <s v="18/19 "/>
    <m/>
    <n v="1"/>
    <n v="-39895"/>
    <n v="250"/>
    <n v="41832"/>
    <n v="941760"/>
    <n v="621456"/>
    <n v="31242"/>
    <n v="519951"/>
    <n v="390567"/>
    <n v="910518"/>
  </r>
  <r>
    <x v="49"/>
    <x v="2"/>
    <s v="18/19 "/>
    <m/>
    <n v="8"/>
    <n v="-13161"/>
    <n v="233"/>
    <n v="0"/>
    <n v="253874"/>
    <n v="150080"/>
    <n v="42886"/>
    <n v="95883"/>
    <n v="115105"/>
    <n v="210988"/>
  </r>
  <r>
    <x v="50"/>
    <x v="2"/>
    <s v="18/19 "/>
    <m/>
    <n v="2"/>
    <n v="29164"/>
    <n v="110"/>
    <n v="0"/>
    <n v="339952"/>
    <n v="299862"/>
    <n v="145423"/>
    <n v="95980"/>
    <n v="98549"/>
    <n v="194529"/>
  </r>
  <r>
    <x v="109"/>
    <x v="2"/>
    <s v="18/19 "/>
    <m/>
    <n v="14"/>
    <s v="n.a."/>
    <s v="n.a."/>
    <s v="n.a."/>
    <s v="n.a."/>
    <s v="n.a."/>
    <s v="n.a."/>
    <s v="n.a."/>
    <s v="n.a."/>
    <e v="#VALUE!"/>
  </r>
  <r>
    <x v="51"/>
    <x v="2"/>
    <s v="18/19 "/>
    <n v="1"/>
    <n v="6"/>
    <n v="-24294"/>
    <n v="406"/>
    <n v="38952"/>
    <n v="442949"/>
    <n v="379646"/>
    <n v="-127452"/>
    <n v="317098"/>
    <n v="253303"/>
    <n v="570401"/>
  </r>
  <r>
    <x v="53"/>
    <x v="2"/>
    <s v="18/19 "/>
    <m/>
    <n v="9"/>
    <n v="-13064"/>
    <n v="167"/>
    <n v="26410"/>
    <n v="257279"/>
    <n v="124529"/>
    <n v="31940"/>
    <n v="82621"/>
    <n v="142718"/>
    <n v="225339"/>
  </r>
  <r>
    <x v="54"/>
    <x v="2"/>
    <s v="18/19 "/>
    <m/>
    <n v="11"/>
    <n v="843"/>
    <n v="180"/>
    <n v="25930"/>
    <n v="256812"/>
    <n v="68955"/>
    <n v="28076"/>
    <n v="106410"/>
    <n v="122326"/>
    <n v="228736"/>
  </r>
  <r>
    <x v="120"/>
    <x v="2"/>
    <s v="18/19 "/>
    <m/>
    <n v="13"/>
    <m/>
    <m/>
    <m/>
    <m/>
    <m/>
    <m/>
    <m/>
    <m/>
    <n v="0"/>
  </r>
  <r>
    <x v="56"/>
    <x v="2"/>
    <s v="18/19 "/>
    <m/>
    <n v="7"/>
    <n v="-13971"/>
    <n v="167"/>
    <n v="0"/>
    <n v="141147"/>
    <n v="96333"/>
    <n v="34249"/>
    <n v="33882"/>
    <n v="73015"/>
    <n v="106897"/>
  </r>
  <r>
    <x v="57"/>
    <x v="2"/>
    <s v="18/19 "/>
    <m/>
    <n v="12"/>
    <n v="1182"/>
    <n v="158"/>
    <n v="9978"/>
    <n v="180408"/>
    <n v="113195"/>
    <n v="17181"/>
    <n v="76493"/>
    <n v="86735"/>
    <n v="163228"/>
  </r>
  <r>
    <x v="128"/>
    <x v="3"/>
    <s v="18/19 "/>
    <m/>
    <n v="18"/>
    <n v="-42379"/>
    <n v="201"/>
    <n v="52374"/>
    <n v="95638"/>
    <n v="84354"/>
    <n v="-13365"/>
    <n v="45547"/>
    <n v="63456"/>
    <n v="109003"/>
  </r>
  <r>
    <x v="61"/>
    <x v="3"/>
    <s v="18/19 "/>
    <m/>
    <n v="9"/>
    <n v="-34689"/>
    <m/>
    <n v="38645"/>
    <n v="89654"/>
    <n v="196384"/>
    <n v="3397"/>
    <m/>
    <m/>
    <n v="86257"/>
  </r>
  <r>
    <x v="110"/>
    <x v="3"/>
    <s v="18/19 "/>
    <m/>
    <n v="13"/>
    <n v="-68423"/>
    <m/>
    <n v="77231"/>
    <n v="93421"/>
    <n v="143212"/>
    <n v="2597"/>
    <m/>
    <m/>
    <n v="90824"/>
  </r>
  <r>
    <x v="63"/>
    <x v="3"/>
    <s v="18/19 "/>
    <m/>
    <n v="7"/>
    <n v="-75245"/>
    <m/>
    <n v="45679"/>
    <n v="186954"/>
    <n v="190346"/>
    <n v="47499"/>
    <m/>
    <m/>
    <n v="139455"/>
  </r>
  <r>
    <x v="111"/>
    <x v="3"/>
    <s v="18/19 "/>
    <m/>
    <n v="17"/>
    <n v="-58423"/>
    <m/>
    <n v="51276"/>
    <n v="152742"/>
    <n v="51824"/>
    <n v="2448"/>
    <m/>
    <m/>
    <n v="150294"/>
  </r>
  <r>
    <x v="64"/>
    <x v="3"/>
    <s v="18/19 "/>
    <n v="1"/>
    <n v="3"/>
    <n v="-46241"/>
    <n v="344"/>
    <n v="151295"/>
    <n v="174145"/>
    <n v="106562"/>
    <n v="-123300"/>
    <n v="54089"/>
    <n v="243356"/>
    <n v="297445"/>
  </r>
  <r>
    <x v="129"/>
    <x v="3"/>
    <s v="18/19 "/>
    <m/>
    <n v="16"/>
    <n v="-34221"/>
    <m/>
    <n v="79324"/>
    <n v="89543"/>
    <n v="185434"/>
    <n v="2596"/>
    <m/>
    <m/>
    <n v="86947"/>
  </r>
  <r>
    <x v="66"/>
    <x v="3"/>
    <s v="18/19 "/>
    <n v="1"/>
    <n v="6"/>
    <n v="-31158"/>
    <n v="564"/>
    <n v="145967"/>
    <n v="299547"/>
    <n v="135357"/>
    <n v="-98119"/>
    <n v="180174"/>
    <n v="217492"/>
    <n v="397666"/>
  </r>
  <r>
    <x v="67"/>
    <x v="3"/>
    <s v="18/19 "/>
    <n v="1"/>
    <n v="1"/>
    <n v="4618"/>
    <n v="534"/>
    <n v="93734"/>
    <n v="216949"/>
    <n v="165860"/>
    <n v="-41331"/>
    <n v="63205"/>
    <n v="195075"/>
    <n v="258280"/>
  </r>
  <r>
    <x v="70"/>
    <x v="3"/>
    <s v="18/19 "/>
    <m/>
    <n v="15"/>
    <m/>
    <m/>
    <m/>
    <m/>
    <m/>
    <m/>
    <m/>
    <m/>
    <n v="0"/>
  </r>
  <r>
    <x v="72"/>
    <x v="3"/>
    <s v="18/19 "/>
    <m/>
    <n v="2"/>
    <n v="32342"/>
    <m/>
    <n v="62839"/>
    <n v="190345"/>
    <n v="174053"/>
    <n v="46755"/>
    <m/>
    <m/>
    <n v="143590"/>
  </r>
  <r>
    <x v="73"/>
    <x v="3"/>
    <s v="18/19 "/>
    <m/>
    <n v="14"/>
    <n v="-34521"/>
    <m/>
    <n v="54376"/>
    <n v="158234"/>
    <n v="198065"/>
    <n v="-40501"/>
    <m/>
    <m/>
    <n v="198735"/>
  </r>
  <r>
    <x v="74"/>
    <x v="3"/>
    <s v="18/19 "/>
    <m/>
    <n v="12"/>
    <n v="12534"/>
    <m/>
    <n v="98072"/>
    <n v="134534"/>
    <n v="113829"/>
    <n v="-50808"/>
    <m/>
    <m/>
    <n v="185342"/>
  </r>
  <r>
    <x v="75"/>
    <x v="3"/>
    <s v="18/19 "/>
    <m/>
    <n v="8"/>
    <n v="-75234"/>
    <m/>
    <n v="98523"/>
    <n v="153089"/>
    <n v="190853"/>
    <n v="-25564"/>
    <m/>
    <m/>
    <n v="178653"/>
  </r>
  <r>
    <x v="76"/>
    <x v="3"/>
    <s v="18/19 "/>
    <m/>
    <n v="10"/>
    <m/>
    <m/>
    <m/>
    <m/>
    <m/>
    <m/>
    <m/>
    <m/>
    <m/>
  </r>
  <r>
    <x v="77"/>
    <x v="3"/>
    <s v="18/19 "/>
    <m/>
    <n v="11"/>
    <m/>
    <m/>
    <m/>
    <m/>
    <m/>
    <m/>
    <m/>
    <m/>
    <n v="0"/>
  </r>
  <r>
    <x v="78"/>
    <x v="3"/>
    <s v="18/19 "/>
    <n v="1"/>
    <n v="4"/>
    <n v="-9985"/>
    <n v="86"/>
    <n v="43034"/>
    <n v="87761"/>
    <n v="62453"/>
    <n v="-78702"/>
    <n v="71931"/>
    <n v="94532"/>
    <n v="166463"/>
  </r>
  <r>
    <x v="79"/>
    <x v="3"/>
    <s v="18/19 "/>
    <m/>
    <n v="5"/>
    <m/>
    <m/>
    <m/>
    <m/>
    <m/>
    <m/>
    <m/>
    <m/>
    <n v="0"/>
  </r>
  <r>
    <x v="121"/>
    <x v="4"/>
    <s v="18/19 "/>
    <m/>
    <n v="15"/>
    <n v="3323"/>
    <m/>
    <m/>
    <n v="39016"/>
    <n v="32431"/>
    <n v="10465"/>
    <m/>
    <m/>
    <n v="28551"/>
  </r>
  <r>
    <x v="80"/>
    <x v="4"/>
    <s v="18/19 "/>
    <m/>
    <n v="13"/>
    <n v="-11333"/>
    <m/>
    <m/>
    <n v="22555"/>
    <n v="34653"/>
    <n v="5408"/>
    <m/>
    <m/>
    <n v="17147"/>
  </r>
  <r>
    <x v="81"/>
    <x v="4"/>
    <s v="18/19 "/>
    <m/>
    <n v="17"/>
    <n v="3"/>
    <m/>
    <m/>
    <n v="479032"/>
    <n v="111647"/>
    <n v="1528"/>
    <m/>
    <m/>
    <n v="477504"/>
  </r>
  <r>
    <x v="82"/>
    <x v="4"/>
    <s v="18/19 "/>
    <m/>
    <n v="4"/>
    <n v="536"/>
    <m/>
    <m/>
    <n v="82829"/>
    <n v="74374"/>
    <n v="12412"/>
    <m/>
    <m/>
    <n v="70417"/>
  </r>
  <r>
    <x v="130"/>
    <x v="4"/>
    <s v="18/19 "/>
    <m/>
    <n v="19"/>
    <n v="698"/>
    <m/>
    <m/>
    <n v="35250"/>
    <n v="36205"/>
    <n v="12677"/>
    <m/>
    <m/>
    <n v="22573"/>
  </r>
  <r>
    <x v="114"/>
    <x v="4"/>
    <s v="18/19 "/>
    <m/>
    <n v="18"/>
    <n v="1389"/>
    <m/>
    <m/>
    <n v="31538"/>
    <n v="34129"/>
    <n v="12583"/>
    <m/>
    <m/>
    <n v="18955"/>
  </r>
  <r>
    <x v="131"/>
    <x v="4"/>
    <s v="18/19"/>
    <m/>
    <n v="20"/>
    <n v="423"/>
    <m/>
    <m/>
    <n v="31677"/>
    <n v="39124"/>
    <n v="13236"/>
    <m/>
    <m/>
    <n v="18441"/>
  </r>
  <r>
    <x v="86"/>
    <x v="4"/>
    <s v="18/19 "/>
    <m/>
    <n v="14"/>
    <n v="-2782"/>
    <s v="n.a."/>
    <n v="3500"/>
    <n v="345427"/>
    <n v="21673"/>
    <n v="56885"/>
    <n v="271835"/>
    <n v="16707"/>
    <n v="288542"/>
  </r>
  <r>
    <x v="87"/>
    <x v="4"/>
    <s v="18/19 "/>
    <m/>
    <n v="2"/>
    <n v="-66587"/>
    <s v="n.a."/>
    <s v="n.a."/>
    <n v="154454"/>
    <n v="64235"/>
    <n v="-69061"/>
    <s v="n.a."/>
    <s v="n.a."/>
    <n v="223515"/>
  </r>
  <r>
    <x v="89"/>
    <x v="4"/>
    <s v="18/19 "/>
    <m/>
    <n v="6"/>
    <n v="3472"/>
    <m/>
    <m/>
    <n v="52336"/>
    <n v="51078"/>
    <n v="23729"/>
    <m/>
    <m/>
    <n v="28607"/>
  </r>
  <r>
    <x v="85"/>
    <x v="4"/>
    <s v="18/19"/>
    <m/>
    <n v="12"/>
    <n v="516"/>
    <m/>
    <m/>
    <n v="60402"/>
    <n v="51096"/>
    <n v="2602"/>
    <m/>
    <m/>
    <n v="57800"/>
  </r>
  <r>
    <x v="115"/>
    <x v="4"/>
    <s v="18/19 "/>
    <m/>
    <n v="9"/>
    <n v="3206"/>
    <m/>
    <m/>
    <n v="22660"/>
    <n v="32264"/>
    <n v="666"/>
    <m/>
    <m/>
    <n v="21994"/>
  </r>
  <r>
    <x v="90"/>
    <x v="4"/>
    <s v="18/19 "/>
    <m/>
    <n v="7"/>
    <n v="-1515"/>
    <n v="15"/>
    <n v="4356"/>
    <n v="358910"/>
    <n v="20807"/>
    <n v="30217"/>
    <n v="301995"/>
    <n v="26698"/>
    <n v="328693"/>
  </r>
  <r>
    <x v="91"/>
    <x v="4"/>
    <s v="18/19 "/>
    <n v="1"/>
    <n v="5"/>
    <n v="-91418"/>
    <s v="n.a."/>
    <s v="n.a."/>
    <n v="231253"/>
    <n v="129574"/>
    <n v="42710"/>
    <s v="n.a."/>
    <s v="n.a."/>
    <n v="188543"/>
  </r>
  <r>
    <x v="92"/>
    <x v="4"/>
    <s v="18/19 "/>
    <m/>
    <n v="3"/>
    <n v="2917"/>
    <n v="171"/>
    <n v="8983"/>
    <n v="616484"/>
    <n v="251075"/>
    <n v="188122"/>
    <n v="311671"/>
    <n v="116692"/>
    <n v="428362"/>
  </r>
  <r>
    <x v="93"/>
    <x v="4"/>
    <s v="18/19 "/>
    <n v="1"/>
    <n v="1"/>
    <n v="27627"/>
    <s v="n.a."/>
    <s v="n.a."/>
    <n v="985144"/>
    <n v="658677"/>
    <n v="467569"/>
    <s v="n.a."/>
    <s v="n.a."/>
    <n v="517575"/>
  </r>
  <r>
    <x v="95"/>
    <x v="4"/>
    <s v="18/19 "/>
    <m/>
    <n v="11"/>
    <n v="4927"/>
    <m/>
    <m/>
    <n v="39999"/>
    <n v="48667"/>
    <n v="13155"/>
    <m/>
    <m/>
    <n v="26844"/>
  </r>
  <r>
    <x v="97"/>
    <x v="4"/>
    <s v="18/19 "/>
    <m/>
    <n v="8"/>
    <n v="103"/>
    <m/>
    <m/>
    <n v="37312"/>
    <n v="41443"/>
    <n v="9106"/>
    <m/>
    <m/>
    <n v="28206"/>
  </r>
  <r>
    <x v="98"/>
    <x v="4"/>
    <s v="18/19 "/>
    <m/>
    <n v="10"/>
    <n v="8841"/>
    <n v="208"/>
    <n v="43160"/>
    <n v="154235"/>
    <n v="75894"/>
    <n v="31766"/>
    <n v="11501"/>
    <n v="110968"/>
    <n v="122469"/>
  </r>
  <r>
    <x v="122"/>
    <x v="4"/>
    <s v="18/19 "/>
    <m/>
    <n v="16"/>
    <n v="10274"/>
    <m/>
    <m/>
    <n v="51640"/>
    <n v="36648"/>
    <n v="10418"/>
    <m/>
    <m/>
    <n v="41222"/>
  </r>
  <r>
    <x v="0"/>
    <x v="0"/>
    <s v="17/18"/>
    <m/>
    <n v="6"/>
    <n v="64419"/>
    <n v="733"/>
    <n v="9687"/>
    <n v="1172168"/>
    <n v="459352"/>
    <n v="478314"/>
    <n v="413739"/>
    <n v="280115"/>
    <n v="693854"/>
  </r>
  <r>
    <x v="116"/>
    <x v="0"/>
    <s v="17/18"/>
    <m/>
    <n v="12"/>
    <n v="-10550"/>
    <n v="582"/>
    <n v="16700"/>
    <n v="117710"/>
    <n v="134861"/>
    <n v="-37801"/>
    <n v="32644"/>
    <n v="122852"/>
    <n v="155496"/>
  </r>
  <r>
    <x v="3"/>
    <x v="0"/>
    <s v="17/18"/>
    <m/>
    <n v="15"/>
    <n v="19115"/>
    <n v="294"/>
    <n v="180048"/>
    <n v="115216"/>
    <n v="156839"/>
    <n v="-124405"/>
    <n v="10241"/>
    <n v="229380"/>
    <n v="239621"/>
  </r>
  <r>
    <x v="4"/>
    <x v="0"/>
    <s v="17/18"/>
    <m/>
    <n v="7"/>
    <n v="41833"/>
    <n v="184"/>
    <n v="669"/>
    <n v="151116"/>
    <n v="156661"/>
    <n v="80898"/>
    <n v="11834"/>
    <n v="58383"/>
    <n v="70217"/>
  </r>
  <r>
    <x v="5"/>
    <x v="0"/>
    <s v="17/18"/>
    <m/>
    <n v="5"/>
    <n v="69916"/>
    <n v="756"/>
    <n v="0"/>
    <n v="851335"/>
    <n v="499802"/>
    <n v="442518"/>
    <n v="51190"/>
    <n v="357628"/>
    <n v="408818"/>
  </r>
  <r>
    <x v="6"/>
    <x v="0"/>
    <s v="17/18"/>
    <m/>
    <n v="11"/>
    <n v="-35867"/>
    <n v="227"/>
    <n v="25689"/>
    <n v="205939"/>
    <n v="150346"/>
    <n v="30688"/>
    <n v="25689"/>
    <n v="105458"/>
    <n v="131147"/>
  </r>
  <r>
    <x v="7"/>
    <x v="0"/>
    <s v="17/18"/>
    <m/>
    <n v="8"/>
    <n v="-14917"/>
    <n v="427"/>
    <n v="85645"/>
    <n v="435832"/>
    <n v="215466"/>
    <n v="140524"/>
    <n v="65149"/>
    <n v="230159"/>
    <n v="295308"/>
  </r>
  <r>
    <x v="124"/>
    <x v="0"/>
    <s v="17/18"/>
    <m/>
    <n v="16"/>
    <m/>
    <m/>
    <m/>
    <m/>
    <m/>
    <m/>
    <m/>
    <m/>
    <n v="0"/>
  </r>
  <r>
    <x v="9"/>
    <x v="0"/>
    <s v="17/18"/>
    <m/>
    <n v="9"/>
    <n v="-1178"/>
    <n v="167"/>
    <n v="10200"/>
    <n v="58190"/>
    <n v="20411"/>
    <n v="35633"/>
    <n v="8712"/>
    <n v="9680"/>
    <n v="18392"/>
  </r>
  <r>
    <x v="10"/>
    <x v="0"/>
    <s v="17/18"/>
    <m/>
    <n v="4"/>
    <n v="120748"/>
    <n v="837"/>
    <n v="113815"/>
    <n v="758923"/>
    <n v="518379"/>
    <n v="237172"/>
    <n v="140346"/>
    <n v="381406"/>
    <n v="521752"/>
  </r>
  <r>
    <x v="11"/>
    <x v="0"/>
    <s v="17/18"/>
    <n v="1"/>
    <n v="1"/>
    <n v="11764"/>
    <n v="449"/>
    <n v="14797"/>
    <n v="1360008"/>
    <n v="564054"/>
    <n v="841525"/>
    <n v="125666"/>
    <n v="392817"/>
    <n v="518483"/>
  </r>
  <r>
    <x v="12"/>
    <x v="0"/>
    <s v="17/18"/>
    <m/>
    <n v="2"/>
    <n v="-42411"/>
    <n v="922"/>
    <n v="4227"/>
    <n v="1742177"/>
    <n v="664704"/>
    <n v="481380"/>
    <n v="740699"/>
    <n v="520098"/>
    <n v="1260797"/>
  </r>
  <r>
    <x v="13"/>
    <x v="0"/>
    <s v="17/18"/>
    <m/>
    <n v="10"/>
    <n v="21014"/>
    <n v="271"/>
    <n v="39386"/>
    <n v="282591"/>
    <n v="201178"/>
    <n v="-1341"/>
    <n v="169957"/>
    <n v="113975"/>
    <n v="283932"/>
  </r>
  <r>
    <x v="15"/>
    <x v="0"/>
    <s v="17/18"/>
    <m/>
    <n v="17"/>
    <n v="31201"/>
    <n v="385"/>
    <n v="46366"/>
    <n v="287632"/>
    <n v="167287"/>
    <n v="105864"/>
    <n v="57193"/>
    <n v="124575"/>
    <n v="181768"/>
  </r>
  <r>
    <x v="132"/>
    <x v="0"/>
    <s v="17/18"/>
    <m/>
    <n v="19"/>
    <m/>
    <m/>
    <m/>
    <m/>
    <m/>
    <m/>
    <m/>
    <m/>
    <n v="0"/>
  </r>
  <r>
    <x v="133"/>
    <x v="0"/>
    <s v="17/18"/>
    <m/>
    <n v="18"/>
    <m/>
    <m/>
    <m/>
    <m/>
    <m/>
    <m/>
    <m/>
    <m/>
    <n v="0"/>
  </r>
  <r>
    <x v="16"/>
    <x v="0"/>
    <s v="17/18"/>
    <m/>
    <n v="3"/>
    <n v="127307"/>
    <n v="485"/>
    <n v="639"/>
    <n v="1464493"/>
    <n v="429076"/>
    <n v="377766"/>
    <n v="768549"/>
    <n v="318178"/>
    <n v="1086727"/>
  </r>
  <r>
    <x v="17"/>
    <x v="0"/>
    <s v="17/18"/>
    <m/>
    <n v="14"/>
    <n v="-34631"/>
    <n v="292"/>
    <n v="26531"/>
    <n v="215084"/>
    <n v="144516"/>
    <n v="-31408"/>
    <n v="107005"/>
    <n v="139487"/>
    <n v="246492"/>
  </r>
  <r>
    <x v="102"/>
    <x v="0"/>
    <s v="17/18"/>
    <m/>
    <n v="20"/>
    <m/>
    <m/>
    <m/>
    <m/>
    <m/>
    <m/>
    <m/>
    <m/>
    <n v="0"/>
  </r>
  <r>
    <x v="18"/>
    <x v="0"/>
    <s v="17/18"/>
    <m/>
    <n v="13"/>
    <n v="20826"/>
    <n v="435"/>
    <n v="89518"/>
    <n v="209815"/>
    <n v="199732"/>
    <n v="-57906"/>
    <n v="88784"/>
    <n v="178937"/>
    <n v="267721"/>
  </r>
  <r>
    <x v="103"/>
    <x v="1"/>
    <s v="17/18"/>
    <m/>
    <n v="14"/>
    <n v="-21540"/>
    <m/>
    <m/>
    <m/>
    <m/>
    <m/>
    <m/>
    <m/>
    <n v="0"/>
  </r>
  <r>
    <x v="20"/>
    <x v="1"/>
    <s v="17/18"/>
    <m/>
    <n v="16"/>
    <n v="-5896"/>
    <n v="324"/>
    <n v="20034"/>
    <n v="266783"/>
    <n v="98504"/>
    <n v="137909"/>
    <n v="89890"/>
    <n v="38984"/>
    <n v="128874"/>
  </r>
  <r>
    <x v="21"/>
    <x v="1"/>
    <s v="17/18"/>
    <m/>
    <n v="2"/>
    <n v="33580"/>
    <n v="964"/>
    <n v="41534"/>
    <n v="896455"/>
    <n v="389654"/>
    <n v="55708"/>
    <n v="95053"/>
    <n v="745694"/>
    <n v="840747"/>
  </r>
  <r>
    <x v="22"/>
    <x v="1"/>
    <s v="17/18"/>
    <m/>
    <n v="1"/>
    <n v="13120"/>
    <n v="1194"/>
    <n v="148434"/>
    <n v="964575"/>
    <n v="732432"/>
    <n v="32413"/>
    <n v="454343"/>
    <n v="245676"/>
    <n v="700019"/>
  </r>
  <r>
    <x v="24"/>
    <x v="1"/>
    <s v="17/18"/>
    <m/>
    <n v="13"/>
    <n v="12980"/>
    <n v="201"/>
    <n v="20925"/>
    <n v="367587"/>
    <n v="62070"/>
    <n v="-43555"/>
    <n v="268467"/>
    <n v="142675"/>
    <n v="411142"/>
  </r>
  <r>
    <x v="134"/>
    <x v="1"/>
    <s v="17/18"/>
    <m/>
    <n v="18"/>
    <s v="n.a."/>
    <n v="281"/>
    <n v="0"/>
    <n v="307341"/>
    <n v="132739"/>
    <n v="133803"/>
    <n v="82643"/>
    <n v="90895"/>
    <n v="173538"/>
  </r>
  <r>
    <x v="104"/>
    <x v="1"/>
    <s v="17/18"/>
    <m/>
    <n v="9"/>
    <m/>
    <m/>
    <m/>
    <m/>
    <m/>
    <m/>
    <m/>
    <m/>
    <n v="0"/>
  </r>
  <r>
    <x v="27"/>
    <x v="1"/>
    <s v="17/18"/>
    <m/>
    <n v="11"/>
    <n v="6377"/>
    <n v="340"/>
    <n v="0"/>
    <n v="191228"/>
    <n v="79557"/>
    <n v="43014"/>
    <n v="70628"/>
    <n v="77586"/>
    <n v="148214"/>
  </r>
  <r>
    <x v="28"/>
    <x v="1"/>
    <s v="17/18"/>
    <m/>
    <n v="8"/>
    <n v="4430"/>
    <n v="281"/>
    <n v="61534"/>
    <n v="103453"/>
    <n v="50420"/>
    <n v="-51042"/>
    <n v="56786"/>
    <n v="97709"/>
    <n v="154495"/>
  </r>
  <r>
    <x v="125"/>
    <x v="1"/>
    <s v="17/18"/>
    <m/>
    <n v="10"/>
    <n v="-543"/>
    <n v="234"/>
    <n v="9674"/>
    <n v="174467"/>
    <n v="58945"/>
    <n v="52367"/>
    <n v="46735"/>
    <n v="75365"/>
    <n v="122100"/>
  </r>
  <r>
    <x v="135"/>
    <x v="1"/>
    <s v="17/18"/>
    <m/>
    <n v="19"/>
    <m/>
    <m/>
    <m/>
    <m/>
    <m/>
    <m/>
    <m/>
    <m/>
    <n v="0"/>
  </r>
  <r>
    <x v="117"/>
    <x v="1"/>
    <s v="17/18"/>
    <m/>
    <n v="17"/>
    <m/>
    <m/>
    <m/>
    <m/>
    <m/>
    <m/>
    <m/>
    <m/>
    <n v="0"/>
  </r>
  <r>
    <x v="30"/>
    <x v="1"/>
    <s v="17/18"/>
    <m/>
    <n v="15"/>
    <m/>
    <m/>
    <m/>
    <m/>
    <m/>
    <m/>
    <m/>
    <m/>
    <n v="0"/>
  </r>
  <r>
    <x v="136"/>
    <x v="1"/>
    <s v="17/18"/>
    <m/>
    <n v="20"/>
    <m/>
    <m/>
    <m/>
    <m/>
    <m/>
    <m/>
    <m/>
    <m/>
    <n v="0"/>
  </r>
  <r>
    <x v="34"/>
    <x v="1"/>
    <s v="17/18"/>
    <m/>
    <n v="6"/>
    <n v="538"/>
    <n v="243"/>
    <n v="9542"/>
    <n v="124218"/>
    <n v="77373"/>
    <n v="5826"/>
    <n v="38102"/>
    <n v="80290"/>
    <n v="118392"/>
  </r>
  <r>
    <x v="35"/>
    <x v="1"/>
    <s v="17/18"/>
    <m/>
    <n v="3"/>
    <n v="31174"/>
    <n v="811"/>
    <n v="107564"/>
    <n v="1089025"/>
    <n v="748042"/>
    <n v="494566"/>
    <n v="176436"/>
    <n v="365435"/>
    <n v="541871"/>
  </r>
  <r>
    <x v="36"/>
    <x v="1"/>
    <s v="17/18"/>
    <m/>
    <n v="12"/>
    <m/>
    <m/>
    <m/>
    <m/>
    <m/>
    <m/>
    <m/>
    <m/>
    <n v="0"/>
  </r>
  <r>
    <x v="37"/>
    <x v="1"/>
    <s v="17/18"/>
    <m/>
    <n v="7"/>
    <n v="25726"/>
    <n v="432"/>
    <n v="1006"/>
    <n v="245540"/>
    <n v="165195"/>
    <n v="100964"/>
    <n v="32212"/>
    <n v="112364"/>
    <n v="144576"/>
  </r>
  <r>
    <x v="38"/>
    <x v="1"/>
    <s v="17/18"/>
    <m/>
    <n v="4"/>
    <n v="-36222"/>
    <n v="393"/>
    <n v="14501"/>
    <n v="513152"/>
    <n v="110084"/>
    <n v="47012"/>
    <n v="315985"/>
    <n v="150155"/>
    <n v="466140"/>
  </r>
  <r>
    <x v="39"/>
    <x v="1"/>
    <s v="17/18"/>
    <m/>
    <n v="5"/>
    <n v="2904"/>
    <n v="380"/>
    <n v="0"/>
    <n v="206069"/>
    <n v="101809"/>
    <n v="84316"/>
    <n v="34225"/>
    <n v="87528"/>
    <n v="121753"/>
  </r>
  <r>
    <x v="40"/>
    <x v="2"/>
    <s v="17/18"/>
    <n v="1"/>
    <n v="6"/>
    <n v="-126019"/>
    <n v="339"/>
    <n v="140271"/>
    <n v="435165"/>
    <n v="249648"/>
    <n v="-36043"/>
    <n v="46042"/>
    <n v="425166"/>
    <n v="471208"/>
  </r>
  <r>
    <x v="41"/>
    <x v="2"/>
    <s v="17/18"/>
    <m/>
    <n v="7"/>
    <n v="24397"/>
    <n v="156"/>
    <n v="1049"/>
    <n v="169939"/>
    <n v="155759"/>
    <n v="51632"/>
    <n v="43758"/>
    <n v="74548"/>
    <n v="118306"/>
  </r>
  <r>
    <x v="107"/>
    <x v="2"/>
    <s v="17/18"/>
    <m/>
    <n v="20"/>
    <m/>
    <m/>
    <m/>
    <m/>
    <m/>
    <m/>
    <m/>
    <m/>
    <n v="0"/>
  </r>
  <r>
    <x v="42"/>
    <x v="2"/>
    <s v="17/18"/>
    <m/>
    <n v="15"/>
    <n v="-4819"/>
    <n v="172"/>
    <n v="9819"/>
    <n v="116891"/>
    <n v="92815"/>
    <n v="30477"/>
    <n v="31422"/>
    <n v="54992"/>
    <n v="86414"/>
  </r>
  <r>
    <x v="43"/>
    <x v="2"/>
    <s v="17/18"/>
    <m/>
    <n v="16"/>
    <m/>
    <m/>
    <m/>
    <m/>
    <m/>
    <m/>
    <m/>
    <m/>
    <n v="0"/>
  </r>
  <r>
    <x v="126"/>
    <x v="2"/>
    <s v="17/18"/>
    <m/>
    <n v="13"/>
    <m/>
    <m/>
    <m/>
    <m/>
    <m/>
    <m/>
    <m/>
    <m/>
    <n v="0"/>
  </r>
  <r>
    <x v="108"/>
    <x v="2"/>
    <s v="17/18"/>
    <m/>
    <n v="18"/>
    <m/>
    <m/>
    <m/>
    <m/>
    <m/>
    <m/>
    <m/>
    <m/>
    <n v="0"/>
  </r>
  <r>
    <x v="45"/>
    <x v="2"/>
    <s v="17/18"/>
    <m/>
    <n v="8"/>
    <n v="-14586"/>
    <n v="183"/>
    <n v="12930"/>
    <n v="231716"/>
    <n v="104155"/>
    <n v="89862"/>
    <n v="39587"/>
    <n v="102268"/>
    <n v="141855"/>
  </r>
  <r>
    <x v="46"/>
    <x v="2"/>
    <s v="17/18"/>
    <m/>
    <n v="12"/>
    <n v="-4850"/>
    <n v="163"/>
    <n v="30197"/>
    <n v="219531"/>
    <n v="121809"/>
    <n v="-15703"/>
    <n v="86208"/>
    <n v="149025"/>
    <n v="235233"/>
  </r>
  <r>
    <x v="47"/>
    <x v="2"/>
    <s v="17/18"/>
    <n v="1"/>
    <n v="4"/>
    <n v="-17754"/>
    <n v="449"/>
    <n v="6251"/>
    <n v="850317"/>
    <n v="346990"/>
    <n v="3832"/>
    <n v="426048"/>
    <n v="420436"/>
    <n v="846484"/>
  </r>
  <r>
    <x v="48"/>
    <x v="2"/>
    <s v="17/18"/>
    <m/>
    <n v="1"/>
    <n v="-19230"/>
    <n v="236"/>
    <n v="52393"/>
    <n v="772668"/>
    <n v="504669"/>
    <n v="72045"/>
    <n v="387945"/>
    <n v="312678"/>
    <n v="700623"/>
  </r>
  <r>
    <x v="49"/>
    <x v="2"/>
    <s v="17/18"/>
    <m/>
    <n v="5"/>
    <n v="37307"/>
    <n v="188"/>
    <n v="0"/>
    <n v="254140"/>
    <n v="192944"/>
    <n v="57562"/>
    <n v="96722"/>
    <n v="99856"/>
    <n v="196578"/>
  </r>
  <r>
    <x v="50"/>
    <x v="2"/>
    <s v="17/18"/>
    <m/>
    <n v="2"/>
    <n v="-6373"/>
    <n v="105"/>
    <n v="0"/>
    <n v="283535"/>
    <n v="185402"/>
    <n v="116259"/>
    <n v="55567"/>
    <n v="111709"/>
    <n v="167276"/>
  </r>
  <r>
    <x v="51"/>
    <x v="2"/>
    <s v="17/18"/>
    <n v="1"/>
    <n v="3"/>
    <n v="-25498"/>
    <n v="348"/>
    <n v="37762"/>
    <n v="476739"/>
    <n v="320339"/>
    <n v="-105424"/>
    <n v="342188"/>
    <n v="239975"/>
    <n v="582163"/>
  </r>
  <r>
    <x v="53"/>
    <x v="2"/>
    <s v="17/18"/>
    <m/>
    <n v="10"/>
    <n v="12053"/>
    <n v="158"/>
    <n v="13720"/>
    <n v="224690"/>
    <n v="138999"/>
    <n v="45004"/>
    <n v="56529"/>
    <n v="123157"/>
    <n v="179686"/>
  </r>
  <r>
    <x v="54"/>
    <x v="2"/>
    <s v="17/18"/>
    <m/>
    <n v="11"/>
    <n v="8145"/>
    <n v="159"/>
    <n v="26649"/>
    <n v="175270"/>
    <n v="104836"/>
    <n v="27233"/>
    <n v="41128"/>
    <n v="106908"/>
    <n v="148036"/>
  </r>
  <r>
    <x v="120"/>
    <x v="2"/>
    <s v="17/18"/>
    <m/>
    <n v="17"/>
    <m/>
    <m/>
    <m/>
    <m/>
    <m/>
    <m/>
    <m/>
    <m/>
    <n v="0"/>
  </r>
  <r>
    <x v="56"/>
    <x v="2"/>
    <s v="17/18"/>
    <m/>
    <n v="9"/>
    <n v="-12362"/>
    <n v="148"/>
    <n v="0"/>
    <n v="147925"/>
    <n v="93084"/>
    <n v="48221"/>
    <n v="34112"/>
    <n v="65592"/>
    <n v="99704"/>
  </r>
  <r>
    <x v="57"/>
    <x v="2"/>
    <s v="17/18"/>
    <m/>
    <n v="14"/>
    <n v="-15093"/>
    <n v="111"/>
    <n v="2505"/>
    <n v="126027"/>
    <n v="69796"/>
    <n v="3371"/>
    <n v="52065"/>
    <n v="70591"/>
    <n v="122656"/>
  </r>
  <r>
    <x v="59"/>
    <x v="2"/>
    <s v="17/18"/>
    <m/>
    <n v="19"/>
    <n v="8281"/>
    <n v="142"/>
    <n v="5774"/>
    <n v="102334"/>
    <n v="65590"/>
    <n v="21810"/>
    <n v="33767"/>
    <n v="46757"/>
    <n v="80524"/>
  </r>
  <r>
    <x v="137"/>
    <x v="3"/>
    <s v="17/18"/>
    <m/>
    <n v="11"/>
    <n v="-5345"/>
    <m/>
    <n v="65437"/>
    <n v="153433"/>
    <n v="87658"/>
    <n v="17207"/>
    <m/>
    <m/>
    <n v="136226"/>
  </r>
  <r>
    <x v="61"/>
    <x v="3"/>
    <s v="17/18"/>
    <m/>
    <n v="12"/>
    <n v="4353"/>
    <m/>
    <n v="26361"/>
    <n v="265437"/>
    <n v="62456"/>
    <n v="10760"/>
    <m/>
    <m/>
    <n v="254677"/>
  </r>
  <r>
    <x v="63"/>
    <x v="3"/>
    <s v="17/18"/>
    <m/>
    <n v="14"/>
    <n v="6234"/>
    <m/>
    <n v="69572"/>
    <n v="165432"/>
    <n v="183643"/>
    <n v="-7222"/>
    <m/>
    <m/>
    <n v="172654"/>
  </r>
  <r>
    <x v="64"/>
    <x v="3"/>
    <s v="17/18"/>
    <n v="1"/>
    <n v="4"/>
    <n v="1914"/>
    <n v="345"/>
    <n v="88552"/>
    <n v="181504"/>
    <n v="173406"/>
    <n v="-96961"/>
    <n v="81897"/>
    <n v="196568"/>
    <n v="278465"/>
  </r>
  <r>
    <x v="129"/>
    <x v="3"/>
    <s v="17/18"/>
    <m/>
    <n v="13"/>
    <n v="8951"/>
    <m/>
    <n v="5746"/>
    <n v="78541"/>
    <n v="153244"/>
    <n v="-64912"/>
    <m/>
    <m/>
    <n v="143453"/>
  </r>
  <r>
    <x v="66"/>
    <x v="3"/>
    <s v="17/18"/>
    <n v="1"/>
    <n v="2"/>
    <n v="-53010"/>
    <n v="523"/>
    <n v="84905"/>
    <n v="228470"/>
    <n v="114271"/>
    <n v="-159951"/>
    <n v="241364"/>
    <n v="147056"/>
    <n v="388420"/>
  </r>
  <r>
    <x v="67"/>
    <x v="3"/>
    <s v="17/18"/>
    <n v="1"/>
    <n v="1"/>
    <n v="-43598"/>
    <n v="568"/>
    <n v="99728"/>
    <n v="188604"/>
    <n v="120753"/>
    <n v="-60128"/>
    <n v="43043"/>
    <n v="205689"/>
    <n v="248732"/>
  </r>
  <r>
    <x v="113"/>
    <x v="3"/>
    <s v="17/18"/>
    <m/>
    <n v="17"/>
    <m/>
    <m/>
    <m/>
    <m/>
    <m/>
    <m/>
    <m/>
    <m/>
    <n v="0"/>
  </r>
  <r>
    <x v="70"/>
    <x v="3"/>
    <s v="17/18"/>
    <m/>
    <n v="6"/>
    <m/>
    <m/>
    <m/>
    <m/>
    <m/>
    <m/>
    <m/>
    <m/>
    <n v="0"/>
  </r>
  <r>
    <x v="72"/>
    <x v="3"/>
    <s v="17/18"/>
    <m/>
    <n v="3"/>
    <n v="-24372"/>
    <m/>
    <n v="54389"/>
    <n v="235285"/>
    <n v="134594"/>
    <n v="-1660"/>
    <m/>
    <m/>
    <n v="236945"/>
  </r>
  <r>
    <x v="138"/>
    <x v="3"/>
    <s v="17/18"/>
    <m/>
    <n v="18"/>
    <n v="-4763"/>
    <m/>
    <n v="24365"/>
    <n v="96352"/>
    <n v="136543"/>
    <n v="-38181"/>
    <m/>
    <m/>
    <n v="134533"/>
  </r>
  <r>
    <x v="73"/>
    <x v="3"/>
    <s v="17/18"/>
    <m/>
    <n v="8"/>
    <n v="-52349"/>
    <m/>
    <n v="43893"/>
    <n v="158933"/>
    <n v="135897"/>
    <n v="29585"/>
    <m/>
    <m/>
    <n v="129348"/>
  </r>
  <r>
    <x v="74"/>
    <x v="3"/>
    <s v="17/18"/>
    <m/>
    <n v="9"/>
    <n v="13456"/>
    <m/>
    <n v="98035"/>
    <n v="205445"/>
    <n v="123908"/>
    <n v="90031"/>
    <m/>
    <m/>
    <n v="115414"/>
  </r>
  <r>
    <x v="75"/>
    <x v="3"/>
    <s v="17/18"/>
    <m/>
    <n v="15"/>
    <n v="-45238"/>
    <m/>
    <n v="43290"/>
    <n v="190235"/>
    <n v="128904"/>
    <n v="34798"/>
    <m/>
    <m/>
    <n v="155437"/>
  </r>
  <r>
    <x v="139"/>
    <x v="3"/>
    <s v="17/18"/>
    <m/>
    <n v="16"/>
    <n v="-53749"/>
    <m/>
    <n v="22345"/>
    <n v="86533"/>
    <n v="98354"/>
    <n v="-107801"/>
    <m/>
    <m/>
    <n v="194334"/>
  </r>
  <r>
    <x v="77"/>
    <x v="3"/>
    <s v="17/18"/>
    <m/>
    <n v="7"/>
    <m/>
    <m/>
    <m/>
    <m/>
    <m/>
    <m/>
    <m/>
    <m/>
    <n v="0"/>
  </r>
  <r>
    <x v="78"/>
    <x v="3"/>
    <s v="17/18"/>
    <n v="1"/>
    <n v="5"/>
    <n v="-55709"/>
    <n v="96"/>
    <n v="30457"/>
    <n v="76359"/>
    <n v="45752"/>
    <n v="-110649"/>
    <n v="91068"/>
    <n v="95939"/>
    <n v="187007"/>
  </r>
  <r>
    <x v="79"/>
    <x v="3"/>
    <s v="17/18"/>
    <m/>
    <n v="10"/>
    <m/>
    <m/>
    <m/>
    <m/>
    <m/>
    <m/>
    <m/>
    <m/>
    <n v="0"/>
  </r>
  <r>
    <x v="121"/>
    <x v="4"/>
    <s v="17/18"/>
    <m/>
    <n v="13"/>
    <n v="6098"/>
    <m/>
    <m/>
    <n v="21892"/>
    <n v="29377"/>
    <n v="7145"/>
    <m/>
    <m/>
    <n v="14747"/>
  </r>
  <r>
    <x v="80"/>
    <x v="4"/>
    <s v="17/18"/>
    <m/>
    <n v="14"/>
    <n v="11529"/>
    <m/>
    <m/>
    <n v="46745"/>
    <n v="31588"/>
    <n v="16740"/>
    <m/>
    <m/>
    <n v="30005"/>
  </r>
  <r>
    <x v="81"/>
    <x v="4"/>
    <s v="17/18"/>
    <n v="1"/>
    <n v="2"/>
    <n v="14"/>
    <m/>
    <m/>
    <n v="608097"/>
    <n v="123590"/>
    <n v="7896"/>
    <m/>
    <m/>
    <n v="600201"/>
  </r>
  <r>
    <x v="82"/>
    <x v="4"/>
    <s v="17/18"/>
    <m/>
    <n v="7"/>
    <n v="513"/>
    <m/>
    <m/>
    <n v="59947"/>
    <n v="63436"/>
    <n v="12384"/>
    <m/>
    <m/>
    <n v="47563"/>
  </r>
  <r>
    <x v="130"/>
    <x v="4"/>
    <s v="17/18"/>
    <m/>
    <n v="16"/>
    <n v="524"/>
    <m/>
    <m/>
    <n v="35396"/>
    <n v="36633"/>
    <n v="11748"/>
    <m/>
    <m/>
    <n v="23648"/>
  </r>
  <r>
    <x v="114"/>
    <x v="4"/>
    <s v="17/18"/>
    <m/>
    <n v="11"/>
    <n v="5933"/>
    <m/>
    <m/>
    <n v="29061"/>
    <n v="33112"/>
    <n v="11433"/>
    <m/>
    <m/>
    <n v="17628"/>
  </r>
  <r>
    <x v="86"/>
    <x v="4"/>
    <s v="17/18"/>
    <m/>
    <n v="6"/>
    <n v="-3036"/>
    <s v="n.a."/>
    <n v="3055"/>
    <n v="361916"/>
    <n v="18593"/>
    <n v="62167"/>
    <n v="278978"/>
    <n v="20771"/>
    <n v="299749"/>
  </r>
  <r>
    <x v="131"/>
    <x v="4"/>
    <s v="17/18"/>
    <m/>
    <n v="17"/>
    <n v="824"/>
    <m/>
    <m/>
    <n v="30314"/>
    <n v="35091"/>
    <n v="13094"/>
    <m/>
    <m/>
    <n v="17220"/>
  </r>
  <r>
    <x v="87"/>
    <x v="4"/>
    <s v="17/18"/>
    <m/>
    <n v="12"/>
    <n v="-141898"/>
    <s v="n.a."/>
    <s v="n.a."/>
    <n v="212624"/>
    <n v="53915"/>
    <n v="-141870"/>
    <s v="n.a."/>
    <s v="n.a."/>
    <n v="354494"/>
  </r>
  <r>
    <x v="84"/>
    <x v="4"/>
    <s v="17/18"/>
    <m/>
    <n v="20"/>
    <n v="443"/>
    <m/>
    <m/>
    <n v="30177"/>
    <n v="29541"/>
    <n v="13011"/>
    <m/>
    <m/>
    <n v="17166"/>
  </r>
  <r>
    <x v="89"/>
    <x v="4"/>
    <s v="17/18"/>
    <m/>
    <n v="10"/>
    <n v="5741"/>
    <m/>
    <m/>
    <n v="43738"/>
    <n v="43274"/>
    <n v="20335"/>
    <m/>
    <m/>
    <n v="23403"/>
  </r>
  <r>
    <x v="85"/>
    <x v="4"/>
    <s v="17/18"/>
    <m/>
    <n v="9"/>
    <n v="-139"/>
    <m/>
    <m/>
    <n v="30534"/>
    <n v="46454"/>
    <n v="2119"/>
    <m/>
    <m/>
    <n v="28415"/>
  </r>
  <r>
    <x v="90"/>
    <x v="4"/>
    <s v="17/18"/>
    <m/>
    <n v="8"/>
    <n v="-1778"/>
    <s v="n.a."/>
    <n v="0"/>
    <n v="375420"/>
    <n v="20016"/>
    <n v="33919"/>
    <n v="129640"/>
    <n v="211861"/>
    <n v="341501"/>
  </r>
  <r>
    <x v="91"/>
    <x v="4"/>
    <s v="17/18"/>
    <n v="1"/>
    <n v="4"/>
    <n v="-78584"/>
    <s v="n.a."/>
    <s v="n.a."/>
    <n v="178675"/>
    <n v="142967"/>
    <n v="26722"/>
    <s v="n.a."/>
    <s v="n.a."/>
    <n v="151953"/>
  </r>
  <r>
    <x v="92"/>
    <x v="4"/>
    <s v="17/18"/>
    <m/>
    <n v="3"/>
    <n v="2710"/>
    <n v="153"/>
    <n v="8987"/>
    <n v="596901"/>
    <n v="272038"/>
    <n v="185205"/>
    <n v="301641"/>
    <n v="110055"/>
    <n v="411696"/>
  </r>
  <r>
    <x v="93"/>
    <x v="4"/>
    <s v="17/18"/>
    <n v="1"/>
    <n v="1"/>
    <n v="47815"/>
    <n v="632"/>
    <n v="103885"/>
    <n v="1076450"/>
    <n v="706975"/>
    <n v="479264"/>
    <n v="81730"/>
    <n v="515456"/>
    <n v="597186"/>
  </r>
  <r>
    <x v="95"/>
    <x v="4"/>
    <s v="17/18"/>
    <m/>
    <n v="15"/>
    <n v="5550"/>
    <m/>
    <m/>
    <n v="29521"/>
    <n v="38698"/>
    <n v="8272"/>
    <m/>
    <m/>
    <n v="21249"/>
  </r>
  <r>
    <x v="98"/>
    <x v="4"/>
    <s v="17/18"/>
    <m/>
    <n v="5"/>
    <n v="4637"/>
    <s v="n.a."/>
    <s v="n.a."/>
    <n v="81208"/>
    <n v="53960"/>
    <n v="17563"/>
    <s v="n.a."/>
    <s v="n.a."/>
    <n v="63645"/>
  </r>
  <r>
    <x v="122"/>
    <x v="4"/>
    <s v="17/18"/>
    <m/>
    <n v="18"/>
    <n v="-424"/>
    <m/>
    <m/>
    <n v="30328"/>
    <n v="37647"/>
    <n v="547"/>
    <m/>
    <m/>
    <n v="29781"/>
  </r>
  <r>
    <x v="99"/>
    <x v="4"/>
    <s v="17/18"/>
    <m/>
    <n v="19"/>
    <n v="1288"/>
    <m/>
    <m/>
    <n v="5052"/>
    <n v="24493"/>
    <n v="1396"/>
    <m/>
    <m/>
    <n v="36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1A44B-F2E3-ED4F-B020-8D98FF9BA8B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4" firstHeaderRow="1" firstDataRow="1" firstDataCol="1" rowPageCount="1" colPageCount="1"/>
  <pivotFields count="14">
    <pivotField axis="axisRow" showAll="0">
      <items count="141">
        <item x="40"/>
        <item x="60"/>
        <item x="137"/>
        <item x="128"/>
        <item x="61"/>
        <item x="103"/>
        <item x="62"/>
        <item x="121"/>
        <item x="80"/>
        <item x="110"/>
        <item x="63"/>
        <item x="0"/>
        <item x="81"/>
        <item x="82"/>
        <item x="1"/>
        <item x="41"/>
        <item x="20"/>
        <item x="21"/>
        <item x="22"/>
        <item x="111"/>
        <item x="107"/>
        <item x="64"/>
        <item x="42"/>
        <item x="116"/>
        <item x="2"/>
        <item x="118"/>
        <item x="3"/>
        <item x="4"/>
        <item x="129"/>
        <item x="23"/>
        <item x="130"/>
        <item x="43"/>
        <item x="123"/>
        <item x="24"/>
        <item x="5"/>
        <item x="126"/>
        <item x="83"/>
        <item x="108"/>
        <item x="6"/>
        <item x="112"/>
        <item x="25"/>
        <item x="134"/>
        <item x="114"/>
        <item x="131"/>
        <item x="104"/>
        <item x="26"/>
        <item x="44"/>
        <item x="27"/>
        <item x="7"/>
        <item x="65"/>
        <item x="66"/>
        <item x="45"/>
        <item x="127"/>
        <item x="100"/>
        <item x="67"/>
        <item x="68"/>
        <item x="113"/>
        <item x="46"/>
        <item x="28"/>
        <item x="69"/>
        <item x="125"/>
        <item x="86"/>
        <item x="70"/>
        <item x="29"/>
        <item x="71"/>
        <item x="124"/>
        <item x="105"/>
        <item x="47"/>
        <item x="72"/>
        <item x="48"/>
        <item x="138"/>
        <item x="73"/>
        <item x="74"/>
        <item x="75"/>
        <item x="135"/>
        <item x="49"/>
        <item x="119"/>
        <item x="8"/>
        <item x="117"/>
        <item x="9"/>
        <item x="30"/>
        <item x="87"/>
        <item x="10"/>
        <item x="88"/>
        <item x="136"/>
        <item x="31"/>
        <item x="11"/>
        <item x="12"/>
        <item x="84"/>
        <item x="89"/>
        <item x="85"/>
        <item x="50"/>
        <item x="13"/>
        <item x="115"/>
        <item x="14"/>
        <item x="90"/>
        <item x="91"/>
        <item x="92"/>
        <item x="32"/>
        <item x="139"/>
        <item x="93"/>
        <item x="109"/>
        <item x="33"/>
        <item x="94"/>
        <item x="95"/>
        <item x="34"/>
        <item x="35"/>
        <item x="36"/>
        <item x="76"/>
        <item x="51"/>
        <item x="52"/>
        <item x="53"/>
        <item x="54"/>
        <item x="37"/>
        <item x="101"/>
        <item x="77"/>
        <item x="15"/>
        <item x="120"/>
        <item x="55"/>
        <item x="96"/>
        <item x="97"/>
        <item x="98"/>
        <item x="132"/>
        <item x="133"/>
        <item x="56"/>
        <item x="16"/>
        <item x="122"/>
        <item x="78"/>
        <item x="99"/>
        <item x="57"/>
        <item x="38"/>
        <item x="58"/>
        <item x="106"/>
        <item x="59"/>
        <item x="39"/>
        <item x="17"/>
        <item x="102"/>
        <item x="18"/>
        <item x="19"/>
        <item x="79"/>
        <item t="default"/>
      </items>
    </pivotField>
    <pivotField axis="axisPage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pageFields count="1">
    <pageField fld="1" hier="-1"/>
  </pageFields>
  <dataFields count="1">
    <dataField name="Count of Net profit(000,000s)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66452-A973-D54B-8EAC-D10B40A767A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4" firstHeaderRow="0" firstDataRow="1" firstDataCol="1"/>
  <pivotFields count="14">
    <pivotField axis="axisRow" showAll="0">
      <items count="141">
        <item x="40"/>
        <item x="60"/>
        <item x="137"/>
        <item x="128"/>
        <item x="61"/>
        <item x="103"/>
        <item x="62"/>
        <item x="121"/>
        <item x="80"/>
        <item x="110"/>
        <item x="63"/>
        <item x="0"/>
        <item x="81"/>
        <item x="82"/>
        <item x="1"/>
        <item x="41"/>
        <item x="20"/>
        <item x="21"/>
        <item x="22"/>
        <item x="111"/>
        <item x="107"/>
        <item x="64"/>
        <item x="42"/>
        <item x="116"/>
        <item x="2"/>
        <item x="118"/>
        <item x="3"/>
        <item x="4"/>
        <item x="129"/>
        <item x="23"/>
        <item x="130"/>
        <item x="43"/>
        <item x="123"/>
        <item x="24"/>
        <item x="5"/>
        <item x="126"/>
        <item x="83"/>
        <item x="108"/>
        <item x="6"/>
        <item x="112"/>
        <item x="25"/>
        <item x="134"/>
        <item x="114"/>
        <item x="131"/>
        <item x="104"/>
        <item x="26"/>
        <item x="44"/>
        <item x="27"/>
        <item x="7"/>
        <item x="65"/>
        <item x="66"/>
        <item x="45"/>
        <item x="127"/>
        <item x="100"/>
        <item x="67"/>
        <item x="68"/>
        <item x="113"/>
        <item x="46"/>
        <item x="28"/>
        <item x="69"/>
        <item x="125"/>
        <item x="86"/>
        <item x="70"/>
        <item x="29"/>
        <item x="71"/>
        <item x="124"/>
        <item x="105"/>
        <item x="47"/>
        <item x="72"/>
        <item x="48"/>
        <item x="138"/>
        <item x="73"/>
        <item x="74"/>
        <item x="75"/>
        <item x="135"/>
        <item x="49"/>
        <item x="119"/>
        <item x="8"/>
        <item x="117"/>
        <item x="9"/>
        <item x="30"/>
        <item x="87"/>
        <item x="10"/>
        <item x="88"/>
        <item x="136"/>
        <item x="31"/>
        <item x="11"/>
        <item x="12"/>
        <item x="84"/>
        <item x="89"/>
        <item x="85"/>
        <item x="50"/>
        <item x="13"/>
        <item x="115"/>
        <item x="14"/>
        <item x="90"/>
        <item x="91"/>
        <item x="92"/>
        <item x="32"/>
        <item x="139"/>
        <item x="93"/>
        <item x="109"/>
        <item x="33"/>
        <item x="94"/>
        <item x="95"/>
        <item x="34"/>
        <item x="35"/>
        <item x="36"/>
        <item x="76"/>
        <item x="51"/>
        <item x="52"/>
        <item x="53"/>
        <item x="54"/>
        <item x="37"/>
        <item x="101"/>
        <item x="77"/>
        <item x="15"/>
        <item x="120"/>
        <item x="55"/>
        <item x="96"/>
        <item x="97"/>
        <item x="98"/>
        <item x="132"/>
        <item x="133"/>
        <item x="56"/>
        <item x="16"/>
        <item x="122"/>
        <item x="78"/>
        <item x="99"/>
        <item x="57"/>
        <item x="38"/>
        <item x="58"/>
        <item x="106"/>
        <item x="59"/>
        <item x="39"/>
        <item x="17"/>
        <item x="102"/>
        <item x="18"/>
        <item x="19"/>
        <item x="79"/>
        <item t="default"/>
      </items>
    </pivotField>
    <pivotField dataField="1" multipleItemSelectionAllowed="1" showAll="0">
      <items count="6">
        <item x="1"/>
        <item x="4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inancial Irregularities(1=yes,0=no)" fld="3" subtotal="count" baseField="0" baseItem="0"/>
    <dataField name="Count of Leagu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D9A73-2487-BD46-9589-EFBD46016A4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4" firstHeaderRow="1" firstDataRow="1" firstDataCol="1" rowPageCount="1" colPageCount="1"/>
  <pivotFields count="3">
    <pivotField axis="axisRow" showAll="0">
      <items count="225">
        <item x="40"/>
        <item x="60"/>
        <item x="147"/>
        <item x="137"/>
        <item x="128"/>
        <item x="61"/>
        <item m="1" x="153"/>
        <item x="103"/>
        <item m="1" x="178"/>
        <item x="121"/>
        <item x="80"/>
        <item x="110"/>
        <item x="63"/>
        <item x="0"/>
        <item x="81"/>
        <item m="1" x="189"/>
        <item x="82"/>
        <item x="1"/>
        <item m="1" x="214"/>
        <item x="41"/>
        <item x="20"/>
        <item m="1" x="192"/>
        <item x="21"/>
        <item x="22"/>
        <item x="111"/>
        <item x="107"/>
        <item m="1" x="188"/>
        <item x="64"/>
        <item x="42"/>
        <item m="1" x="217"/>
        <item x="116"/>
        <item x="2"/>
        <item x="118"/>
        <item m="1" x="198"/>
        <item x="3"/>
        <item x="4"/>
        <item x="129"/>
        <item x="23"/>
        <item x="130"/>
        <item x="43"/>
        <item x="123"/>
        <item m="1" x="206"/>
        <item m="1" x="159"/>
        <item x="24"/>
        <item x="5"/>
        <item m="1" x="196"/>
        <item m="1" x="220"/>
        <item x="83"/>
        <item x="108"/>
        <item x="6"/>
        <item x="112"/>
        <item x="25"/>
        <item m="1" x="167"/>
        <item x="134"/>
        <item m="1" x="219"/>
        <item x="114"/>
        <item x="131"/>
        <item x="104"/>
        <item x="26"/>
        <item x="44"/>
        <item m="1" x="212"/>
        <item x="27"/>
        <item x="7"/>
        <item m="1" x="202"/>
        <item m="1" x="150"/>
        <item m="1" x="199"/>
        <item m="1" x="152"/>
        <item m="1" x="156"/>
        <item m="1" x="160"/>
        <item m="1" x="161"/>
        <item x="66"/>
        <item x="45"/>
        <item x="127"/>
        <item x="100"/>
        <item x="67"/>
        <item m="1" x="201"/>
        <item x="68"/>
        <item m="1" x="204"/>
        <item m="1" x="172"/>
        <item x="113"/>
        <item x="46"/>
        <item x="28"/>
        <item m="1" x="208"/>
        <item x="125"/>
        <item m="1" x="209"/>
        <item x="86"/>
        <item m="1" x="177"/>
        <item x="70"/>
        <item x="29"/>
        <item x="71"/>
        <item m="1" x="213"/>
        <item x="124"/>
        <item x="105"/>
        <item x="141"/>
        <item x="47"/>
        <item m="1" x="158"/>
        <item m="1" x="162"/>
        <item m="1" x="186"/>
        <item x="72"/>
        <item m="1" x="176"/>
        <item x="48"/>
        <item x="138"/>
        <item m="1" x="221"/>
        <item m="1" x="170"/>
        <item m="1" x="211"/>
        <item x="73"/>
        <item x="74"/>
        <item x="75"/>
        <item x="135"/>
        <item x="49"/>
        <item x="119"/>
        <item x="8"/>
        <item m="1" x="166"/>
        <item x="117"/>
        <item x="9"/>
        <item x="30"/>
        <item m="1" x="163"/>
        <item m="1" x="223"/>
        <item x="87"/>
        <item x="10"/>
        <item m="1" x="151"/>
        <item x="88"/>
        <item m="1" x="194"/>
        <item m="1" x="155"/>
        <item m="1" x="185"/>
        <item x="136"/>
        <item m="1" x="197"/>
        <item x="31"/>
        <item x="11"/>
        <item x="12"/>
        <item m="1" x="215"/>
        <item x="84"/>
        <item x="142"/>
        <item m="1" x="165"/>
        <item m="1" x="169"/>
        <item m="1" x="207"/>
        <item m="1" x="164"/>
        <item m="1" x="205"/>
        <item m="1" x="184"/>
        <item x="89"/>
        <item x="148"/>
        <item x="85"/>
        <item x="50"/>
        <item x="13"/>
        <item m="1" x="173"/>
        <item x="115"/>
        <item x="14"/>
        <item m="1" x="183"/>
        <item x="90"/>
        <item x="91"/>
        <item m="1" x="171"/>
        <item x="92"/>
        <item x="32"/>
        <item x="139"/>
        <item x="145"/>
        <item x="93"/>
        <item x="109"/>
        <item x="146"/>
        <item x="33"/>
        <item x="94"/>
        <item x="95"/>
        <item x="34"/>
        <item x="35"/>
        <item x="36"/>
        <item m="1" x="154"/>
        <item m="1" x="180"/>
        <item x="76"/>
        <item x="51"/>
        <item m="1" x="203"/>
        <item m="1" x="175"/>
        <item x="52"/>
        <item x="53"/>
        <item x="54"/>
        <item x="149"/>
        <item m="1" x="210"/>
        <item x="37"/>
        <item m="1" x="157"/>
        <item x="101"/>
        <item x="77"/>
        <item m="1" x="222"/>
        <item x="15"/>
        <item m="1" x="181"/>
        <item x="120"/>
        <item x="55"/>
        <item x="144"/>
        <item m="1" x="200"/>
        <item x="96"/>
        <item m="1" x="179"/>
        <item x="97"/>
        <item x="98"/>
        <item m="1" x="190"/>
        <item x="132"/>
        <item m="1" x="191"/>
        <item x="143"/>
        <item x="133"/>
        <item x="56"/>
        <item x="16"/>
        <item x="122"/>
        <item m="1" x="216"/>
        <item x="78"/>
        <item x="99"/>
        <item x="57"/>
        <item x="38"/>
        <item m="1" x="182"/>
        <item x="106"/>
        <item x="39"/>
        <item m="1" x="193"/>
        <item x="17"/>
        <item x="102"/>
        <item x="18"/>
        <item x="19"/>
        <item x="79"/>
        <item m="1" x="218"/>
        <item x="69"/>
        <item m="1" x="187"/>
        <item m="1" x="195"/>
        <item x="58"/>
        <item x="59"/>
        <item m="1" x="168"/>
        <item x="126"/>
        <item m="1" x="174"/>
        <item x="62"/>
        <item x="65"/>
        <item x="140"/>
        <item t="default"/>
      </items>
    </pivotField>
    <pivotField axis="axisPage" showAll="0">
      <items count="7">
        <item x="1"/>
        <item x="4"/>
        <item x="0"/>
        <item x="2"/>
        <item x="3"/>
        <item x="5"/>
        <item t="default"/>
      </items>
    </pivotField>
    <pivotField dataField="1" showAl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9"/>
    </i>
    <i>
      <x v="20"/>
    </i>
    <i>
      <x v="22"/>
    </i>
    <i>
      <x v="23"/>
    </i>
    <i>
      <x v="24"/>
    </i>
    <i>
      <x v="25"/>
    </i>
    <i>
      <x v="27"/>
    </i>
    <i>
      <x v="28"/>
    </i>
    <i>
      <x v="30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3"/>
    </i>
    <i>
      <x v="44"/>
    </i>
    <i>
      <x v="47"/>
    </i>
    <i>
      <x v="48"/>
    </i>
    <i>
      <x v="49"/>
    </i>
    <i>
      <x v="50"/>
    </i>
    <i>
      <x v="51"/>
    </i>
    <i>
      <x v="53"/>
    </i>
    <i>
      <x v="55"/>
    </i>
    <i>
      <x v="56"/>
    </i>
    <i>
      <x v="57"/>
    </i>
    <i>
      <x v="58"/>
    </i>
    <i>
      <x v="59"/>
    </i>
    <i>
      <x v="61"/>
    </i>
    <i>
      <x v="62"/>
    </i>
    <i>
      <x v="70"/>
    </i>
    <i>
      <x v="71"/>
    </i>
    <i>
      <x v="72"/>
    </i>
    <i>
      <x v="73"/>
    </i>
    <i>
      <x v="74"/>
    </i>
    <i>
      <x v="76"/>
    </i>
    <i>
      <x v="79"/>
    </i>
    <i>
      <x v="80"/>
    </i>
    <i>
      <x v="81"/>
    </i>
    <i>
      <x v="83"/>
    </i>
    <i>
      <x v="85"/>
    </i>
    <i>
      <x v="87"/>
    </i>
    <i>
      <x v="88"/>
    </i>
    <i>
      <x v="89"/>
    </i>
    <i>
      <x v="91"/>
    </i>
    <i>
      <x v="92"/>
    </i>
    <i>
      <x v="93"/>
    </i>
    <i>
      <x v="94"/>
    </i>
    <i>
      <x v="98"/>
    </i>
    <i>
      <x v="100"/>
    </i>
    <i>
      <x v="101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4"/>
    </i>
    <i>
      <x v="115"/>
    </i>
    <i>
      <x v="118"/>
    </i>
    <i>
      <x v="119"/>
    </i>
    <i>
      <x v="121"/>
    </i>
    <i>
      <x v="125"/>
    </i>
    <i>
      <x v="127"/>
    </i>
    <i>
      <x v="128"/>
    </i>
    <i>
      <x v="129"/>
    </i>
    <i>
      <x v="131"/>
    </i>
    <i>
      <x v="132"/>
    </i>
    <i>
      <x v="139"/>
    </i>
    <i>
      <x v="140"/>
    </i>
    <i>
      <x v="141"/>
    </i>
    <i>
      <x v="142"/>
    </i>
    <i>
      <x v="143"/>
    </i>
    <i>
      <x v="145"/>
    </i>
    <i>
      <x v="146"/>
    </i>
    <i>
      <x v="148"/>
    </i>
    <i>
      <x v="149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6"/>
    </i>
    <i>
      <x v="167"/>
    </i>
    <i>
      <x v="170"/>
    </i>
    <i>
      <x v="171"/>
    </i>
    <i>
      <x v="172"/>
    </i>
    <i>
      <x v="173"/>
    </i>
    <i>
      <x v="175"/>
    </i>
    <i>
      <x v="177"/>
    </i>
    <i>
      <x v="178"/>
    </i>
    <i>
      <x v="180"/>
    </i>
    <i>
      <x v="182"/>
    </i>
    <i>
      <x v="183"/>
    </i>
    <i>
      <x v="184"/>
    </i>
    <i>
      <x v="186"/>
    </i>
    <i>
      <x v="188"/>
    </i>
    <i>
      <x v="189"/>
    </i>
    <i>
      <x v="191"/>
    </i>
    <i>
      <x v="193"/>
    </i>
    <i>
      <x v="194"/>
    </i>
    <i>
      <x v="195"/>
    </i>
    <i>
      <x v="196"/>
    </i>
    <i>
      <x v="197"/>
    </i>
    <i>
      <x v="199"/>
    </i>
    <i>
      <x v="200"/>
    </i>
    <i>
      <x v="201"/>
    </i>
    <i>
      <x v="202"/>
    </i>
    <i>
      <x v="204"/>
    </i>
    <i>
      <x v="205"/>
    </i>
    <i>
      <x v="207"/>
    </i>
    <i>
      <x v="208"/>
    </i>
    <i>
      <x v="209"/>
    </i>
    <i>
      <x v="210"/>
    </i>
    <i>
      <x v="211"/>
    </i>
    <i>
      <x v="213"/>
    </i>
    <i>
      <x v="216"/>
    </i>
    <i>
      <x v="217"/>
    </i>
    <i>
      <x v="219"/>
    </i>
    <i>
      <x v="221"/>
    </i>
    <i>
      <x v="222"/>
    </i>
    <i>
      <x v="223"/>
    </i>
    <i t="grand">
      <x/>
    </i>
  </rowItems>
  <colItems count="1">
    <i/>
  </colItems>
  <pageFields count="1">
    <pageField fld="1" hier="-1"/>
  </pageFields>
  <dataFields count="1">
    <dataField name="Count of Seas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116C57-7058-814F-AFB9-B25D1BBE2430}">
  <we:reference id="wa200005271" version="2.4.3.0" store="en-GB" storeType="OMEX"/>
  <we:alternateReferences>
    <we:reference id="wa200005271" version="2.4.3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04BF-93C0-C74D-8118-85E25DF37ECA}">
  <dimension ref="A1:T407"/>
  <sheetViews>
    <sheetView zoomScale="8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1" sqref="D21"/>
    </sheetView>
  </sheetViews>
  <sheetFormatPr baseColWidth="10" defaultRowHeight="16"/>
  <cols>
    <col min="1" max="1" width="26.6640625" bestFit="1" customWidth="1"/>
    <col min="2" max="2" width="25.1640625" bestFit="1" customWidth="1"/>
    <col min="3" max="3" width="11.6640625" bestFit="1" customWidth="1"/>
    <col min="4" max="4" width="49.83203125" bestFit="1" customWidth="1"/>
    <col min="5" max="5" width="24.5" bestFit="1" customWidth="1"/>
    <col min="6" max="6" width="64.83203125" bestFit="1" customWidth="1"/>
    <col min="7" max="7" width="51.1640625" bestFit="1" customWidth="1"/>
    <col min="8" max="8" width="54.1640625" bestFit="1" customWidth="1"/>
    <col min="9" max="9" width="14.1640625" bestFit="1" customWidth="1"/>
    <col min="12" max="12" width="28.5" bestFit="1" customWidth="1"/>
    <col min="13" max="13" width="31.33203125" bestFit="1" customWidth="1"/>
    <col min="14" max="14" width="60.6640625" bestFit="1" customWidth="1"/>
    <col min="15" max="15" width="33" bestFit="1" customWidth="1"/>
    <col min="16" max="16" width="42.83203125" bestFit="1" customWidth="1"/>
    <col min="17" max="17" width="61.1640625" bestFit="1" customWidth="1"/>
    <col min="18" max="18" width="46.33203125" bestFit="1" customWidth="1"/>
    <col min="19" max="19" width="38.83203125" bestFit="1" customWidth="1"/>
    <col min="20" max="20" width="36.33203125" bestFit="1" customWidth="1"/>
  </cols>
  <sheetData>
    <row r="1" spans="1:20" ht="23">
      <c r="A1" s="163" t="s">
        <v>166</v>
      </c>
      <c r="B1" s="163" t="s">
        <v>0</v>
      </c>
      <c r="C1" s="163" t="s">
        <v>167</v>
      </c>
      <c r="D1" s="163" t="s">
        <v>168</v>
      </c>
      <c r="E1" s="163" t="s">
        <v>169</v>
      </c>
      <c r="F1" s="163" t="s">
        <v>233</v>
      </c>
      <c r="G1" s="163" t="s">
        <v>232</v>
      </c>
      <c r="H1" s="163" t="s">
        <v>231</v>
      </c>
      <c r="I1" s="163" t="s">
        <v>247</v>
      </c>
      <c r="J1" s="163"/>
      <c r="K1" s="163"/>
      <c r="L1" s="164" t="s">
        <v>207</v>
      </c>
      <c r="M1" s="163" t="s">
        <v>170</v>
      </c>
      <c r="N1" s="165" t="s">
        <v>208</v>
      </c>
      <c r="O1" s="165" t="s">
        <v>209</v>
      </c>
      <c r="P1" s="165" t="s">
        <v>210</v>
      </c>
      <c r="Q1" s="165" t="s">
        <v>211</v>
      </c>
      <c r="R1" s="165" t="s">
        <v>212</v>
      </c>
      <c r="S1" s="165" t="s">
        <v>213</v>
      </c>
      <c r="T1" s="165" t="s">
        <v>214</v>
      </c>
    </row>
    <row r="2" spans="1:20" ht="17">
      <c r="A2" s="132" t="s">
        <v>3</v>
      </c>
      <c r="B2" s="132" t="s">
        <v>198</v>
      </c>
      <c r="C2" s="132" t="s">
        <v>205</v>
      </c>
      <c r="D2" s="132">
        <v>1</v>
      </c>
      <c r="E2" s="132">
        <v>6</v>
      </c>
      <c r="F2" s="130">
        <f t="shared" ref="F2:F65" si="0">L2/P2</f>
        <v>-0.50478673972953925</v>
      </c>
      <c r="G2" s="130">
        <f t="shared" ref="G2:G65" si="1">LN(O2)</f>
        <v>12.983480548495667</v>
      </c>
      <c r="H2" s="130">
        <f t="shared" ref="H2:H65" si="2">T2/O2</f>
        <v>1.0828260544850803</v>
      </c>
      <c r="I2" s="130">
        <f>IF(A2=A3, (P2-P3)/P3, "")</f>
        <v>9.6202231501850796E-2</v>
      </c>
      <c r="J2" s="130"/>
      <c r="K2" s="130"/>
      <c r="L2" s="166">
        <v>-126019</v>
      </c>
      <c r="M2" s="167">
        <v>339</v>
      </c>
      <c r="N2" s="168">
        <v>140271</v>
      </c>
      <c r="O2" s="168">
        <v>435165</v>
      </c>
      <c r="P2" s="168">
        <v>249648</v>
      </c>
      <c r="Q2" s="168">
        <v>-36043</v>
      </c>
      <c r="R2" s="168">
        <v>46042</v>
      </c>
      <c r="S2" s="168">
        <v>425166</v>
      </c>
      <c r="T2" s="156">
        <f t="shared" ref="T2:T7" si="3">R2+S2</f>
        <v>471208</v>
      </c>
    </row>
    <row r="3" spans="1:20" ht="17">
      <c r="A3" s="132" t="s">
        <v>3</v>
      </c>
      <c r="B3" s="132" t="s">
        <v>198</v>
      </c>
      <c r="C3" s="132" t="s">
        <v>203</v>
      </c>
      <c r="D3" s="132">
        <v>1</v>
      </c>
      <c r="E3" s="132">
        <v>5</v>
      </c>
      <c r="F3" s="130">
        <f t="shared" si="0"/>
        <v>-0.64101888565419185</v>
      </c>
      <c r="G3" s="130">
        <f t="shared" si="1"/>
        <v>13.030147206215094</v>
      </c>
      <c r="H3" s="130">
        <f t="shared" si="2"/>
        <v>0.81733683661071077</v>
      </c>
      <c r="I3" s="130">
        <f t="shared" ref="I3:I66" si="4">IF(A3=A4, (P3-P4)/P4, "")</f>
        <v>0.20574018286839724</v>
      </c>
      <c r="J3" s="130"/>
      <c r="K3" s="130"/>
      <c r="L3" s="166">
        <v>-145985</v>
      </c>
      <c r="M3" s="167">
        <v>382</v>
      </c>
      <c r="N3" s="168">
        <v>95543</v>
      </c>
      <c r="O3" s="168">
        <v>455954</v>
      </c>
      <c r="P3" s="168">
        <v>227739</v>
      </c>
      <c r="Q3" s="168">
        <v>83286</v>
      </c>
      <c r="R3" s="168">
        <v>26664</v>
      </c>
      <c r="S3" s="168">
        <v>346004</v>
      </c>
      <c r="T3" s="156">
        <f t="shared" si="3"/>
        <v>372668</v>
      </c>
    </row>
    <row r="4" spans="1:20" ht="17">
      <c r="A4" s="132" t="s">
        <v>3</v>
      </c>
      <c r="B4" s="132" t="s">
        <v>198</v>
      </c>
      <c r="C4" s="132" t="s">
        <v>202</v>
      </c>
      <c r="D4" s="132">
        <v>0</v>
      </c>
      <c r="E4" s="132">
        <v>6</v>
      </c>
      <c r="F4" s="130">
        <f t="shared" si="0"/>
        <v>-1.0303739431064332</v>
      </c>
      <c r="G4" s="130">
        <f t="shared" si="1"/>
        <v>12.849472704182654</v>
      </c>
      <c r="H4" s="130">
        <f t="shared" si="2"/>
        <v>0.9103387390038572</v>
      </c>
      <c r="I4" s="130">
        <f t="shared" si="4"/>
        <v>-0.23253300393731183</v>
      </c>
      <c r="J4" s="130"/>
      <c r="K4" s="130"/>
      <c r="L4" s="166">
        <v>-194616</v>
      </c>
      <c r="M4" s="167">
        <v>407</v>
      </c>
      <c r="N4" s="168">
        <v>96517</v>
      </c>
      <c r="O4" s="168">
        <v>380588</v>
      </c>
      <c r="P4" s="168">
        <v>188879</v>
      </c>
      <c r="Q4" s="168">
        <v>34124</v>
      </c>
      <c r="R4" s="168">
        <v>45702</v>
      </c>
      <c r="S4" s="168">
        <v>300762</v>
      </c>
      <c r="T4" s="156">
        <f t="shared" si="3"/>
        <v>346464</v>
      </c>
    </row>
    <row r="5" spans="1:20" ht="17">
      <c r="A5" s="132" t="s">
        <v>3</v>
      </c>
      <c r="B5" s="132" t="s">
        <v>198</v>
      </c>
      <c r="C5" s="132" t="s">
        <v>201</v>
      </c>
      <c r="D5" s="132">
        <v>0</v>
      </c>
      <c r="E5" s="132">
        <v>2</v>
      </c>
      <c r="F5" s="130">
        <f t="shared" si="0"/>
        <v>-0.39176455769238583</v>
      </c>
      <c r="G5" s="130">
        <f t="shared" si="1"/>
        <v>12.91346783935532</v>
      </c>
      <c r="H5" s="130">
        <f t="shared" si="2"/>
        <v>0.83414501897767046</v>
      </c>
      <c r="I5" s="130">
        <f t="shared" si="4"/>
        <v>-0.17300532272372912</v>
      </c>
      <c r="J5" s="130"/>
      <c r="K5" s="130"/>
      <c r="L5" s="166">
        <v>-96416</v>
      </c>
      <c r="M5" s="167">
        <v>411</v>
      </c>
      <c r="N5" s="168">
        <v>71684</v>
      </c>
      <c r="O5" s="168">
        <v>405740</v>
      </c>
      <c r="P5" s="168">
        <v>246107</v>
      </c>
      <c r="Q5" s="168">
        <v>67294</v>
      </c>
      <c r="R5" s="168">
        <v>104256</v>
      </c>
      <c r="S5" s="168">
        <v>234190</v>
      </c>
      <c r="T5" s="156">
        <f t="shared" si="3"/>
        <v>338446</v>
      </c>
    </row>
    <row r="6" spans="1:20" ht="17">
      <c r="A6" s="132" t="s">
        <v>3</v>
      </c>
      <c r="B6" s="132" t="s">
        <v>198</v>
      </c>
      <c r="C6" s="132" t="s">
        <v>173</v>
      </c>
      <c r="D6" s="132">
        <v>1</v>
      </c>
      <c r="E6" s="132">
        <v>1</v>
      </c>
      <c r="F6" s="130">
        <f t="shared" si="0"/>
        <v>-0.22358463937202613</v>
      </c>
      <c r="G6" s="130">
        <f t="shared" si="1"/>
        <v>13.128144633691187</v>
      </c>
      <c r="H6" s="130">
        <f t="shared" si="2"/>
        <v>0.73905297087486754</v>
      </c>
      <c r="I6" s="130">
        <v>-2.5898978072698225E-2</v>
      </c>
      <c r="J6" s="130"/>
      <c r="K6" s="130"/>
      <c r="L6" s="166">
        <v>-66537</v>
      </c>
      <c r="M6" s="167">
        <v>427</v>
      </c>
      <c r="N6" s="168">
        <v>25961</v>
      </c>
      <c r="O6" s="168">
        <v>502899</v>
      </c>
      <c r="P6" s="168">
        <v>297592</v>
      </c>
      <c r="Q6" s="168">
        <v>131230</v>
      </c>
      <c r="R6" s="168">
        <v>139040</v>
      </c>
      <c r="S6" s="168">
        <v>232629</v>
      </c>
      <c r="T6" s="156">
        <f t="shared" si="3"/>
        <v>371669</v>
      </c>
    </row>
    <row r="7" spans="1:20">
      <c r="A7" s="133" t="s">
        <v>5</v>
      </c>
      <c r="B7" s="133" t="s">
        <v>199</v>
      </c>
      <c r="C7" s="133" t="s">
        <v>173</v>
      </c>
      <c r="D7" s="133">
        <v>1</v>
      </c>
      <c r="E7" s="133">
        <v>9</v>
      </c>
      <c r="F7" s="130">
        <f t="shared" si="0"/>
        <v>-0.89170511767060656</v>
      </c>
      <c r="G7" s="130">
        <f t="shared" si="1"/>
        <v>11.586594054895428</v>
      </c>
      <c r="H7" s="130">
        <f t="shared" si="2"/>
        <v>1.5476241348878257</v>
      </c>
      <c r="I7" s="130">
        <v>6.9324230000000001E-2</v>
      </c>
      <c r="J7" s="130"/>
      <c r="K7" s="130"/>
      <c r="L7" s="140">
        <v>-42323</v>
      </c>
      <c r="M7" s="138">
        <v>134</v>
      </c>
      <c r="N7" s="52">
        <v>56223</v>
      </c>
      <c r="O7" s="52">
        <v>107645</v>
      </c>
      <c r="P7" s="52">
        <v>47463</v>
      </c>
      <c r="Q7" s="52">
        <f t="shared" ref="Q7:Q15" si="5">O7-T7</f>
        <v>-58949</v>
      </c>
      <c r="R7" s="52">
        <v>128952</v>
      </c>
      <c r="S7" s="52">
        <v>37642</v>
      </c>
      <c r="T7" s="52">
        <f t="shared" si="3"/>
        <v>166594</v>
      </c>
    </row>
    <row r="8" spans="1:20">
      <c r="A8" s="133" t="s">
        <v>9</v>
      </c>
      <c r="B8" s="133" t="s">
        <v>199</v>
      </c>
      <c r="C8" s="133" t="s">
        <v>205</v>
      </c>
      <c r="D8" s="133">
        <v>0</v>
      </c>
      <c r="E8" s="133">
        <v>11</v>
      </c>
      <c r="F8" s="130">
        <f t="shared" si="0"/>
        <v>-6.097560975609756E-2</v>
      </c>
      <c r="G8" s="130">
        <f t="shared" si="1"/>
        <v>11.941019268638666</v>
      </c>
      <c r="H8" s="130">
        <f t="shared" si="2"/>
        <v>0.88785333011803202</v>
      </c>
      <c r="I8" s="130">
        <v>-3.6249629999999998E-2</v>
      </c>
      <c r="J8" s="130"/>
      <c r="K8" s="130"/>
      <c r="L8" s="140">
        <v>-5345</v>
      </c>
      <c r="M8" s="138"/>
      <c r="N8" s="52">
        <v>65437</v>
      </c>
      <c r="O8" s="52">
        <v>153433</v>
      </c>
      <c r="P8" s="52">
        <v>87658</v>
      </c>
      <c r="Q8" s="52">
        <f t="shared" si="5"/>
        <v>17207</v>
      </c>
      <c r="R8" s="52"/>
      <c r="S8" s="52"/>
      <c r="T8" s="52">
        <v>136226</v>
      </c>
    </row>
    <row r="9" spans="1:20" ht="17">
      <c r="A9" s="133" t="s">
        <v>11</v>
      </c>
      <c r="B9" s="133" t="s">
        <v>199</v>
      </c>
      <c r="C9" s="133" t="s">
        <v>203</v>
      </c>
      <c r="D9" s="133">
        <v>0</v>
      </c>
      <c r="E9" s="133">
        <v>18</v>
      </c>
      <c r="F9" s="130">
        <f t="shared" si="0"/>
        <v>-0.5023946700808497</v>
      </c>
      <c r="G9" s="130">
        <f t="shared" si="1"/>
        <v>11.468325509601202</v>
      </c>
      <c r="H9" s="130">
        <f t="shared" si="2"/>
        <v>1.1397457077730608</v>
      </c>
      <c r="I9" s="130">
        <v>5.3162340000000002E-2</v>
      </c>
      <c r="J9" s="130"/>
      <c r="K9" s="130"/>
      <c r="L9" s="140">
        <v>-42379</v>
      </c>
      <c r="M9" s="169">
        <v>201</v>
      </c>
      <c r="N9" s="52">
        <v>52374</v>
      </c>
      <c r="O9" s="52">
        <v>95638</v>
      </c>
      <c r="P9" s="52">
        <v>84354</v>
      </c>
      <c r="Q9" s="52">
        <f t="shared" si="5"/>
        <v>-13365</v>
      </c>
      <c r="R9" s="52">
        <v>45547</v>
      </c>
      <c r="S9" s="52">
        <v>63456</v>
      </c>
      <c r="T9" s="52">
        <f>R9+S9</f>
        <v>109003</v>
      </c>
    </row>
    <row r="10" spans="1:20">
      <c r="A10" s="133" t="s">
        <v>13</v>
      </c>
      <c r="B10" s="133" t="s">
        <v>199</v>
      </c>
      <c r="C10" s="133" t="s">
        <v>205</v>
      </c>
      <c r="D10" s="133">
        <v>0</v>
      </c>
      <c r="E10" s="133">
        <v>12</v>
      </c>
      <c r="F10" s="130">
        <f t="shared" si="0"/>
        <v>6.9697066734981425E-2</v>
      </c>
      <c r="G10" s="130">
        <f t="shared" si="1"/>
        <v>12.489132803371254</v>
      </c>
      <c r="H10" s="130">
        <f t="shared" si="2"/>
        <v>0.95946307410044573</v>
      </c>
      <c r="I10" s="130">
        <f t="shared" si="4"/>
        <v>-0.68197001792406708</v>
      </c>
      <c r="J10" s="130"/>
      <c r="K10" s="130"/>
      <c r="L10" s="140">
        <v>4353</v>
      </c>
      <c r="M10" s="138"/>
      <c r="N10" s="52">
        <v>26361</v>
      </c>
      <c r="O10" s="52">
        <v>265437</v>
      </c>
      <c r="P10" s="52">
        <v>62456</v>
      </c>
      <c r="Q10" s="52">
        <f t="shared" si="5"/>
        <v>10760</v>
      </c>
      <c r="R10" s="52"/>
      <c r="S10" s="52"/>
      <c r="T10" s="52">
        <v>254677</v>
      </c>
    </row>
    <row r="11" spans="1:20">
      <c r="A11" s="133" t="s">
        <v>13</v>
      </c>
      <c r="B11" s="133" t="s">
        <v>199</v>
      </c>
      <c r="C11" s="133" t="s">
        <v>203</v>
      </c>
      <c r="D11" s="133">
        <v>0</v>
      </c>
      <c r="E11" s="133">
        <v>9</v>
      </c>
      <c r="F11" s="130">
        <f t="shared" si="0"/>
        <v>-0.17663862636467328</v>
      </c>
      <c r="G11" s="130">
        <f t="shared" si="1"/>
        <v>11.403713095996656</v>
      </c>
      <c r="H11" s="130">
        <f t="shared" si="2"/>
        <v>0.96210988912931938</v>
      </c>
      <c r="I11" s="130">
        <f t="shared" si="4"/>
        <v>0.68793082701596964</v>
      </c>
      <c r="J11" s="130"/>
      <c r="K11" s="130"/>
      <c r="L11" s="140">
        <v>-34689</v>
      </c>
      <c r="M11" s="138"/>
      <c r="N11" s="52">
        <v>38645</v>
      </c>
      <c r="O11" s="52">
        <v>89654</v>
      </c>
      <c r="P11" s="52">
        <v>196384</v>
      </c>
      <c r="Q11" s="52">
        <f t="shared" si="5"/>
        <v>3397</v>
      </c>
      <c r="R11" s="52"/>
      <c r="S11" s="52"/>
      <c r="T11" s="52">
        <v>86257</v>
      </c>
    </row>
    <row r="12" spans="1:20">
      <c r="A12" s="133" t="s">
        <v>13</v>
      </c>
      <c r="B12" s="133" t="s">
        <v>199</v>
      </c>
      <c r="C12" s="133" t="s">
        <v>202</v>
      </c>
      <c r="D12" s="133">
        <v>0</v>
      </c>
      <c r="E12" s="133">
        <v>5</v>
      </c>
      <c r="F12" s="130">
        <f t="shared" si="0"/>
        <v>0.56164371787599054</v>
      </c>
      <c r="G12" s="130">
        <f t="shared" si="1"/>
        <v>11.817803830000262</v>
      </c>
      <c r="H12" s="130">
        <f t="shared" si="2"/>
        <v>1.2086165460094658</v>
      </c>
      <c r="I12" s="130">
        <f t="shared" si="4"/>
        <v>-0.38484883733226177</v>
      </c>
      <c r="J12" s="130"/>
      <c r="K12" s="130"/>
      <c r="L12" s="140">
        <v>65345</v>
      </c>
      <c r="M12" s="138"/>
      <c r="N12" s="52">
        <v>53472</v>
      </c>
      <c r="O12" s="52">
        <v>135646</v>
      </c>
      <c r="P12" s="52">
        <v>116346</v>
      </c>
      <c r="Q12" s="52">
        <f t="shared" si="5"/>
        <v>-28298</v>
      </c>
      <c r="R12" s="52"/>
      <c r="S12" s="52"/>
      <c r="T12" s="52">
        <v>163944</v>
      </c>
    </row>
    <row r="13" spans="1:20">
      <c r="A13" s="133" t="s">
        <v>13</v>
      </c>
      <c r="B13" s="133" t="s">
        <v>199</v>
      </c>
      <c r="C13" s="133" t="s">
        <v>201</v>
      </c>
      <c r="D13" s="133">
        <v>0</v>
      </c>
      <c r="E13" s="133">
        <v>7</v>
      </c>
      <c r="F13" s="130">
        <f t="shared" si="0"/>
        <v>0.41522941406621761</v>
      </c>
      <c r="G13" s="130">
        <f t="shared" si="1"/>
        <v>12.151912086570738</v>
      </c>
      <c r="H13" s="130">
        <f t="shared" si="2"/>
        <v>1.0093847648002703</v>
      </c>
      <c r="I13" s="130">
        <f t="shared" si="4"/>
        <v>1.1634352515928303</v>
      </c>
      <c r="J13" s="130"/>
      <c r="K13" s="130"/>
      <c r="L13" s="140">
        <v>78534</v>
      </c>
      <c r="M13" s="180"/>
      <c r="N13" s="52">
        <v>98672</v>
      </c>
      <c r="O13" s="52">
        <v>189456</v>
      </c>
      <c r="P13" s="52">
        <v>189134</v>
      </c>
      <c r="Q13" s="52">
        <f t="shared" si="5"/>
        <v>-1778</v>
      </c>
      <c r="R13" s="52"/>
      <c r="S13" s="52"/>
      <c r="T13" s="52">
        <v>191234</v>
      </c>
    </row>
    <row r="14" spans="1:20">
      <c r="A14" s="133" t="s">
        <v>13</v>
      </c>
      <c r="B14" s="133" t="s">
        <v>199</v>
      </c>
      <c r="C14" s="133" t="s">
        <v>173</v>
      </c>
      <c r="D14" s="133">
        <v>0</v>
      </c>
      <c r="E14" s="133">
        <v>5</v>
      </c>
      <c r="F14" s="130">
        <f t="shared" si="0"/>
        <v>-1.0255196001052356</v>
      </c>
      <c r="G14" s="130">
        <f t="shared" si="1"/>
        <v>11.719085611244024</v>
      </c>
      <c r="H14" s="130">
        <f t="shared" si="2"/>
        <v>1.3819602099353105</v>
      </c>
      <c r="I14" s="130">
        <v>0.19613680583811777</v>
      </c>
      <c r="J14" s="130"/>
      <c r="K14" s="130"/>
      <c r="L14" s="140">
        <v>-89654</v>
      </c>
      <c r="M14" s="138"/>
      <c r="N14" s="52">
        <v>65489</v>
      </c>
      <c r="O14" s="52">
        <v>122895</v>
      </c>
      <c r="P14" s="52">
        <v>87423</v>
      </c>
      <c r="Q14" s="52">
        <f t="shared" si="5"/>
        <v>-46941</v>
      </c>
      <c r="R14" s="52"/>
      <c r="S14" s="52"/>
      <c r="T14" s="52">
        <v>169836</v>
      </c>
    </row>
    <row r="15" spans="1:20">
      <c r="A15" s="133" t="s">
        <v>157</v>
      </c>
      <c r="B15" s="133" t="s">
        <v>199</v>
      </c>
      <c r="C15" s="133" t="s">
        <v>173</v>
      </c>
      <c r="D15" s="133">
        <v>0</v>
      </c>
      <c r="E15" s="133">
        <v>18</v>
      </c>
      <c r="F15" s="130">
        <f t="shared" si="0"/>
        <v>-1.2416786870968619</v>
      </c>
      <c r="G15" s="130">
        <f t="shared" si="1"/>
        <v>11.085736084387904</v>
      </c>
      <c r="H15" s="130">
        <f t="shared" si="2"/>
        <v>1.3656682098292301</v>
      </c>
      <c r="I15" s="130">
        <v>-8.9324262299999999E-2</v>
      </c>
      <c r="J15" s="130"/>
      <c r="K15" s="130"/>
      <c r="L15" s="140">
        <v>-45623</v>
      </c>
      <c r="M15" s="138">
        <v>94</v>
      </c>
      <c r="N15" s="52">
        <v>26356</v>
      </c>
      <c r="O15" s="52">
        <v>65234</v>
      </c>
      <c r="P15" s="52">
        <v>36743</v>
      </c>
      <c r="Q15" s="52">
        <f t="shared" si="5"/>
        <v>-23854</v>
      </c>
      <c r="R15" s="52">
        <v>62545</v>
      </c>
      <c r="S15" s="52">
        <v>26543</v>
      </c>
      <c r="T15" s="52">
        <f>R15+S15</f>
        <v>89088</v>
      </c>
    </row>
    <row r="16" spans="1:20">
      <c r="A16" s="134" t="s">
        <v>17</v>
      </c>
      <c r="B16" s="134" t="s">
        <v>200</v>
      </c>
      <c r="C16" s="134" t="s">
        <v>205</v>
      </c>
      <c r="D16" s="134">
        <v>0</v>
      </c>
      <c r="E16" s="134">
        <v>13</v>
      </c>
      <c r="F16" s="130">
        <f t="shared" si="0"/>
        <v>0.20757735643530653</v>
      </c>
      <c r="G16" s="130">
        <f t="shared" si="1"/>
        <v>9.9938765522638082</v>
      </c>
      <c r="H16" s="130">
        <f t="shared" si="2"/>
        <v>0.67362506851818016</v>
      </c>
      <c r="I16" s="130">
        <f t="shared" si="4"/>
        <v>-9.4169159137861919E-2</v>
      </c>
      <c r="J16" s="130"/>
      <c r="K16" s="130"/>
      <c r="L16" s="140">
        <v>6098</v>
      </c>
      <c r="M16" s="138"/>
      <c r="N16" s="52"/>
      <c r="O16" s="52">
        <v>21892</v>
      </c>
      <c r="P16" s="52">
        <v>29377</v>
      </c>
      <c r="Q16" s="52">
        <v>7145</v>
      </c>
      <c r="R16" s="52"/>
      <c r="S16" s="52"/>
      <c r="T16" s="52">
        <v>14747</v>
      </c>
    </row>
    <row r="17" spans="1:20">
      <c r="A17" s="134" t="s">
        <v>17</v>
      </c>
      <c r="B17" s="134" t="s">
        <v>200</v>
      </c>
      <c r="C17" s="134" t="s">
        <v>203</v>
      </c>
      <c r="D17" s="134">
        <v>0</v>
      </c>
      <c r="E17" s="134">
        <v>15</v>
      </c>
      <c r="F17" s="130">
        <f t="shared" si="0"/>
        <v>0.10246369214640313</v>
      </c>
      <c r="G17" s="130">
        <f t="shared" si="1"/>
        <v>10.571727097389889</v>
      </c>
      <c r="H17" s="130">
        <f t="shared" si="2"/>
        <v>0.73177670699200326</v>
      </c>
      <c r="I17" s="130">
        <f t="shared" si="4"/>
        <v>0.26288940809968847</v>
      </c>
      <c r="J17" s="130"/>
      <c r="K17" s="130"/>
      <c r="L17" s="140">
        <v>3323</v>
      </c>
      <c r="M17" s="138"/>
      <c r="N17" s="52"/>
      <c r="O17" s="52">
        <v>39016</v>
      </c>
      <c r="P17" s="52">
        <v>32431</v>
      </c>
      <c r="Q17" s="52">
        <v>10465</v>
      </c>
      <c r="R17" s="52"/>
      <c r="S17" s="52"/>
      <c r="T17" s="52">
        <v>28551</v>
      </c>
    </row>
    <row r="18" spans="1:20">
      <c r="A18" s="134" t="s">
        <v>17</v>
      </c>
      <c r="B18" s="134" t="s">
        <v>200</v>
      </c>
      <c r="C18" s="134" t="s">
        <v>202</v>
      </c>
      <c r="D18" s="134">
        <v>0</v>
      </c>
      <c r="E18" s="134">
        <v>19</v>
      </c>
      <c r="F18" s="130">
        <f t="shared" si="0"/>
        <v>0.15619158878504674</v>
      </c>
      <c r="G18" s="130">
        <f t="shared" si="1"/>
        <v>10.891112413014609</v>
      </c>
      <c r="H18" s="130">
        <f t="shared" si="2"/>
        <v>0.73041324468778512</v>
      </c>
      <c r="I18" s="130">
        <v>8.4360124480913276E-2</v>
      </c>
      <c r="J18" s="130"/>
      <c r="K18" s="130"/>
      <c r="L18" s="140">
        <v>4011</v>
      </c>
      <c r="M18" s="138"/>
      <c r="N18" s="52"/>
      <c r="O18" s="52">
        <v>53697</v>
      </c>
      <c r="P18" s="52">
        <v>25680</v>
      </c>
      <c r="Q18" s="52">
        <v>14476</v>
      </c>
      <c r="R18" s="52"/>
      <c r="S18" s="52"/>
      <c r="T18" s="52">
        <v>39221</v>
      </c>
    </row>
    <row r="19" spans="1:20">
      <c r="A19" s="134" t="s">
        <v>18</v>
      </c>
      <c r="B19" s="134" t="s">
        <v>200</v>
      </c>
      <c r="C19" s="134" t="s">
        <v>205</v>
      </c>
      <c r="D19" s="134">
        <v>0</v>
      </c>
      <c r="E19" s="134">
        <v>14</v>
      </c>
      <c r="F19" s="130">
        <f t="shared" si="0"/>
        <v>0.3649803722932759</v>
      </c>
      <c r="G19" s="130">
        <f t="shared" si="1"/>
        <v>10.752462577125415</v>
      </c>
      <c r="H19" s="130">
        <f t="shared" si="2"/>
        <v>0.64188683281634396</v>
      </c>
      <c r="I19" s="130">
        <f t="shared" si="4"/>
        <v>-8.8448330591867949E-2</v>
      </c>
      <c r="J19" s="130"/>
      <c r="K19" s="130"/>
      <c r="L19" s="140">
        <v>11529</v>
      </c>
      <c r="M19" s="138"/>
      <c r="N19" s="52"/>
      <c r="O19" s="52">
        <v>46745</v>
      </c>
      <c r="P19" s="52">
        <v>31588</v>
      </c>
      <c r="Q19" s="52">
        <v>16740</v>
      </c>
      <c r="R19" s="52"/>
      <c r="S19" s="52"/>
      <c r="T19" s="52">
        <v>30005</v>
      </c>
    </row>
    <row r="20" spans="1:20" ht="17">
      <c r="A20" s="134" t="s">
        <v>18</v>
      </c>
      <c r="B20" s="134" t="s">
        <v>200</v>
      </c>
      <c r="C20" s="134" t="s">
        <v>203</v>
      </c>
      <c r="D20" s="134">
        <v>0</v>
      </c>
      <c r="E20" s="134">
        <v>13</v>
      </c>
      <c r="F20" s="130">
        <f t="shared" si="0"/>
        <v>-0.3270423917121173</v>
      </c>
      <c r="G20" s="130">
        <f t="shared" si="1"/>
        <v>10.023712049842496</v>
      </c>
      <c r="H20" s="130">
        <f t="shared" si="2"/>
        <v>0.76023054755043229</v>
      </c>
      <c r="I20" s="130">
        <f t="shared" si="4"/>
        <v>0.26415438494090182</v>
      </c>
      <c r="J20" s="130"/>
      <c r="K20" s="130"/>
      <c r="L20" s="181">
        <v>-11333</v>
      </c>
      <c r="M20" s="182"/>
      <c r="N20" s="175"/>
      <c r="O20" s="175">
        <v>22555</v>
      </c>
      <c r="P20" s="175">
        <v>34653</v>
      </c>
      <c r="Q20" s="175">
        <v>5408</v>
      </c>
      <c r="R20" s="175"/>
      <c r="S20" s="175"/>
      <c r="T20" s="52">
        <v>17147</v>
      </c>
    </row>
    <row r="21" spans="1:20">
      <c r="A21" s="134" t="s">
        <v>18</v>
      </c>
      <c r="B21" s="134" t="s">
        <v>200</v>
      </c>
      <c r="C21" s="134" t="s">
        <v>202</v>
      </c>
      <c r="D21" s="134">
        <v>0</v>
      </c>
      <c r="E21" s="134">
        <v>11</v>
      </c>
      <c r="F21" s="130">
        <f t="shared" si="0"/>
        <v>0.29177002772508392</v>
      </c>
      <c r="G21" s="130">
        <f t="shared" si="1"/>
        <v>11.0483152650012</v>
      </c>
      <c r="H21" s="130">
        <f t="shared" si="2"/>
        <v>0.78665775486170786</v>
      </c>
      <c r="I21" s="130">
        <f t="shared" si="4"/>
        <v>1.2111801242236024</v>
      </c>
      <c r="J21" s="130"/>
      <c r="K21" s="130"/>
      <c r="L21" s="140">
        <v>7998</v>
      </c>
      <c r="M21" s="138"/>
      <c r="N21" s="52"/>
      <c r="O21" s="52">
        <v>62838</v>
      </c>
      <c r="P21" s="52">
        <v>27412</v>
      </c>
      <c r="Q21" s="52">
        <v>13406</v>
      </c>
      <c r="R21" s="52"/>
      <c r="S21" s="52"/>
      <c r="T21" s="52">
        <v>49432</v>
      </c>
    </row>
    <row r="22" spans="1:20">
      <c r="A22" s="134" t="s">
        <v>18</v>
      </c>
      <c r="B22" s="134" t="s">
        <v>200</v>
      </c>
      <c r="C22" s="134" t="s">
        <v>201</v>
      </c>
      <c r="D22" s="134">
        <v>0</v>
      </c>
      <c r="E22" s="134">
        <v>13</v>
      </c>
      <c r="F22" s="130">
        <f t="shared" si="0"/>
        <v>0.45543276599177218</v>
      </c>
      <c r="G22" s="130">
        <f t="shared" si="1"/>
        <v>10.503120439721929</v>
      </c>
      <c r="H22" s="130">
        <f t="shared" si="2"/>
        <v>1.1715117077053996</v>
      </c>
      <c r="I22" s="130">
        <f t="shared" si="4"/>
        <v>-0.64783250951650473</v>
      </c>
      <c r="J22" s="130"/>
      <c r="K22" s="130"/>
      <c r="L22" s="140">
        <v>5646</v>
      </c>
      <c r="M22" s="138"/>
      <c r="N22" s="52">
        <v>7969</v>
      </c>
      <c r="O22" s="52">
        <v>36429</v>
      </c>
      <c r="P22" s="52">
        <v>12397</v>
      </c>
      <c r="Q22" s="52">
        <v>-6248</v>
      </c>
      <c r="R22" s="52"/>
      <c r="S22" s="52"/>
      <c r="T22" s="52">
        <v>42677</v>
      </c>
    </row>
    <row r="23" spans="1:20">
      <c r="A23" s="134" t="s">
        <v>18</v>
      </c>
      <c r="B23" s="134" t="s">
        <v>200</v>
      </c>
      <c r="C23" s="134" t="s">
        <v>173</v>
      </c>
      <c r="D23" s="134">
        <v>0</v>
      </c>
      <c r="E23" s="134">
        <v>14</v>
      </c>
      <c r="F23" s="130">
        <f t="shared" si="0"/>
        <v>0.247571160729504</v>
      </c>
      <c r="G23" s="130">
        <f t="shared" si="1"/>
        <v>10.388564506279341</v>
      </c>
      <c r="H23" s="130">
        <f t="shared" si="2"/>
        <v>0.92427507233885364</v>
      </c>
      <c r="I23" s="130">
        <v>0.18476341726403289</v>
      </c>
      <c r="J23" s="130"/>
      <c r="K23" s="130"/>
      <c r="L23" s="140">
        <v>8715</v>
      </c>
      <c r="M23" s="138"/>
      <c r="N23" s="52">
        <v>12735</v>
      </c>
      <c r="O23" s="52">
        <v>32486</v>
      </c>
      <c r="P23" s="52">
        <v>35202</v>
      </c>
      <c r="Q23" s="52">
        <v>2460</v>
      </c>
      <c r="R23" s="52"/>
      <c r="S23" s="52"/>
      <c r="T23" s="52">
        <v>30026</v>
      </c>
    </row>
    <row r="24" spans="1:20">
      <c r="A24" s="133" t="s">
        <v>19</v>
      </c>
      <c r="B24" s="133" t="s">
        <v>199</v>
      </c>
      <c r="C24" s="133" t="s">
        <v>203</v>
      </c>
      <c r="D24" s="133">
        <v>0</v>
      </c>
      <c r="E24" s="133">
        <v>13</v>
      </c>
      <c r="F24" s="130">
        <f t="shared" si="0"/>
        <v>-0.47777420886517891</v>
      </c>
      <c r="G24" s="130">
        <f t="shared" si="1"/>
        <v>11.444871438344773</v>
      </c>
      <c r="H24" s="130">
        <f t="shared" si="2"/>
        <v>0.97220111109921747</v>
      </c>
      <c r="I24" s="130">
        <f t="shared" si="4"/>
        <v>0.60274861785706291</v>
      </c>
      <c r="J24" s="130"/>
      <c r="K24" s="130"/>
      <c r="L24" s="140">
        <v>-68423</v>
      </c>
      <c r="M24" s="138"/>
      <c r="N24" s="52">
        <v>77231</v>
      </c>
      <c r="O24" s="52">
        <v>93421</v>
      </c>
      <c r="P24" s="52">
        <v>143212</v>
      </c>
      <c r="Q24" s="52">
        <f t="shared" ref="Q24:Q31" si="6">O24-T24</f>
        <v>2597</v>
      </c>
      <c r="R24" s="52"/>
      <c r="S24" s="52"/>
      <c r="T24" s="52">
        <v>90824</v>
      </c>
    </row>
    <row r="25" spans="1:20">
      <c r="A25" s="133" t="s">
        <v>19</v>
      </c>
      <c r="B25" s="133" t="s">
        <v>199</v>
      </c>
      <c r="C25" s="133" t="s">
        <v>202</v>
      </c>
      <c r="D25" s="133">
        <v>0</v>
      </c>
      <c r="E25" s="133">
        <v>18</v>
      </c>
      <c r="F25" s="130">
        <f t="shared" si="0"/>
        <v>-4.2057434474114197E-2</v>
      </c>
      <c r="G25" s="130">
        <f t="shared" si="1"/>
        <v>10.938147814711721</v>
      </c>
      <c r="H25" s="130">
        <f t="shared" si="2"/>
        <v>1.2852904074054332</v>
      </c>
      <c r="I25" s="130">
        <f t="shared" si="4"/>
        <v>2.5694249649368863E-3</v>
      </c>
      <c r="J25" s="130"/>
      <c r="K25" s="130"/>
      <c r="L25" s="140">
        <v>-3758</v>
      </c>
      <c r="M25" s="138"/>
      <c r="N25" s="52">
        <v>8791</v>
      </c>
      <c r="O25" s="52">
        <v>56283</v>
      </c>
      <c r="P25" s="52">
        <v>89354</v>
      </c>
      <c r="Q25" s="52">
        <f t="shared" si="6"/>
        <v>-16057</v>
      </c>
      <c r="R25" s="52"/>
      <c r="S25" s="52"/>
      <c r="T25" s="52">
        <v>72340</v>
      </c>
    </row>
    <row r="26" spans="1:20" ht="18">
      <c r="A26" s="133" t="s">
        <v>19</v>
      </c>
      <c r="B26" s="133" t="s">
        <v>199</v>
      </c>
      <c r="C26" s="133" t="s">
        <v>201</v>
      </c>
      <c r="D26" s="133">
        <v>0</v>
      </c>
      <c r="E26" s="133">
        <v>19</v>
      </c>
      <c r="F26" s="130">
        <f t="shared" si="0"/>
        <v>-1.0944403927068724</v>
      </c>
      <c r="G26" s="130">
        <f t="shared" si="1"/>
        <v>11.774011990399837</v>
      </c>
      <c r="H26" s="130">
        <f t="shared" si="2"/>
        <v>1.4575765978095105</v>
      </c>
      <c r="I26" s="130">
        <v>0.30265902141099987</v>
      </c>
      <c r="J26" s="130"/>
      <c r="K26" s="130"/>
      <c r="L26" s="183">
        <v>-97542</v>
      </c>
      <c r="M26" s="180"/>
      <c r="N26" s="52">
        <v>81234</v>
      </c>
      <c r="O26" s="52">
        <v>129834</v>
      </c>
      <c r="P26" s="52">
        <v>89125</v>
      </c>
      <c r="Q26" s="52">
        <f t="shared" si="6"/>
        <v>-59409</v>
      </c>
      <c r="R26" s="52"/>
      <c r="S26" s="52"/>
      <c r="T26" s="52">
        <v>189243</v>
      </c>
    </row>
    <row r="27" spans="1:20">
      <c r="A27" s="133" t="s">
        <v>20</v>
      </c>
      <c r="B27" s="133" t="s">
        <v>199</v>
      </c>
      <c r="C27" s="133" t="s">
        <v>205</v>
      </c>
      <c r="D27" s="133">
        <v>0</v>
      </c>
      <c r="E27" s="133">
        <v>14</v>
      </c>
      <c r="F27" s="130">
        <f t="shared" si="0"/>
        <v>3.3946297980320513E-2</v>
      </c>
      <c r="G27" s="130">
        <f t="shared" si="1"/>
        <v>12.016315513233597</v>
      </c>
      <c r="H27" s="130">
        <f t="shared" si="2"/>
        <v>1.0436553991972533</v>
      </c>
      <c r="I27" s="130">
        <f t="shared" si="4"/>
        <v>-3.5214819329011382E-2</v>
      </c>
      <c r="J27" s="130"/>
      <c r="K27" s="130"/>
      <c r="L27" s="140">
        <v>6234</v>
      </c>
      <c r="M27" s="138"/>
      <c r="N27" s="52">
        <v>69572</v>
      </c>
      <c r="O27" s="52">
        <v>165432</v>
      </c>
      <c r="P27" s="52">
        <v>183643</v>
      </c>
      <c r="Q27" s="52">
        <f t="shared" si="6"/>
        <v>-7222</v>
      </c>
      <c r="R27" s="52"/>
      <c r="S27" s="52"/>
      <c r="T27" s="52">
        <v>172654</v>
      </c>
    </row>
    <row r="28" spans="1:20">
      <c r="A28" s="133" t="s">
        <v>20</v>
      </c>
      <c r="B28" s="133" t="s">
        <v>199</v>
      </c>
      <c r="C28" s="133" t="s">
        <v>203</v>
      </c>
      <c r="D28" s="133">
        <v>0</v>
      </c>
      <c r="E28" s="133">
        <v>7</v>
      </c>
      <c r="F28" s="130">
        <f t="shared" si="0"/>
        <v>-0.39530644195307491</v>
      </c>
      <c r="G28" s="130">
        <f t="shared" si="1"/>
        <v>12.13861787627158</v>
      </c>
      <c r="H28" s="130">
        <f t="shared" si="2"/>
        <v>0.74593215443371097</v>
      </c>
      <c r="I28" s="130">
        <f t="shared" si="4"/>
        <v>2.0011194324004729</v>
      </c>
      <c r="J28" s="130"/>
      <c r="K28" s="130"/>
      <c r="L28" s="140">
        <v>-75245</v>
      </c>
      <c r="M28" s="138"/>
      <c r="N28" s="52">
        <v>45679</v>
      </c>
      <c r="O28" s="52">
        <v>186954</v>
      </c>
      <c r="P28" s="52">
        <v>190346</v>
      </c>
      <c r="Q28" s="52">
        <f t="shared" si="6"/>
        <v>47499</v>
      </c>
      <c r="R28" s="52"/>
      <c r="S28" s="52"/>
      <c r="T28" s="52">
        <v>139455</v>
      </c>
    </row>
    <row r="29" spans="1:20">
      <c r="A29" s="133" t="s">
        <v>20</v>
      </c>
      <c r="B29" s="133" t="s">
        <v>199</v>
      </c>
      <c r="C29" s="133" t="s">
        <v>202</v>
      </c>
      <c r="D29" s="133">
        <v>0</v>
      </c>
      <c r="E29" s="133">
        <v>9</v>
      </c>
      <c r="F29" s="130">
        <f t="shared" si="0"/>
        <v>1.3678044934962554</v>
      </c>
      <c r="G29" s="130">
        <f t="shared" si="1"/>
        <v>11.998716317616294</v>
      </c>
      <c r="H29" s="130">
        <f t="shared" si="2"/>
        <v>1.0391089291646671</v>
      </c>
      <c r="I29" s="130">
        <f t="shared" si="4"/>
        <v>-0.66556109804583274</v>
      </c>
      <c r="J29" s="130"/>
      <c r="K29" s="130"/>
      <c r="L29" s="140">
        <v>86753</v>
      </c>
      <c r="M29" s="138"/>
      <c r="N29" s="52">
        <v>65824</v>
      </c>
      <c r="O29" s="52">
        <v>162546</v>
      </c>
      <c r="P29" s="52">
        <v>63425</v>
      </c>
      <c r="Q29" s="52">
        <f t="shared" si="6"/>
        <v>-6357</v>
      </c>
      <c r="R29" s="52"/>
      <c r="S29" s="52"/>
      <c r="T29" s="52">
        <v>168903</v>
      </c>
    </row>
    <row r="30" spans="1:20" ht="18">
      <c r="A30" s="133" t="s">
        <v>20</v>
      </c>
      <c r="B30" s="133" t="s">
        <v>199</v>
      </c>
      <c r="C30" s="133" t="s">
        <v>201</v>
      </c>
      <c r="D30" s="133">
        <v>0</v>
      </c>
      <c r="E30" s="133">
        <v>16</v>
      </c>
      <c r="F30" s="130">
        <f t="shared" si="0"/>
        <v>-0.40408972506670321</v>
      </c>
      <c r="G30" s="130">
        <f t="shared" si="1"/>
        <v>12.497233659441383</v>
      </c>
      <c r="H30" s="130">
        <f t="shared" si="2"/>
        <v>0.91801446957353627</v>
      </c>
      <c r="I30" s="130">
        <f t="shared" si="4"/>
        <v>1.9667417558350542</v>
      </c>
      <c r="J30" s="130"/>
      <c r="K30" s="130"/>
      <c r="L30" s="183">
        <v>-76634</v>
      </c>
      <c r="M30" s="180"/>
      <c r="N30" s="52">
        <v>125688</v>
      </c>
      <c r="O30" s="52">
        <v>267596</v>
      </c>
      <c r="P30" s="52">
        <v>189646</v>
      </c>
      <c r="Q30" s="52">
        <f t="shared" si="6"/>
        <v>21939</v>
      </c>
      <c r="R30" s="52"/>
      <c r="S30" s="52"/>
      <c r="T30" s="52">
        <v>245657</v>
      </c>
    </row>
    <row r="31" spans="1:20">
      <c r="A31" s="133" t="s">
        <v>20</v>
      </c>
      <c r="B31" s="133" t="s">
        <v>199</v>
      </c>
      <c r="C31" s="133" t="s">
        <v>173</v>
      </c>
      <c r="D31" s="133">
        <v>0</v>
      </c>
      <c r="E31" s="133">
        <v>7</v>
      </c>
      <c r="F31" s="130">
        <f t="shared" si="0"/>
        <v>0.38553594893936549</v>
      </c>
      <c r="G31" s="130">
        <f t="shared" si="1"/>
        <v>12.157118717952248</v>
      </c>
      <c r="H31" s="130">
        <f t="shared" si="2"/>
        <v>1.4121452387828506</v>
      </c>
      <c r="I31" s="130">
        <v>0.81677131771517075</v>
      </c>
      <c r="J31" s="130"/>
      <c r="K31" s="130"/>
      <c r="L31" s="140">
        <v>24645</v>
      </c>
      <c r="M31" s="138"/>
      <c r="N31" s="52">
        <v>74563</v>
      </c>
      <c r="O31" s="52">
        <v>190445</v>
      </c>
      <c r="P31" s="52">
        <v>63924</v>
      </c>
      <c r="Q31" s="52">
        <f t="shared" si="6"/>
        <v>-78491</v>
      </c>
      <c r="R31" s="52"/>
      <c r="S31" s="52"/>
      <c r="T31" s="52">
        <v>268936</v>
      </c>
    </row>
    <row r="32" spans="1:20" ht="17">
      <c r="A32" s="130" t="s">
        <v>21</v>
      </c>
      <c r="B32" s="130" t="s">
        <v>172</v>
      </c>
      <c r="C32" s="130" t="s">
        <v>205</v>
      </c>
      <c r="D32" s="130">
        <v>0</v>
      </c>
      <c r="E32" s="130">
        <v>6</v>
      </c>
      <c r="F32" s="130">
        <f t="shared" si="0"/>
        <v>0.14023885821766313</v>
      </c>
      <c r="G32" s="130">
        <f t="shared" si="1"/>
        <v>13.974365583556121</v>
      </c>
      <c r="H32" s="130">
        <f t="shared" si="2"/>
        <v>0.59194074569515631</v>
      </c>
      <c r="I32" s="130">
        <f t="shared" si="4"/>
        <v>2.9318705351940987E-2</v>
      </c>
      <c r="J32" s="130"/>
      <c r="K32" s="130"/>
      <c r="L32" s="170">
        <v>64419</v>
      </c>
      <c r="M32" s="171">
        <v>733</v>
      </c>
      <c r="N32" s="172">
        <v>9687</v>
      </c>
      <c r="O32" s="172">
        <v>1172168</v>
      </c>
      <c r="P32" s="172">
        <v>459352</v>
      </c>
      <c r="Q32" s="172">
        <v>478314</v>
      </c>
      <c r="R32" s="172">
        <v>413739</v>
      </c>
      <c r="S32" s="172">
        <v>280115</v>
      </c>
      <c r="T32" s="148">
        <f>R32+S32</f>
        <v>693854</v>
      </c>
    </row>
    <row r="33" spans="1:20" ht="17">
      <c r="A33" s="130" t="s">
        <v>21</v>
      </c>
      <c r="B33" s="130" t="s">
        <v>172</v>
      </c>
      <c r="C33" s="130" t="s">
        <v>203</v>
      </c>
      <c r="D33" s="130">
        <v>0</v>
      </c>
      <c r="E33" s="130">
        <v>5</v>
      </c>
      <c r="F33" s="130">
        <f t="shared" si="0"/>
        <v>-6.844541844810742E-2</v>
      </c>
      <c r="G33" s="130">
        <f t="shared" si="1"/>
        <v>13.85501776853479</v>
      </c>
      <c r="H33" s="130">
        <f t="shared" si="2"/>
        <v>0.57395477065225542</v>
      </c>
      <c r="I33" s="130">
        <f t="shared" si="4"/>
        <v>0.16110097853773522</v>
      </c>
      <c r="J33" s="130"/>
      <c r="K33" s="130"/>
      <c r="L33" s="170">
        <v>-30545</v>
      </c>
      <c r="M33" s="171">
        <v>724</v>
      </c>
      <c r="N33" s="172">
        <v>10172</v>
      </c>
      <c r="O33" s="172">
        <v>1040298</v>
      </c>
      <c r="P33" s="172">
        <v>446268</v>
      </c>
      <c r="Q33" s="172">
        <v>443214</v>
      </c>
      <c r="R33" s="172">
        <v>319195</v>
      </c>
      <c r="S33" s="172">
        <v>277889</v>
      </c>
      <c r="T33" s="148">
        <f>R33+S33</f>
        <v>597084</v>
      </c>
    </row>
    <row r="34" spans="1:20" ht="17">
      <c r="A34" s="130" t="s">
        <v>21</v>
      </c>
      <c r="B34" s="130" t="s">
        <v>172</v>
      </c>
      <c r="C34" s="130" t="s">
        <v>202</v>
      </c>
      <c r="D34" s="130">
        <v>0</v>
      </c>
      <c r="E34" s="130">
        <v>8</v>
      </c>
      <c r="F34" s="130">
        <f t="shared" si="0"/>
        <v>-3.3521617071984054E-2</v>
      </c>
      <c r="G34" s="130">
        <f t="shared" si="1"/>
        <v>13.993186339838335</v>
      </c>
      <c r="H34" s="130">
        <f t="shared" si="2"/>
        <v>0.53695629241534515</v>
      </c>
      <c r="I34" s="130">
        <f t="shared" si="4"/>
        <v>1.1497973577556714E-2</v>
      </c>
      <c r="J34" s="130"/>
      <c r="K34" s="130"/>
      <c r="L34" s="170">
        <v>-12884</v>
      </c>
      <c r="M34" s="171">
        <v>394</v>
      </c>
      <c r="N34" s="172">
        <v>274396</v>
      </c>
      <c r="O34" s="172">
        <v>1194438</v>
      </c>
      <c r="P34" s="172">
        <v>384349</v>
      </c>
      <c r="Q34" s="172">
        <v>553077</v>
      </c>
      <c r="R34" s="172">
        <v>154444</v>
      </c>
      <c r="S34" s="172">
        <v>486917</v>
      </c>
      <c r="T34" s="172">
        <f>R34+S34</f>
        <v>641361</v>
      </c>
    </row>
    <row r="35" spans="1:20" ht="17">
      <c r="A35" s="130" t="s">
        <v>21</v>
      </c>
      <c r="B35" s="130" t="s">
        <v>172</v>
      </c>
      <c r="C35" s="130" t="s">
        <v>201</v>
      </c>
      <c r="D35" s="130">
        <v>0</v>
      </c>
      <c r="E35" s="130">
        <v>8</v>
      </c>
      <c r="F35" s="130">
        <f t="shared" si="0"/>
        <v>-0.32688562555923995</v>
      </c>
      <c r="G35" s="130">
        <f t="shared" si="1"/>
        <v>13.723526839348086</v>
      </c>
      <c r="H35" s="130">
        <f t="shared" si="2"/>
        <v>0.71740889356663595</v>
      </c>
      <c r="I35" s="130">
        <f t="shared" si="4"/>
        <v>-0.13054620589291885</v>
      </c>
      <c r="J35" s="130"/>
      <c r="K35" s="130"/>
      <c r="L35" s="170">
        <v>-124210</v>
      </c>
      <c r="M35" s="171">
        <v>634</v>
      </c>
      <c r="N35" s="172">
        <v>0</v>
      </c>
      <c r="O35" s="172">
        <v>912120</v>
      </c>
      <c r="P35" s="172">
        <v>379980</v>
      </c>
      <c r="Q35" s="172">
        <v>275247</v>
      </c>
      <c r="R35" s="172">
        <v>381014</v>
      </c>
      <c r="S35" s="172">
        <v>255859</v>
      </c>
      <c r="T35" s="148">
        <v>654363</v>
      </c>
    </row>
    <row r="36" spans="1:20">
      <c r="A36" s="130" t="s">
        <v>21</v>
      </c>
      <c r="B36" s="130" t="s">
        <v>172</v>
      </c>
      <c r="C36" s="130" t="s">
        <v>173</v>
      </c>
      <c r="D36" s="130">
        <v>0</v>
      </c>
      <c r="E36" s="130">
        <v>5</v>
      </c>
      <c r="F36" s="130">
        <f t="shared" si="0"/>
        <v>-0.12229511272604128</v>
      </c>
      <c r="G36" s="130">
        <f t="shared" si="1"/>
        <v>13.794257299010576</v>
      </c>
      <c r="H36" s="130">
        <f t="shared" si="2"/>
        <v>0.7691800880720675</v>
      </c>
      <c r="I36" s="130">
        <v>1.7842862893578518E-2</v>
      </c>
      <c r="J36" s="130"/>
      <c r="K36" s="130"/>
      <c r="L36" s="154">
        <v>-53447</v>
      </c>
      <c r="M36" s="130">
        <v>649</v>
      </c>
      <c r="N36" s="148">
        <v>0</v>
      </c>
      <c r="O36" s="148">
        <v>978971</v>
      </c>
      <c r="P36" s="148">
        <v>437033</v>
      </c>
      <c r="Q36" s="148">
        <v>225966</v>
      </c>
      <c r="R36" s="148">
        <v>433857</v>
      </c>
      <c r="S36" s="148">
        <v>319148</v>
      </c>
      <c r="T36" s="148">
        <f>R36+S36</f>
        <v>753005</v>
      </c>
    </row>
    <row r="37" spans="1:20">
      <c r="A37" s="134" t="s">
        <v>22</v>
      </c>
      <c r="B37" s="134" t="s">
        <v>200</v>
      </c>
      <c r="C37" s="134" t="s">
        <v>205</v>
      </c>
      <c r="D37" s="134">
        <v>1</v>
      </c>
      <c r="E37" s="134">
        <v>2</v>
      </c>
      <c r="F37" s="130">
        <f t="shared" si="0"/>
        <v>1.1327777328262804E-4</v>
      </c>
      <c r="G37" s="130">
        <f t="shared" si="1"/>
        <v>13.31808968769692</v>
      </c>
      <c r="H37" s="130">
        <f t="shared" si="2"/>
        <v>0.98701522947819176</v>
      </c>
      <c r="I37" s="130">
        <f t="shared" si="4"/>
        <v>0.10697107848845021</v>
      </c>
      <c r="J37" s="130"/>
      <c r="K37" s="130"/>
      <c r="L37" s="140">
        <v>14</v>
      </c>
      <c r="M37" s="138"/>
      <c r="N37" s="52"/>
      <c r="O37" s="52">
        <v>608097</v>
      </c>
      <c r="P37" s="52">
        <v>123590</v>
      </c>
      <c r="Q37" s="52">
        <v>7896</v>
      </c>
      <c r="R37" s="52"/>
      <c r="S37" s="52"/>
      <c r="T37" s="52">
        <v>600201</v>
      </c>
    </row>
    <row r="38" spans="1:20">
      <c r="A38" s="134" t="s">
        <v>22</v>
      </c>
      <c r="B38" s="134" t="s">
        <v>200</v>
      </c>
      <c r="C38" s="134" t="s">
        <v>203</v>
      </c>
      <c r="D38" s="134">
        <v>0</v>
      </c>
      <c r="E38" s="134">
        <v>17</v>
      </c>
      <c r="F38" s="130">
        <f t="shared" si="0"/>
        <v>2.6870404041308767E-5</v>
      </c>
      <c r="G38" s="130">
        <f t="shared" si="1"/>
        <v>13.079522680007152</v>
      </c>
      <c r="H38" s="130">
        <f t="shared" si="2"/>
        <v>0.99681023397184321</v>
      </c>
      <c r="I38" s="130">
        <f t="shared" si="4"/>
        <v>0.79116665597125069</v>
      </c>
      <c r="J38" s="130"/>
      <c r="K38" s="130"/>
      <c r="L38" s="140">
        <v>3</v>
      </c>
      <c r="M38" s="138"/>
      <c r="N38" s="52"/>
      <c r="O38" s="52">
        <v>479032</v>
      </c>
      <c r="P38" s="52">
        <v>111647</v>
      </c>
      <c r="Q38" s="52">
        <v>1528</v>
      </c>
      <c r="R38" s="52"/>
      <c r="S38" s="52"/>
      <c r="T38" s="52">
        <v>477504</v>
      </c>
    </row>
    <row r="39" spans="1:20">
      <c r="A39" s="134" t="s">
        <v>22</v>
      </c>
      <c r="B39" s="134" t="s">
        <v>200</v>
      </c>
      <c r="C39" s="134" t="s">
        <v>202</v>
      </c>
      <c r="D39" s="134">
        <v>0</v>
      </c>
      <c r="E39" s="134">
        <v>9</v>
      </c>
      <c r="F39" s="130">
        <f t="shared" si="0"/>
        <v>-3.2086247834178273E-5</v>
      </c>
      <c r="G39" s="130">
        <f t="shared" si="1"/>
        <v>12.82657386160524</v>
      </c>
      <c r="H39" s="130">
        <f t="shared" si="2"/>
        <v>0.99589754067510461</v>
      </c>
      <c r="I39" s="130">
        <f t="shared" si="4"/>
        <v>-1.743434534506132E-2</v>
      </c>
      <c r="J39" s="130"/>
      <c r="K39" s="130"/>
      <c r="L39" s="140">
        <v>-2</v>
      </c>
      <c r="M39" s="138"/>
      <c r="N39" s="52"/>
      <c r="O39" s="52">
        <v>371972</v>
      </c>
      <c r="P39" s="52">
        <v>62332</v>
      </c>
      <c r="Q39" s="52">
        <v>1526</v>
      </c>
      <c r="R39" s="52"/>
      <c r="S39" s="52"/>
      <c r="T39" s="52">
        <v>370446</v>
      </c>
    </row>
    <row r="40" spans="1:20">
      <c r="A40" s="134" t="s">
        <v>22</v>
      </c>
      <c r="B40" s="134" t="s">
        <v>200</v>
      </c>
      <c r="C40" s="134" t="s">
        <v>201</v>
      </c>
      <c r="D40" s="134">
        <v>0</v>
      </c>
      <c r="E40" s="134">
        <v>3</v>
      </c>
      <c r="F40" s="130">
        <f t="shared" si="0"/>
        <v>-1.8285570162993789E-3</v>
      </c>
      <c r="G40" s="130">
        <f t="shared" si="1"/>
        <v>12.66130204636505</v>
      </c>
      <c r="H40" s="130">
        <f t="shared" si="2"/>
        <v>0.99552816778568187</v>
      </c>
      <c r="I40" s="130">
        <f t="shared" si="4"/>
        <v>-0.26419690080727476</v>
      </c>
      <c r="J40" s="130"/>
      <c r="K40" s="130"/>
      <c r="L40" s="140">
        <v>-116</v>
      </c>
      <c r="M40" s="138"/>
      <c r="N40" s="52"/>
      <c r="O40" s="52">
        <v>315307</v>
      </c>
      <c r="P40" s="52">
        <v>63438</v>
      </c>
      <c r="Q40" s="52">
        <v>1410</v>
      </c>
      <c r="R40" s="52"/>
      <c r="S40" s="52"/>
      <c r="T40" s="52">
        <v>313897</v>
      </c>
    </row>
    <row r="41" spans="1:20">
      <c r="A41" s="134" t="s">
        <v>22</v>
      </c>
      <c r="B41" s="134" t="s">
        <v>200</v>
      </c>
      <c r="C41" s="134" t="s">
        <v>173</v>
      </c>
      <c r="D41" s="134">
        <v>1</v>
      </c>
      <c r="E41" s="134">
        <v>3</v>
      </c>
      <c r="F41" s="130">
        <f t="shared" si="0"/>
        <v>-2.1689709566669758E-3</v>
      </c>
      <c r="G41" s="130">
        <f t="shared" si="1"/>
        <v>12.675488602130162</v>
      </c>
      <c r="H41" s="130">
        <f t="shared" si="2"/>
        <v>0.99617587832851795</v>
      </c>
      <c r="I41" s="130">
        <v>0.15412662207684122</v>
      </c>
      <c r="J41" s="130"/>
      <c r="K41" s="130"/>
      <c r="L41" s="140">
        <v>-187</v>
      </c>
      <c r="M41" s="138"/>
      <c r="N41" s="52"/>
      <c r="O41" s="52">
        <v>319812</v>
      </c>
      <c r="P41" s="52">
        <v>86216</v>
      </c>
      <c r="Q41" s="52">
        <v>1223</v>
      </c>
      <c r="R41" s="52"/>
      <c r="S41" s="52"/>
      <c r="T41" s="52">
        <v>318589</v>
      </c>
    </row>
    <row r="42" spans="1:20">
      <c r="A42" s="134" t="s">
        <v>23</v>
      </c>
      <c r="B42" s="134" t="s">
        <v>200</v>
      </c>
      <c r="C42" s="134" t="s">
        <v>205</v>
      </c>
      <c r="D42" s="134">
        <v>0</v>
      </c>
      <c r="E42" s="134">
        <v>7</v>
      </c>
      <c r="F42" s="130">
        <f t="shared" si="0"/>
        <v>8.0868907245097415E-3</v>
      </c>
      <c r="G42" s="130">
        <f t="shared" si="1"/>
        <v>11.001216117502114</v>
      </c>
      <c r="H42" s="130">
        <f t="shared" si="2"/>
        <v>0.7934175188082806</v>
      </c>
      <c r="I42" s="130">
        <f t="shared" si="4"/>
        <v>-0.14706752359695593</v>
      </c>
      <c r="J42" s="130"/>
      <c r="K42" s="130"/>
      <c r="L42" s="140">
        <v>513</v>
      </c>
      <c r="M42" s="138"/>
      <c r="N42" s="52"/>
      <c r="O42" s="52">
        <v>59947</v>
      </c>
      <c r="P42" s="52">
        <v>63436</v>
      </c>
      <c r="Q42" s="52">
        <v>12384</v>
      </c>
      <c r="R42" s="52"/>
      <c r="S42" s="52"/>
      <c r="T42" s="52">
        <v>47563</v>
      </c>
    </row>
    <row r="43" spans="1:20">
      <c r="A43" s="134" t="s">
        <v>23</v>
      </c>
      <c r="B43" s="134" t="s">
        <v>200</v>
      </c>
      <c r="C43" s="134" t="s">
        <v>203</v>
      </c>
      <c r="D43" s="134">
        <v>0</v>
      </c>
      <c r="E43" s="134">
        <v>4</v>
      </c>
      <c r="F43" s="130">
        <f t="shared" si="0"/>
        <v>7.2068195874902524E-3</v>
      </c>
      <c r="G43" s="130">
        <f t="shared" si="1"/>
        <v>11.324533520598992</v>
      </c>
      <c r="H43" s="130">
        <f t="shared" si="2"/>
        <v>0.85014910236752828</v>
      </c>
      <c r="I43" s="130">
        <f t="shared" si="4"/>
        <v>-0.28379107122221792</v>
      </c>
      <c r="J43" s="130"/>
      <c r="K43" s="130"/>
      <c r="L43" s="140">
        <v>536</v>
      </c>
      <c r="M43" s="138"/>
      <c r="N43" s="52"/>
      <c r="O43" s="52">
        <v>82829</v>
      </c>
      <c r="P43" s="52">
        <v>74374</v>
      </c>
      <c r="Q43" s="52">
        <v>12412</v>
      </c>
      <c r="R43" s="52"/>
      <c r="S43" s="52"/>
      <c r="T43" s="52">
        <v>70417</v>
      </c>
    </row>
    <row r="44" spans="1:20">
      <c r="A44" s="134" t="s">
        <v>23</v>
      </c>
      <c r="B44" s="134" t="s">
        <v>200</v>
      </c>
      <c r="C44" s="134" t="s">
        <v>202</v>
      </c>
      <c r="D44" s="134">
        <v>0</v>
      </c>
      <c r="E44" s="134">
        <v>17</v>
      </c>
      <c r="F44" s="130">
        <f t="shared" si="0"/>
        <v>3.9097107199260427E-3</v>
      </c>
      <c r="G44" s="130">
        <f t="shared" si="1"/>
        <v>11.445609757685361</v>
      </c>
      <c r="H44" s="130">
        <f t="shared" si="2"/>
        <v>0.8650764787677826</v>
      </c>
      <c r="I44" s="130">
        <f t="shared" si="4"/>
        <v>2.4173266399061078E-2</v>
      </c>
      <c r="J44" s="130"/>
      <c r="K44" s="130"/>
      <c r="L44" s="140">
        <v>406</v>
      </c>
      <c r="M44" s="138"/>
      <c r="N44" s="52"/>
      <c r="O44" s="52">
        <v>93490</v>
      </c>
      <c r="P44" s="52">
        <v>103844</v>
      </c>
      <c r="Q44" s="52">
        <v>12614</v>
      </c>
      <c r="R44" s="52"/>
      <c r="S44" s="52"/>
      <c r="T44" s="52">
        <v>80876</v>
      </c>
    </row>
    <row r="45" spans="1:20">
      <c r="A45" s="134" t="s">
        <v>23</v>
      </c>
      <c r="B45" s="134" t="s">
        <v>200</v>
      </c>
      <c r="C45" s="134" t="s">
        <v>201</v>
      </c>
      <c r="D45" s="134">
        <v>0</v>
      </c>
      <c r="E45" s="134">
        <v>11</v>
      </c>
      <c r="F45" s="130">
        <f t="shared" si="0"/>
        <v>6.1148205497420932E-4</v>
      </c>
      <c r="G45" s="130">
        <f t="shared" si="1"/>
        <v>11.542299784176407</v>
      </c>
      <c r="H45" s="130">
        <f t="shared" si="2"/>
        <v>0.77473514531806842</v>
      </c>
      <c r="I45" s="130">
        <f t="shared" si="4"/>
        <v>0.40392683568491161</v>
      </c>
      <c r="J45" s="130"/>
      <c r="K45" s="130"/>
      <c r="L45" s="140">
        <v>62</v>
      </c>
      <c r="M45" s="138"/>
      <c r="N45" s="52"/>
      <c r="O45" s="52">
        <v>102981</v>
      </c>
      <c r="P45" s="52">
        <v>101393</v>
      </c>
      <c r="Q45" s="52">
        <v>23198</v>
      </c>
      <c r="R45" s="52"/>
      <c r="S45" s="52"/>
      <c r="T45" s="52">
        <v>79783</v>
      </c>
    </row>
    <row r="46" spans="1:20">
      <c r="A46" s="134" t="s">
        <v>23</v>
      </c>
      <c r="B46" s="134" t="s">
        <v>200</v>
      </c>
      <c r="C46" s="134" t="s">
        <v>173</v>
      </c>
      <c r="D46" s="134">
        <v>0</v>
      </c>
      <c r="E46" s="134">
        <v>18</v>
      </c>
      <c r="F46" s="130">
        <f t="shared" si="0"/>
        <v>-9.4155439553592443E-2</v>
      </c>
      <c r="G46" s="130">
        <f t="shared" si="1"/>
        <v>11.129437089665434</v>
      </c>
      <c r="H46" s="130">
        <f t="shared" si="2"/>
        <v>0.75795327815930036</v>
      </c>
      <c r="I46" s="130">
        <v>-6.8962318380029475E-4</v>
      </c>
      <c r="J46" s="130"/>
      <c r="K46" s="130"/>
      <c r="L46" s="140">
        <v>-6800</v>
      </c>
      <c r="M46" s="138"/>
      <c r="N46" s="52"/>
      <c r="O46" s="52">
        <v>68148</v>
      </c>
      <c r="P46" s="52">
        <v>72221</v>
      </c>
      <c r="Q46" s="52">
        <v>16495</v>
      </c>
      <c r="R46" s="52"/>
      <c r="S46" s="52"/>
      <c r="T46" s="52">
        <v>51653</v>
      </c>
    </row>
    <row r="47" spans="1:20" ht="17">
      <c r="A47" s="130" t="s">
        <v>24</v>
      </c>
      <c r="B47" s="130" t="s">
        <v>172</v>
      </c>
      <c r="C47" s="130" t="s">
        <v>202</v>
      </c>
      <c r="D47" s="130">
        <v>0</v>
      </c>
      <c r="E47" s="130">
        <v>17</v>
      </c>
      <c r="F47" s="130">
        <f t="shared" si="0"/>
        <v>-0.84266697941711133</v>
      </c>
      <c r="G47" s="130">
        <f t="shared" si="1"/>
        <v>12.143287253430135</v>
      </c>
      <c r="H47" s="130">
        <f t="shared" si="2"/>
        <v>1.5518050993190615</v>
      </c>
      <c r="I47" s="130">
        <f t="shared" si="4"/>
        <v>-0.41290255946174581</v>
      </c>
      <c r="J47" s="130"/>
      <c r="K47" s="130"/>
      <c r="L47" s="170">
        <v>-100590</v>
      </c>
      <c r="M47" s="171">
        <v>658</v>
      </c>
      <c r="N47" s="172">
        <v>238020</v>
      </c>
      <c r="O47" s="172">
        <v>187829</v>
      </c>
      <c r="P47" s="172">
        <v>119371</v>
      </c>
      <c r="Q47" s="172">
        <v>-103645</v>
      </c>
      <c r="R47" s="172">
        <v>0</v>
      </c>
      <c r="S47" s="172">
        <v>291474</v>
      </c>
      <c r="T47" s="172">
        <f t="shared" ref="T47:T69" si="7">R47+S47</f>
        <v>291474</v>
      </c>
    </row>
    <row r="48" spans="1:20" ht="17">
      <c r="A48" s="130" t="s">
        <v>24</v>
      </c>
      <c r="B48" s="130" t="s">
        <v>172</v>
      </c>
      <c r="C48" s="130" t="s">
        <v>201</v>
      </c>
      <c r="D48" s="130">
        <v>0</v>
      </c>
      <c r="E48" s="130">
        <v>11</v>
      </c>
      <c r="F48" s="130">
        <f t="shared" si="0"/>
        <v>-0.18269855009738151</v>
      </c>
      <c r="G48" s="130">
        <f t="shared" si="1"/>
        <v>12.404894815339226</v>
      </c>
      <c r="H48" s="130">
        <f t="shared" si="2"/>
        <v>1.1363727647924327</v>
      </c>
      <c r="I48" s="130">
        <f t="shared" si="4"/>
        <v>5.6678689103929987E-2</v>
      </c>
      <c r="J48" s="130"/>
      <c r="K48" s="130"/>
      <c r="L48" s="170">
        <v>-37147</v>
      </c>
      <c r="M48" s="171">
        <v>663</v>
      </c>
      <c r="N48" s="172">
        <v>248030</v>
      </c>
      <c r="O48" s="172">
        <v>243993</v>
      </c>
      <c r="P48" s="172">
        <v>203324</v>
      </c>
      <c r="Q48" s="172">
        <v>-33274</v>
      </c>
      <c r="R48" s="172">
        <v>0</v>
      </c>
      <c r="S48" s="172">
        <v>277267</v>
      </c>
      <c r="T48" s="148">
        <f t="shared" si="7"/>
        <v>277267</v>
      </c>
    </row>
    <row r="49" spans="1:20">
      <c r="A49" s="130" t="s">
        <v>24</v>
      </c>
      <c r="B49" s="130" t="s">
        <v>172</v>
      </c>
      <c r="C49" s="130" t="s">
        <v>173</v>
      </c>
      <c r="D49" s="130">
        <v>0</v>
      </c>
      <c r="E49" s="130">
        <v>14</v>
      </c>
      <c r="F49" s="130">
        <f t="shared" si="0"/>
        <v>3.9528526437235603E-2</v>
      </c>
      <c r="G49" s="130">
        <f t="shared" si="1"/>
        <v>12.605184279666164</v>
      </c>
      <c r="H49" s="130">
        <f t="shared" si="2"/>
        <v>1.0877859778597787</v>
      </c>
      <c r="I49" s="130">
        <v>-0.17811193517890792</v>
      </c>
      <c r="J49" s="130"/>
      <c r="K49" s="130"/>
      <c r="L49" s="154">
        <v>7606</v>
      </c>
      <c r="M49" s="130">
        <v>642</v>
      </c>
      <c r="N49" s="148">
        <v>275311</v>
      </c>
      <c r="O49" s="148">
        <v>298100</v>
      </c>
      <c r="P49" s="148">
        <v>192418</v>
      </c>
      <c r="Q49" s="148">
        <v>-26169</v>
      </c>
      <c r="R49" s="148">
        <v>0</v>
      </c>
      <c r="S49" s="148">
        <v>324269</v>
      </c>
      <c r="T49" s="148">
        <f t="shared" si="7"/>
        <v>324269</v>
      </c>
    </row>
    <row r="50" spans="1:20" ht="17">
      <c r="A50" s="132" t="s">
        <v>25</v>
      </c>
      <c r="B50" s="132" t="s">
        <v>198</v>
      </c>
      <c r="C50" s="132" t="s">
        <v>205</v>
      </c>
      <c r="D50" s="132">
        <v>0</v>
      </c>
      <c r="E50" s="132">
        <v>7</v>
      </c>
      <c r="F50" s="130">
        <f t="shared" si="0"/>
        <v>0.15663300355035664</v>
      </c>
      <c r="G50" s="130">
        <f t="shared" si="1"/>
        <v>12.043194828110421</v>
      </c>
      <c r="H50" s="130">
        <f t="shared" si="2"/>
        <v>0.69616744831969113</v>
      </c>
      <c r="I50" s="130">
        <f t="shared" si="4"/>
        <v>-0.17150349464367401</v>
      </c>
      <c r="J50" s="130"/>
      <c r="K50" s="130"/>
      <c r="L50" s="166">
        <v>24397</v>
      </c>
      <c r="M50" s="167">
        <v>156</v>
      </c>
      <c r="N50" s="168">
        <v>1049</v>
      </c>
      <c r="O50" s="168">
        <v>169939</v>
      </c>
      <c r="P50" s="168">
        <v>155759</v>
      </c>
      <c r="Q50" s="168">
        <v>51632</v>
      </c>
      <c r="R50" s="168">
        <v>43758</v>
      </c>
      <c r="S50" s="168">
        <v>74548</v>
      </c>
      <c r="T50" s="156">
        <f t="shared" si="7"/>
        <v>118306</v>
      </c>
    </row>
    <row r="51" spans="1:20" ht="17">
      <c r="A51" s="132" t="s">
        <v>25</v>
      </c>
      <c r="B51" s="132" t="s">
        <v>198</v>
      </c>
      <c r="C51" s="132" t="s">
        <v>203</v>
      </c>
      <c r="D51" s="132">
        <v>0</v>
      </c>
      <c r="E51" s="132">
        <v>3</v>
      </c>
      <c r="F51" s="130">
        <f t="shared" si="0"/>
        <v>0.14139211284986331</v>
      </c>
      <c r="G51" s="130">
        <f t="shared" si="1"/>
        <v>12.241965712821539</v>
      </c>
      <c r="H51" s="130">
        <f t="shared" si="2"/>
        <v>0.62271777877467938</v>
      </c>
      <c r="I51" s="130">
        <f t="shared" si="4"/>
        <v>-0.21984397045397958</v>
      </c>
      <c r="J51" s="130"/>
      <c r="K51" s="130"/>
      <c r="L51" s="166">
        <v>26582</v>
      </c>
      <c r="M51" s="167">
        <v>176</v>
      </c>
      <c r="N51" s="168">
        <v>740</v>
      </c>
      <c r="O51" s="168">
        <v>207309</v>
      </c>
      <c r="P51" s="168">
        <v>188002</v>
      </c>
      <c r="Q51" s="168">
        <v>78214</v>
      </c>
      <c r="R51" s="168">
        <v>48469</v>
      </c>
      <c r="S51" s="168">
        <v>80626</v>
      </c>
      <c r="T51" s="156">
        <f t="shared" si="7"/>
        <v>129095</v>
      </c>
    </row>
    <row r="52" spans="1:20" ht="17">
      <c r="A52" s="132" t="s">
        <v>25</v>
      </c>
      <c r="B52" s="132" t="s">
        <v>198</v>
      </c>
      <c r="C52" s="132" t="s">
        <v>202</v>
      </c>
      <c r="D52" s="132">
        <v>0</v>
      </c>
      <c r="E52" s="132">
        <v>3</v>
      </c>
      <c r="F52" s="130">
        <f t="shared" si="0"/>
        <v>0.21855340692173625</v>
      </c>
      <c r="G52" s="130">
        <f t="shared" si="1"/>
        <v>12.694646525360701</v>
      </c>
      <c r="H52" s="130">
        <f t="shared" si="2"/>
        <v>0.5985220768225572</v>
      </c>
      <c r="I52" s="130">
        <f t="shared" si="4"/>
        <v>3.9578386035078947E-3</v>
      </c>
      <c r="J52" s="130"/>
      <c r="K52" s="130"/>
      <c r="L52" s="166">
        <v>52667</v>
      </c>
      <c r="M52" s="167">
        <v>175</v>
      </c>
      <c r="N52" s="168">
        <v>830</v>
      </c>
      <c r="O52" s="168">
        <v>325998</v>
      </c>
      <c r="P52" s="168">
        <v>240980</v>
      </c>
      <c r="Q52" s="168">
        <v>130882</v>
      </c>
      <c r="R52" s="168">
        <v>76340</v>
      </c>
      <c r="S52" s="168">
        <v>118777</v>
      </c>
      <c r="T52" s="156">
        <f t="shared" si="7"/>
        <v>195117</v>
      </c>
    </row>
    <row r="53" spans="1:20" ht="17">
      <c r="A53" s="132" t="s">
        <v>25</v>
      </c>
      <c r="B53" s="132" t="s">
        <v>198</v>
      </c>
      <c r="C53" s="132" t="s">
        <v>201</v>
      </c>
      <c r="D53" s="132">
        <v>0</v>
      </c>
      <c r="E53" s="132">
        <v>3</v>
      </c>
      <c r="F53" s="130">
        <f t="shared" si="0"/>
        <v>0.14676082156397116</v>
      </c>
      <c r="G53" s="130">
        <f t="shared" si="1"/>
        <v>12.758770272364451</v>
      </c>
      <c r="H53" s="130">
        <f t="shared" si="2"/>
        <v>0.5221081340786623</v>
      </c>
      <c r="I53" s="130">
        <f t="shared" si="4"/>
        <v>1.0069733607585412</v>
      </c>
      <c r="J53" s="130"/>
      <c r="K53" s="130"/>
      <c r="L53" s="166">
        <v>35227</v>
      </c>
      <c r="M53" s="167">
        <v>171</v>
      </c>
      <c r="N53" s="168">
        <v>852</v>
      </c>
      <c r="O53" s="168">
        <v>347587</v>
      </c>
      <c r="P53" s="168">
        <v>240030</v>
      </c>
      <c r="Q53" s="168">
        <v>166109</v>
      </c>
      <c r="R53" s="168">
        <v>72572</v>
      </c>
      <c r="S53" s="168">
        <v>108906</v>
      </c>
      <c r="T53" s="156">
        <f t="shared" si="7"/>
        <v>181478</v>
      </c>
    </row>
    <row r="54" spans="1:20" ht="17">
      <c r="A54" s="132" t="s">
        <v>25</v>
      </c>
      <c r="B54" s="132" t="s">
        <v>198</v>
      </c>
      <c r="C54" s="132" t="s">
        <v>173</v>
      </c>
      <c r="D54" s="132">
        <v>0</v>
      </c>
      <c r="E54" s="132">
        <v>8</v>
      </c>
      <c r="F54" s="130">
        <f t="shared" si="0"/>
        <v>9.2810916570511215E-2</v>
      </c>
      <c r="G54" s="130">
        <f t="shared" si="1"/>
        <v>12.782517456303976</v>
      </c>
      <c r="H54" s="130">
        <f t="shared" si="2"/>
        <v>0.50214081024891832</v>
      </c>
      <c r="I54" s="130">
        <v>-0.17811193517890792</v>
      </c>
      <c r="J54" s="130"/>
      <c r="K54" s="130"/>
      <c r="L54" s="166">
        <v>11100</v>
      </c>
      <c r="M54" s="167">
        <v>187</v>
      </c>
      <c r="N54" s="168">
        <v>864</v>
      </c>
      <c r="O54" s="168">
        <v>355940</v>
      </c>
      <c r="P54" s="168">
        <v>119598</v>
      </c>
      <c r="Q54" s="168">
        <v>177208</v>
      </c>
      <c r="R54" s="168">
        <v>91148</v>
      </c>
      <c r="S54" s="168">
        <v>87584</v>
      </c>
      <c r="T54" s="156">
        <f t="shared" si="7"/>
        <v>178732</v>
      </c>
    </row>
    <row r="55" spans="1:20" ht="17">
      <c r="A55" s="131" t="s">
        <v>26</v>
      </c>
      <c r="B55" s="131" t="s">
        <v>193</v>
      </c>
      <c r="C55" s="131" t="s">
        <v>205</v>
      </c>
      <c r="D55" s="131">
        <v>0</v>
      </c>
      <c r="E55" s="131">
        <v>16</v>
      </c>
      <c r="F55" s="130">
        <f t="shared" si="0"/>
        <v>-5.9855437342645985E-2</v>
      </c>
      <c r="G55" s="130">
        <f t="shared" si="1"/>
        <v>12.49419087285259</v>
      </c>
      <c r="H55" s="130">
        <f t="shared" si="2"/>
        <v>0.48306676212502297</v>
      </c>
      <c r="I55" s="130">
        <f t="shared" si="4"/>
        <v>-6.0524558893657605E-2</v>
      </c>
      <c r="J55" s="130"/>
      <c r="K55" s="130"/>
      <c r="L55" s="184">
        <v>-5896</v>
      </c>
      <c r="M55" s="178">
        <v>324</v>
      </c>
      <c r="N55" s="185">
        <v>20034</v>
      </c>
      <c r="O55" s="179">
        <v>266783</v>
      </c>
      <c r="P55" s="139">
        <v>98504</v>
      </c>
      <c r="Q55" s="179">
        <f>O55-T55</f>
        <v>137909</v>
      </c>
      <c r="R55" s="179">
        <v>89890</v>
      </c>
      <c r="S55" s="179">
        <v>38984</v>
      </c>
      <c r="T55" s="139">
        <f t="shared" si="7"/>
        <v>128874</v>
      </c>
    </row>
    <row r="56" spans="1:20" ht="17">
      <c r="A56" s="131" t="s">
        <v>26</v>
      </c>
      <c r="B56" s="131" t="s">
        <v>193</v>
      </c>
      <c r="C56" s="131" t="s">
        <v>203</v>
      </c>
      <c r="D56" s="131">
        <v>0</v>
      </c>
      <c r="E56" s="131">
        <v>8</v>
      </c>
      <c r="F56" s="130">
        <f t="shared" si="0"/>
        <v>-0.16499761564139245</v>
      </c>
      <c r="G56" s="130">
        <f t="shared" si="1"/>
        <v>12.322588211619593</v>
      </c>
      <c r="H56" s="130">
        <f t="shared" si="2"/>
        <v>0.59197650357119014</v>
      </c>
      <c r="I56" s="130">
        <f t="shared" si="4"/>
        <v>9.8529284290213535E-3</v>
      </c>
      <c r="J56" s="130"/>
      <c r="K56" s="130"/>
      <c r="L56" s="184">
        <v>-17300</v>
      </c>
      <c r="M56" s="178">
        <v>324</v>
      </c>
      <c r="N56" s="186">
        <v>2307</v>
      </c>
      <c r="O56" s="179">
        <v>224715</v>
      </c>
      <c r="P56" s="179">
        <v>104850</v>
      </c>
      <c r="Q56" s="179">
        <v>112455</v>
      </c>
      <c r="R56" s="179">
        <v>82173</v>
      </c>
      <c r="S56" s="179">
        <v>50853</v>
      </c>
      <c r="T56" s="139">
        <f t="shared" si="7"/>
        <v>133026</v>
      </c>
    </row>
    <row r="57" spans="1:20" ht="17">
      <c r="A57" s="131" t="s">
        <v>26</v>
      </c>
      <c r="B57" s="131" t="s">
        <v>193</v>
      </c>
      <c r="C57" s="131" t="s">
        <v>202</v>
      </c>
      <c r="D57" s="131">
        <v>0</v>
      </c>
      <c r="E57" s="131">
        <v>11</v>
      </c>
      <c r="F57" s="130">
        <f t="shared" si="0"/>
        <v>-0.20078592273686036</v>
      </c>
      <c r="G57" s="130">
        <f t="shared" si="1"/>
        <v>12.639253434426379</v>
      </c>
      <c r="H57" s="130">
        <f t="shared" si="2"/>
        <v>0.55533976805184948</v>
      </c>
      <c r="I57" s="130">
        <f t="shared" si="4"/>
        <v>1.9400889534712473E-2</v>
      </c>
      <c r="J57" s="130"/>
      <c r="K57" s="130"/>
      <c r="L57" s="184">
        <v>-20847</v>
      </c>
      <c r="M57" s="178">
        <v>337</v>
      </c>
      <c r="N57" s="179">
        <v>0</v>
      </c>
      <c r="O57" s="179">
        <v>308431</v>
      </c>
      <c r="P57" s="179">
        <v>103827</v>
      </c>
      <c r="Q57" s="179">
        <v>137147</v>
      </c>
      <c r="R57" s="179">
        <v>102195</v>
      </c>
      <c r="S57" s="179">
        <v>69089</v>
      </c>
      <c r="T57" s="139">
        <f t="shared" si="7"/>
        <v>171284</v>
      </c>
    </row>
    <row r="58" spans="1:20" ht="17">
      <c r="A58" s="131" t="s">
        <v>26</v>
      </c>
      <c r="B58" s="131" t="s">
        <v>193</v>
      </c>
      <c r="C58" s="131" t="s">
        <v>201</v>
      </c>
      <c r="D58" s="131">
        <v>0</v>
      </c>
      <c r="E58" s="131">
        <v>10</v>
      </c>
      <c r="F58" s="130">
        <f t="shared" si="0"/>
        <v>-0.24959008748073166</v>
      </c>
      <c r="G58" s="130">
        <f t="shared" si="1"/>
        <v>12.410974830146356</v>
      </c>
      <c r="H58" s="130">
        <f t="shared" si="2"/>
        <v>0.54189937306756941</v>
      </c>
      <c r="I58" s="130">
        <f t="shared" si="4"/>
        <v>5.4904194717762818E-2</v>
      </c>
      <c r="J58" s="130"/>
      <c r="K58" s="130"/>
      <c r="L58" s="184">
        <v>-25421</v>
      </c>
      <c r="M58" s="178">
        <v>341</v>
      </c>
      <c r="N58" s="179">
        <v>0</v>
      </c>
      <c r="O58" s="179">
        <v>245481</v>
      </c>
      <c r="P58" s="179">
        <v>101851</v>
      </c>
      <c r="Q58" s="179">
        <v>112455</v>
      </c>
      <c r="R58" s="179">
        <v>82173</v>
      </c>
      <c r="S58" s="179">
        <v>50853</v>
      </c>
      <c r="T58" s="139">
        <f t="shared" si="7"/>
        <v>133026</v>
      </c>
    </row>
    <row r="59" spans="1:20">
      <c r="A59" s="131" t="s">
        <v>26</v>
      </c>
      <c r="B59" s="131" t="s">
        <v>193</v>
      </c>
      <c r="C59" s="131" t="s">
        <v>173</v>
      </c>
      <c r="D59" s="131">
        <v>0</v>
      </c>
      <c r="E59" s="131">
        <v>8</v>
      </c>
      <c r="F59" s="130">
        <f t="shared" si="0"/>
        <v>-0.10999482133609528</v>
      </c>
      <c r="G59" s="130">
        <f t="shared" si="1"/>
        <v>7.7437032581737535</v>
      </c>
      <c r="H59" s="130">
        <f t="shared" si="2"/>
        <v>52.583875162548765</v>
      </c>
      <c r="I59" s="130">
        <v>5.9083634469597589E-3</v>
      </c>
      <c r="J59" s="130"/>
      <c r="K59" s="130"/>
      <c r="L59" s="173">
        <v>-10620</v>
      </c>
      <c r="M59" s="131">
        <v>327</v>
      </c>
      <c r="N59" s="139">
        <v>1379</v>
      </c>
      <c r="O59" s="139">
        <v>2307</v>
      </c>
      <c r="P59" s="174">
        <f>96550</f>
        <v>96550</v>
      </c>
      <c r="Q59" s="139">
        <v>103403</v>
      </c>
      <c r="R59" s="139">
        <v>60877</v>
      </c>
      <c r="S59" s="139">
        <v>60434</v>
      </c>
      <c r="T59" s="139">
        <f t="shared" si="7"/>
        <v>121311</v>
      </c>
    </row>
    <row r="60" spans="1:20" ht="17">
      <c r="A60" s="131" t="s">
        <v>27</v>
      </c>
      <c r="B60" s="131" t="s">
        <v>193</v>
      </c>
      <c r="C60" s="131" t="s">
        <v>205</v>
      </c>
      <c r="D60" s="131">
        <v>0</v>
      </c>
      <c r="E60" s="131">
        <v>2</v>
      </c>
      <c r="F60" s="130">
        <f t="shared" si="0"/>
        <v>8.6179020361654188E-2</v>
      </c>
      <c r="G60" s="130">
        <f t="shared" si="1"/>
        <v>13.706203375563934</v>
      </c>
      <c r="H60" s="130">
        <f t="shared" si="2"/>
        <v>0.93785744962100714</v>
      </c>
      <c r="I60" s="130">
        <f t="shared" si="4"/>
        <v>5.8842391304347826E-2</v>
      </c>
      <c r="J60" s="130"/>
      <c r="K60" s="130"/>
      <c r="L60" s="184">
        <v>33580</v>
      </c>
      <c r="M60" s="187">
        <v>964</v>
      </c>
      <c r="N60" s="179">
        <v>41534</v>
      </c>
      <c r="O60" s="179">
        <v>896455</v>
      </c>
      <c r="P60" s="179">
        <v>389654</v>
      </c>
      <c r="Q60" s="187">
        <f>O60-T60</f>
        <v>55708</v>
      </c>
      <c r="R60" s="179">
        <v>95053</v>
      </c>
      <c r="S60" s="179">
        <v>745694</v>
      </c>
      <c r="T60" s="139">
        <f t="shared" si="7"/>
        <v>840747</v>
      </c>
    </row>
    <row r="61" spans="1:20" ht="17">
      <c r="A61" s="131" t="s">
        <v>27</v>
      </c>
      <c r="B61" s="131" t="s">
        <v>193</v>
      </c>
      <c r="C61" s="131" t="s">
        <v>203</v>
      </c>
      <c r="D61" s="131">
        <v>0</v>
      </c>
      <c r="E61" s="131">
        <v>2</v>
      </c>
      <c r="F61" s="130">
        <f t="shared" si="0"/>
        <v>0.12690217391304348</v>
      </c>
      <c r="G61" s="130">
        <f t="shared" si="1"/>
        <v>13.75847660696674</v>
      </c>
      <c r="H61" s="130">
        <f t="shared" si="2"/>
        <v>1.0104630505991137</v>
      </c>
      <c r="I61" s="130">
        <f t="shared" si="4"/>
        <v>2.145896538419903E-2</v>
      </c>
      <c r="J61" s="130"/>
      <c r="K61" s="130"/>
      <c r="L61" s="184">
        <v>46700</v>
      </c>
      <c r="M61" s="187">
        <v>1044</v>
      </c>
      <c r="N61" s="179">
        <v>48543</v>
      </c>
      <c r="O61" s="179">
        <v>944562</v>
      </c>
      <c r="P61" s="179">
        <v>368000</v>
      </c>
      <c r="Q61" s="179">
        <f>O61-T61</f>
        <v>-9883</v>
      </c>
      <c r="R61" s="179">
        <v>539867</v>
      </c>
      <c r="S61" s="179">
        <v>414578</v>
      </c>
      <c r="T61" s="139">
        <f t="shared" si="7"/>
        <v>954445</v>
      </c>
    </row>
    <row r="62" spans="1:20" ht="17">
      <c r="A62" s="131" t="s">
        <v>27</v>
      </c>
      <c r="B62" s="131" t="s">
        <v>193</v>
      </c>
      <c r="C62" s="131" t="s">
        <v>202</v>
      </c>
      <c r="D62" s="131">
        <v>1</v>
      </c>
      <c r="E62" s="131">
        <v>3</v>
      </c>
      <c r="F62" s="130">
        <f t="shared" si="0"/>
        <v>5.0156966044816514E-3</v>
      </c>
      <c r="G62" s="130">
        <f t="shared" si="1"/>
        <v>13.907356562618329</v>
      </c>
      <c r="H62" s="130">
        <f t="shared" si="2"/>
        <v>0.925788818787881</v>
      </c>
      <c r="I62" s="130">
        <f t="shared" si="4"/>
        <v>-7.1377587437544609E-3</v>
      </c>
      <c r="J62" s="130"/>
      <c r="K62" s="130"/>
      <c r="L62" s="184">
        <v>1807</v>
      </c>
      <c r="M62" s="187">
        <v>1061</v>
      </c>
      <c r="N62" s="179">
        <v>56005</v>
      </c>
      <c r="O62" s="179">
        <v>1096196</v>
      </c>
      <c r="P62" s="179">
        <v>360269</v>
      </c>
      <c r="Q62" s="179">
        <v>81349</v>
      </c>
      <c r="R62" s="179">
        <v>517275</v>
      </c>
      <c r="S62" s="179">
        <v>497571</v>
      </c>
      <c r="T62" s="139">
        <f t="shared" si="7"/>
        <v>1014846</v>
      </c>
    </row>
    <row r="63" spans="1:20" ht="17">
      <c r="A63" s="131" t="s">
        <v>27</v>
      </c>
      <c r="B63" s="131" t="s">
        <v>193</v>
      </c>
      <c r="C63" s="131" t="s">
        <v>201</v>
      </c>
      <c r="D63" s="131">
        <v>1</v>
      </c>
      <c r="E63" s="131">
        <v>1</v>
      </c>
      <c r="F63" s="130">
        <f t="shared" si="0"/>
        <v>-0.29589730446261497</v>
      </c>
      <c r="G63" s="130">
        <f t="shared" si="1"/>
        <v>13.78564498867453</v>
      </c>
      <c r="H63" s="130">
        <f t="shared" si="2"/>
        <v>1.0285819966700187</v>
      </c>
      <c r="I63" s="130">
        <f t="shared" si="4"/>
        <v>-0.1528735283337341</v>
      </c>
      <c r="J63" s="130"/>
      <c r="K63" s="130"/>
      <c r="L63" s="184">
        <v>-107369</v>
      </c>
      <c r="M63" s="187">
        <v>1020</v>
      </c>
      <c r="N63" s="179">
        <v>82010</v>
      </c>
      <c r="O63" s="179">
        <v>970576</v>
      </c>
      <c r="P63" s="179">
        <v>362859</v>
      </c>
      <c r="Q63" s="179">
        <v>-27741</v>
      </c>
      <c r="R63" s="179">
        <v>415150</v>
      </c>
      <c r="S63" s="179">
        <v>583167</v>
      </c>
      <c r="T63" s="139">
        <f t="shared" si="7"/>
        <v>998317</v>
      </c>
    </row>
    <row r="64" spans="1:20" ht="17">
      <c r="A64" s="131" t="s">
        <v>27</v>
      </c>
      <c r="B64" s="131" t="s">
        <v>193</v>
      </c>
      <c r="C64" s="131" t="s">
        <v>173</v>
      </c>
      <c r="D64" s="131">
        <v>0</v>
      </c>
      <c r="E64" s="131">
        <v>3</v>
      </c>
      <c r="F64" s="130">
        <f t="shared" si="0"/>
        <v>-5.8775601681837604E-2</v>
      </c>
      <c r="G64" s="130">
        <f t="shared" si="1"/>
        <v>13.80624879999038</v>
      </c>
      <c r="H64" s="130">
        <f t="shared" si="2"/>
        <v>0.93085252946917629</v>
      </c>
      <c r="I64" s="130">
        <v>-1.9927482597235428E-2</v>
      </c>
      <c r="J64" s="130"/>
      <c r="K64" s="130"/>
      <c r="L64" s="184">
        <v>-25176</v>
      </c>
      <c r="M64" s="187">
        <v>1193</v>
      </c>
      <c r="N64" s="179">
        <v>49911</v>
      </c>
      <c r="O64" s="179">
        <v>990781</v>
      </c>
      <c r="P64" s="179">
        <v>428341</v>
      </c>
      <c r="Q64" s="179">
        <v>68510</v>
      </c>
      <c r="R64" s="179">
        <v>541190</v>
      </c>
      <c r="S64" s="179">
        <v>381081</v>
      </c>
      <c r="T64" s="139">
        <f t="shared" si="7"/>
        <v>922271</v>
      </c>
    </row>
    <row r="65" spans="1:20" ht="17">
      <c r="A65" s="131" t="s">
        <v>28</v>
      </c>
      <c r="B65" s="131" t="s">
        <v>193</v>
      </c>
      <c r="C65" s="131" t="s">
        <v>205</v>
      </c>
      <c r="D65" s="131">
        <v>0</v>
      </c>
      <c r="E65" s="131">
        <v>1</v>
      </c>
      <c r="F65" s="130">
        <f t="shared" si="0"/>
        <v>1.7912925705048387E-2</v>
      </c>
      <c r="G65" s="130">
        <f t="shared" si="1"/>
        <v>13.779442868802397</v>
      </c>
      <c r="H65" s="130">
        <f t="shared" si="2"/>
        <v>0.7257279112562528</v>
      </c>
      <c r="I65" s="130">
        <f t="shared" si="4"/>
        <v>-0.14051053133702038</v>
      </c>
      <c r="J65" s="130"/>
      <c r="K65" s="130"/>
      <c r="L65" s="184">
        <v>13120</v>
      </c>
      <c r="M65" s="187">
        <v>1194</v>
      </c>
      <c r="N65" s="179">
        <v>148434</v>
      </c>
      <c r="O65" s="179">
        <v>964575</v>
      </c>
      <c r="P65" s="179">
        <v>732432</v>
      </c>
      <c r="Q65" s="179">
        <f>P65-T65</f>
        <v>32413</v>
      </c>
      <c r="R65" s="179">
        <v>454343</v>
      </c>
      <c r="S65" s="179">
        <v>245676</v>
      </c>
      <c r="T65" s="139">
        <f t="shared" si="7"/>
        <v>700019</v>
      </c>
    </row>
    <row r="66" spans="1:20" ht="17">
      <c r="A66" s="131" t="s">
        <v>28</v>
      </c>
      <c r="B66" s="131" t="s">
        <v>193</v>
      </c>
      <c r="C66" s="131" t="s">
        <v>203</v>
      </c>
      <c r="D66" s="131">
        <v>0</v>
      </c>
      <c r="E66" s="131">
        <v>1</v>
      </c>
      <c r="F66" s="130">
        <f t="shared" ref="F66:F129" si="8">L66/P66</f>
        <v>5.3123140778083269E-3</v>
      </c>
      <c r="G66" s="130">
        <f t="shared" ref="G66:G129" si="9">LN(O66)</f>
        <v>14.122258221461852</v>
      </c>
      <c r="H66" s="130">
        <f t="shared" ref="H66:H129" si="10">T66/O66</f>
        <v>0.90242296162319591</v>
      </c>
      <c r="I66" s="130">
        <f t="shared" si="4"/>
        <v>0.16930691303172549</v>
      </c>
      <c r="J66" s="130"/>
      <c r="K66" s="130"/>
      <c r="L66" s="184">
        <v>4527</v>
      </c>
      <c r="M66" s="187">
        <v>1338</v>
      </c>
      <c r="N66" s="179">
        <v>11935</v>
      </c>
      <c r="O66" s="179">
        <v>1358998</v>
      </c>
      <c r="P66" s="179">
        <v>852171</v>
      </c>
      <c r="Q66" s="179">
        <v>132607</v>
      </c>
      <c r="R66" s="179">
        <v>539226</v>
      </c>
      <c r="S66" s="179">
        <v>687165</v>
      </c>
      <c r="T66" s="139">
        <f t="shared" si="7"/>
        <v>1226391</v>
      </c>
    </row>
    <row r="67" spans="1:20" ht="17">
      <c r="A67" s="131" t="s">
        <v>28</v>
      </c>
      <c r="B67" s="131" t="s">
        <v>193</v>
      </c>
      <c r="C67" s="131" t="s">
        <v>202</v>
      </c>
      <c r="D67" s="131">
        <v>0</v>
      </c>
      <c r="E67" s="131">
        <v>2</v>
      </c>
      <c r="F67" s="130">
        <f t="shared" si="8"/>
        <v>-0.1335637631503479</v>
      </c>
      <c r="G67" s="130">
        <f t="shared" si="9"/>
        <v>14.203508669067048</v>
      </c>
      <c r="H67" s="130">
        <f t="shared" si="10"/>
        <v>0.97612865978710028</v>
      </c>
      <c r="I67" s="130">
        <f t="shared" ref="I67:I129" si="11">IF(A67=A68, (P67-P68)/P68, "")</f>
        <v>0.23485496723864197</v>
      </c>
      <c r="J67" s="130"/>
      <c r="K67" s="130"/>
      <c r="L67" s="184">
        <v>-97339</v>
      </c>
      <c r="M67" s="187">
        <v>1412</v>
      </c>
      <c r="N67" s="179">
        <v>268474</v>
      </c>
      <c r="O67" s="179">
        <v>1474027</v>
      </c>
      <c r="P67" s="179">
        <v>728783</v>
      </c>
      <c r="Q67" s="179">
        <v>35187</v>
      </c>
      <c r="R67" s="179">
        <v>468491</v>
      </c>
      <c r="S67" s="179">
        <v>970349</v>
      </c>
      <c r="T67" s="139">
        <f t="shared" si="7"/>
        <v>1438840</v>
      </c>
    </row>
    <row r="68" spans="1:20" ht="17">
      <c r="A68" s="131" t="s">
        <v>28</v>
      </c>
      <c r="B68" s="131" t="s">
        <v>193</v>
      </c>
      <c r="C68" s="131" t="s">
        <v>201</v>
      </c>
      <c r="D68" s="131">
        <v>0</v>
      </c>
      <c r="E68" s="131">
        <v>3</v>
      </c>
      <c r="F68" s="130">
        <f t="shared" si="8"/>
        <v>-0.81554855577225138</v>
      </c>
      <c r="G68" s="130">
        <f t="shared" si="9"/>
        <v>13.845989325257689</v>
      </c>
      <c r="H68" s="130">
        <f t="shared" si="10"/>
        <v>1.4372014883388882</v>
      </c>
      <c r="I68" s="130">
        <f t="shared" si="11"/>
        <v>-7.6171110672815331E-2</v>
      </c>
      <c r="J68" s="130"/>
      <c r="K68" s="130"/>
      <c r="L68" s="184">
        <v>-481318</v>
      </c>
      <c r="M68" s="187">
        <v>1289</v>
      </c>
      <c r="N68" s="179">
        <v>188172</v>
      </c>
      <c r="O68" s="179">
        <v>1030948</v>
      </c>
      <c r="P68" s="179">
        <v>590177</v>
      </c>
      <c r="Q68" s="179">
        <v>-450732</v>
      </c>
      <c r="R68" s="179">
        <v>669060</v>
      </c>
      <c r="S68" s="179">
        <v>812620</v>
      </c>
      <c r="T68" s="139">
        <f t="shared" si="7"/>
        <v>1481680</v>
      </c>
    </row>
    <row r="69" spans="1:20" ht="17">
      <c r="A69" s="131" t="s">
        <v>28</v>
      </c>
      <c r="B69" s="131" t="s">
        <v>193</v>
      </c>
      <c r="C69" s="131" t="s">
        <v>173</v>
      </c>
      <c r="D69" s="131">
        <v>1</v>
      </c>
      <c r="E69" s="131">
        <v>2</v>
      </c>
      <c r="F69" s="130">
        <f t="shared" si="8"/>
        <v>0.15274138357455255</v>
      </c>
      <c r="G69" s="130">
        <f t="shared" si="9"/>
        <v>14.153129993444031</v>
      </c>
      <c r="H69" s="130">
        <f t="shared" si="10"/>
        <v>1.2520057334188541</v>
      </c>
      <c r="I69" s="130">
        <v>4.6870059565132932E-2</v>
      </c>
      <c r="J69" s="130"/>
      <c r="K69" s="130"/>
      <c r="L69" s="184">
        <v>97577</v>
      </c>
      <c r="M69" s="187">
        <v>1392</v>
      </c>
      <c r="N69" s="179">
        <v>175306</v>
      </c>
      <c r="O69" s="179">
        <v>1401607</v>
      </c>
      <c r="P69" s="179">
        <v>638838</v>
      </c>
      <c r="Q69" s="179">
        <v>-353213</v>
      </c>
      <c r="R69" s="179">
        <v>914154</v>
      </c>
      <c r="S69" s="179">
        <v>840666</v>
      </c>
      <c r="T69" s="139">
        <f t="shared" si="7"/>
        <v>1754820</v>
      </c>
    </row>
    <row r="70" spans="1:20" ht="18">
      <c r="A70" s="133" t="s">
        <v>29</v>
      </c>
      <c r="B70" s="133" t="s">
        <v>199</v>
      </c>
      <c r="C70" s="133" t="s">
        <v>203</v>
      </c>
      <c r="D70" s="133">
        <v>0</v>
      </c>
      <c r="E70" s="133">
        <v>17</v>
      </c>
      <c r="F70" s="130">
        <f t="shared" si="8"/>
        <v>-1.1273348255634454</v>
      </c>
      <c r="G70" s="130">
        <f t="shared" si="9"/>
        <v>11.936505502503564</v>
      </c>
      <c r="H70" s="130">
        <f t="shared" si="10"/>
        <v>0.98397297403464667</v>
      </c>
      <c r="I70" s="130">
        <f t="shared" si="11"/>
        <v>-2.9930928626247123E-2</v>
      </c>
      <c r="J70" s="130"/>
      <c r="K70" s="130"/>
      <c r="L70" s="183">
        <v>-58423</v>
      </c>
      <c r="M70" s="169"/>
      <c r="N70" s="175">
        <v>51276</v>
      </c>
      <c r="O70" s="175">
        <v>152742</v>
      </c>
      <c r="P70" s="175">
        <v>51824</v>
      </c>
      <c r="Q70" s="175">
        <f>O70-T70</f>
        <v>2448</v>
      </c>
      <c r="R70" s="175"/>
      <c r="S70" s="175"/>
      <c r="T70" s="175">
        <v>150294</v>
      </c>
    </row>
    <row r="71" spans="1:20" ht="18">
      <c r="A71" s="133" t="s">
        <v>29</v>
      </c>
      <c r="B71" s="133" t="s">
        <v>199</v>
      </c>
      <c r="C71" s="133" t="s">
        <v>201</v>
      </c>
      <c r="D71" s="133">
        <v>0</v>
      </c>
      <c r="E71" s="133">
        <v>18</v>
      </c>
      <c r="F71" s="130">
        <f t="shared" si="8"/>
        <v>-0.15991239728206952</v>
      </c>
      <c r="G71" s="130">
        <f t="shared" si="9"/>
        <v>11.838286196836723</v>
      </c>
      <c r="H71" s="130">
        <f t="shared" si="10"/>
        <v>1.0043697139101355</v>
      </c>
      <c r="I71" s="130">
        <v>8.5423190999999996E-2</v>
      </c>
      <c r="J71" s="130"/>
      <c r="K71" s="130"/>
      <c r="L71" s="183">
        <v>-8543</v>
      </c>
      <c r="M71" s="180"/>
      <c r="N71" s="52">
        <v>58276</v>
      </c>
      <c r="O71" s="52">
        <v>138453</v>
      </c>
      <c r="P71" s="52">
        <v>53423</v>
      </c>
      <c r="Q71" s="52">
        <f>O71-T71</f>
        <v>-605</v>
      </c>
      <c r="R71" s="52"/>
      <c r="S71" s="52"/>
      <c r="T71" s="52">
        <v>139058</v>
      </c>
    </row>
    <row r="72" spans="1:20" ht="17">
      <c r="A72" s="133" t="s">
        <v>31</v>
      </c>
      <c r="B72" s="133" t="s">
        <v>199</v>
      </c>
      <c r="C72" s="133" t="s">
        <v>205</v>
      </c>
      <c r="D72" s="133">
        <v>1</v>
      </c>
      <c r="E72" s="133">
        <v>4</v>
      </c>
      <c r="F72" s="130">
        <f t="shared" si="8"/>
        <v>1.1037680357081071E-2</v>
      </c>
      <c r="G72" s="130">
        <f t="shared" si="9"/>
        <v>12.10903297101169</v>
      </c>
      <c r="H72" s="130">
        <f t="shared" si="10"/>
        <v>1.5342086124823695</v>
      </c>
      <c r="I72" s="130">
        <f t="shared" si="11"/>
        <v>0.62727801655374338</v>
      </c>
      <c r="J72" s="130"/>
      <c r="K72" s="130"/>
      <c r="L72" s="176">
        <v>1914</v>
      </c>
      <c r="M72" s="169">
        <v>345</v>
      </c>
      <c r="N72" s="175">
        <v>88552</v>
      </c>
      <c r="O72" s="175">
        <v>181504</v>
      </c>
      <c r="P72" s="175">
        <v>173406</v>
      </c>
      <c r="Q72" s="175">
        <v>-96961</v>
      </c>
      <c r="R72" s="175">
        <v>81897</v>
      </c>
      <c r="S72" s="175">
        <v>196568</v>
      </c>
      <c r="T72" s="52">
        <f t="shared" ref="T72:T95" si="12">R72+S72</f>
        <v>278465</v>
      </c>
    </row>
    <row r="73" spans="1:20" ht="17">
      <c r="A73" s="133" t="s">
        <v>31</v>
      </c>
      <c r="B73" s="133" t="s">
        <v>199</v>
      </c>
      <c r="C73" s="133" t="s">
        <v>203</v>
      </c>
      <c r="D73" s="133">
        <v>1</v>
      </c>
      <c r="E73" s="133">
        <v>3</v>
      </c>
      <c r="F73" s="130">
        <f t="shared" si="8"/>
        <v>-0.43393517388937897</v>
      </c>
      <c r="G73" s="130">
        <f t="shared" si="9"/>
        <v>12.067643564500559</v>
      </c>
      <c r="H73" s="130">
        <f t="shared" si="10"/>
        <v>1.7080306641017542</v>
      </c>
      <c r="I73" s="130">
        <f t="shared" si="11"/>
        <v>0.62221985416127512</v>
      </c>
      <c r="J73" s="130"/>
      <c r="K73" s="130"/>
      <c r="L73" s="176">
        <v>-46241</v>
      </c>
      <c r="M73" s="169">
        <v>344</v>
      </c>
      <c r="N73" s="175">
        <v>151295</v>
      </c>
      <c r="O73" s="175">
        <v>174145</v>
      </c>
      <c r="P73" s="175">
        <v>106562</v>
      </c>
      <c r="Q73" s="175">
        <v>-123300</v>
      </c>
      <c r="R73" s="175">
        <v>54089</v>
      </c>
      <c r="S73" s="175">
        <v>243356</v>
      </c>
      <c r="T73" s="52">
        <f t="shared" si="12"/>
        <v>297445</v>
      </c>
    </row>
    <row r="74" spans="1:20" ht="17">
      <c r="A74" s="133" t="s">
        <v>31</v>
      </c>
      <c r="B74" s="133" t="s">
        <v>199</v>
      </c>
      <c r="C74" s="133" t="s">
        <v>202</v>
      </c>
      <c r="D74" s="133">
        <v>1</v>
      </c>
      <c r="E74" s="133">
        <v>3</v>
      </c>
      <c r="F74" s="130">
        <f t="shared" si="8"/>
        <v>-0.95754235869019166</v>
      </c>
      <c r="G74" s="130">
        <f t="shared" si="9"/>
        <v>12.131349099334237</v>
      </c>
      <c r="H74" s="130">
        <f t="shared" si="10"/>
        <v>1.9171821120689656</v>
      </c>
      <c r="I74" s="130">
        <f t="shared" si="11"/>
        <v>0.27314132878517716</v>
      </c>
      <c r="J74" s="130"/>
      <c r="K74" s="130"/>
      <c r="L74" s="176">
        <v>-62900</v>
      </c>
      <c r="M74" s="169">
        <v>286</v>
      </c>
      <c r="N74" s="175">
        <v>42062</v>
      </c>
      <c r="O74" s="175">
        <v>185600</v>
      </c>
      <c r="P74" s="175">
        <v>65689</v>
      </c>
      <c r="Q74" s="175">
        <v>-170229</v>
      </c>
      <c r="R74" s="175">
        <v>200417</v>
      </c>
      <c r="S74" s="175">
        <v>155412</v>
      </c>
      <c r="T74" s="175">
        <f t="shared" si="12"/>
        <v>355829</v>
      </c>
    </row>
    <row r="75" spans="1:20" ht="18">
      <c r="A75" s="133" t="s">
        <v>31</v>
      </c>
      <c r="B75" s="133" t="s">
        <v>199</v>
      </c>
      <c r="C75" s="133" t="s">
        <v>201</v>
      </c>
      <c r="D75" s="133">
        <v>0</v>
      </c>
      <c r="E75" s="133">
        <v>1</v>
      </c>
      <c r="F75" s="130">
        <f t="shared" si="8"/>
        <v>-0.74098767346305916</v>
      </c>
      <c r="G75" s="130">
        <f t="shared" si="9"/>
        <v>12.247104218087419</v>
      </c>
      <c r="H75" s="130">
        <f t="shared" si="10"/>
        <v>1.7778929536369177</v>
      </c>
      <c r="I75" s="130">
        <f t="shared" si="11"/>
        <v>-0.20827387254676302</v>
      </c>
      <c r="J75" s="130"/>
      <c r="K75" s="130"/>
      <c r="L75" s="176">
        <v>-38232</v>
      </c>
      <c r="M75" s="169">
        <v>265</v>
      </c>
      <c r="N75" s="175">
        <v>19</v>
      </c>
      <c r="O75" s="175">
        <v>208377</v>
      </c>
      <c r="P75" s="175">
        <v>51596</v>
      </c>
      <c r="Q75" s="175">
        <v>-162095</v>
      </c>
      <c r="R75" s="175">
        <v>291339</v>
      </c>
      <c r="S75" s="175">
        <v>79133</v>
      </c>
      <c r="T75" s="188">
        <f t="shared" si="12"/>
        <v>370472</v>
      </c>
    </row>
    <row r="76" spans="1:20" ht="17">
      <c r="A76" s="133" t="s">
        <v>31</v>
      </c>
      <c r="B76" s="133" t="s">
        <v>199</v>
      </c>
      <c r="C76" s="133" t="s">
        <v>173</v>
      </c>
      <c r="D76" s="133">
        <v>1</v>
      </c>
      <c r="E76" s="133">
        <v>6</v>
      </c>
      <c r="F76" s="130">
        <f t="shared" si="8"/>
        <v>-0.62721539382221614</v>
      </c>
      <c r="G76" s="130">
        <f t="shared" si="9"/>
        <v>11.815308940274901</v>
      </c>
      <c r="H76" s="130">
        <f t="shared" si="10"/>
        <v>2.0168504449108702</v>
      </c>
      <c r="I76" s="130">
        <v>0.32859133173835819</v>
      </c>
      <c r="J76" s="130"/>
      <c r="K76" s="130"/>
      <c r="L76" s="176">
        <v>-40875</v>
      </c>
      <c r="M76" s="169">
        <v>344</v>
      </c>
      <c r="N76" s="175">
        <v>9533</v>
      </c>
      <c r="O76" s="175">
        <v>135308</v>
      </c>
      <c r="P76" s="175">
        <v>65169</v>
      </c>
      <c r="Q76" s="175">
        <v>-137588</v>
      </c>
      <c r="R76" s="175">
        <v>204231</v>
      </c>
      <c r="S76" s="175">
        <v>68665</v>
      </c>
      <c r="T76" s="52">
        <f t="shared" si="12"/>
        <v>272896</v>
      </c>
    </row>
    <row r="77" spans="1:20" ht="17">
      <c r="A77" s="132" t="s">
        <v>32</v>
      </c>
      <c r="B77" s="132" t="s">
        <v>198</v>
      </c>
      <c r="C77" s="132" t="s">
        <v>205</v>
      </c>
      <c r="D77" s="132">
        <v>0</v>
      </c>
      <c r="E77" s="132">
        <v>15</v>
      </c>
      <c r="F77" s="130">
        <f t="shared" si="8"/>
        <v>-5.1920486990249419E-2</v>
      </c>
      <c r="G77" s="130">
        <f t="shared" si="9"/>
        <v>11.66899715561698</v>
      </c>
      <c r="H77" s="130">
        <f t="shared" si="10"/>
        <v>0.73926991812885512</v>
      </c>
      <c r="I77" s="130">
        <f t="shared" si="11"/>
        <v>0.1438871087010106</v>
      </c>
      <c r="J77" s="130"/>
      <c r="K77" s="130"/>
      <c r="L77" s="166">
        <v>-4819</v>
      </c>
      <c r="M77" s="167">
        <v>172</v>
      </c>
      <c r="N77" s="168">
        <v>9819</v>
      </c>
      <c r="O77" s="168">
        <v>116891</v>
      </c>
      <c r="P77" s="168">
        <v>92815</v>
      </c>
      <c r="Q77" s="168">
        <v>30477</v>
      </c>
      <c r="R77" s="168">
        <v>31422</v>
      </c>
      <c r="S77" s="168">
        <v>54992</v>
      </c>
      <c r="T77" s="156">
        <f t="shared" si="12"/>
        <v>86414</v>
      </c>
    </row>
    <row r="78" spans="1:20" ht="17">
      <c r="A78" s="132" t="s">
        <v>32</v>
      </c>
      <c r="B78" s="132" t="s">
        <v>198</v>
      </c>
      <c r="C78" s="132" t="s">
        <v>203</v>
      </c>
      <c r="D78" s="132">
        <v>0</v>
      </c>
      <c r="E78" s="132">
        <v>10</v>
      </c>
      <c r="F78" s="130">
        <f t="shared" si="8"/>
        <v>-0.26763618437268916</v>
      </c>
      <c r="G78" s="130">
        <f t="shared" si="9"/>
        <v>11.880785620547261</v>
      </c>
      <c r="H78" s="130">
        <f t="shared" si="10"/>
        <v>0.81823845387086058</v>
      </c>
      <c r="I78" s="130">
        <f t="shared" si="11"/>
        <v>0.12708533011070827</v>
      </c>
      <c r="J78" s="130"/>
      <c r="K78" s="130"/>
      <c r="L78" s="166">
        <v>-21716</v>
      </c>
      <c r="M78" s="167">
        <v>200</v>
      </c>
      <c r="N78" s="168">
        <v>14482</v>
      </c>
      <c r="O78" s="168">
        <v>144464</v>
      </c>
      <c r="P78" s="168">
        <v>81140</v>
      </c>
      <c r="Q78" s="168">
        <v>26257</v>
      </c>
      <c r="R78" s="168">
        <v>40899</v>
      </c>
      <c r="S78" s="168">
        <v>77307</v>
      </c>
      <c r="T78" s="156">
        <f t="shared" si="12"/>
        <v>118206</v>
      </c>
    </row>
    <row r="79" spans="1:20" ht="17">
      <c r="A79" s="132" t="s">
        <v>32</v>
      </c>
      <c r="B79" s="132" t="s">
        <v>198</v>
      </c>
      <c r="C79" s="132" t="s">
        <v>202</v>
      </c>
      <c r="D79" s="132">
        <v>0</v>
      </c>
      <c r="E79" s="132">
        <v>12</v>
      </c>
      <c r="F79" s="130">
        <f t="shared" si="8"/>
        <v>-0.54892972732702694</v>
      </c>
      <c r="G79" s="130">
        <f t="shared" si="9"/>
        <v>11.830629824470885</v>
      </c>
      <c r="H79" s="130">
        <f t="shared" si="10"/>
        <v>0.78142171954263917</v>
      </c>
      <c r="I79" s="130">
        <f t="shared" si="11"/>
        <v>-9.848978160689241E-2</v>
      </c>
      <c r="J79" s="130"/>
      <c r="K79" s="130"/>
      <c r="L79" s="166">
        <v>-39518</v>
      </c>
      <c r="M79" s="167">
        <v>198</v>
      </c>
      <c r="N79" s="168">
        <v>8416</v>
      </c>
      <c r="O79" s="168">
        <v>137397</v>
      </c>
      <c r="P79" s="168">
        <v>71991</v>
      </c>
      <c r="Q79" s="168">
        <v>30032</v>
      </c>
      <c r="R79" s="168">
        <v>25010</v>
      </c>
      <c r="S79" s="168">
        <v>82355</v>
      </c>
      <c r="T79" s="156">
        <f t="shared" si="12"/>
        <v>107365</v>
      </c>
    </row>
    <row r="80" spans="1:20" ht="17">
      <c r="A80" s="132" t="s">
        <v>32</v>
      </c>
      <c r="B80" s="132" t="s">
        <v>198</v>
      </c>
      <c r="C80" s="132" t="s">
        <v>201</v>
      </c>
      <c r="D80" s="132">
        <v>0</v>
      </c>
      <c r="E80" s="132">
        <v>12</v>
      </c>
      <c r="F80" s="130">
        <f t="shared" si="8"/>
        <v>-0.38627028651572831</v>
      </c>
      <c r="G80" s="130">
        <f t="shared" si="9"/>
        <v>11.707488455408749</v>
      </c>
      <c r="H80" s="130">
        <f t="shared" si="10"/>
        <v>0.8671529001136008</v>
      </c>
      <c r="I80" s="130">
        <f t="shared" si="11"/>
        <v>-6.5190345857178405E-3</v>
      </c>
      <c r="J80" s="130"/>
      <c r="K80" s="130"/>
      <c r="L80" s="166">
        <v>-30846</v>
      </c>
      <c r="M80" s="167">
        <v>183</v>
      </c>
      <c r="N80" s="168">
        <v>6528</v>
      </c>
      <c r="O80" s="168">
        <v>121478</v>
      </c>
      <c r="P80" s="168">
        <v>79856</v>
      </c>
      <c r="Q80" s="168">
        <v>16139</v>
      </c>
      <c r="R80" s="168">
        <v>27562</v>
      </c>
      <c r="S80" s="168">
        <v>77778</v>
      </c>
      <c r="T80" s="156">
        <f t="shared" si="12"/>
        <v>105340</v>
      </c>
    </row>
    <row r="81" spans="1:20" ht="17">
      <c r="A81" s="132" t="s">
        <v>32</v>
      </c>
      <c r="B81" s="132" t="s">
        <v>198</v>
      </c>
      <c r="C81" s="132" t="s">
        <v>173</v>
      </c>
      <c r="D81" s="132">
        <v>0</v>
      </c>
      <c r="E81" s="132">
        <v>13</v>
      </c>
      <c r="F81" s="130">
        <f t="shared" si="8"/>
        <v>-0.58091565065936801</v>
      </c>
      <c r="G81" s="130">
        <f t="shared" si="9"/>
        <v>11.611493967036091</v>
      </c>
      <c r="H81" s="130">
        <f t="shared" si="10"/>
        <v>0.91529462934604333</v>
      </c>
      <c r="I81" s="130">
        <v>4.1490905654777144E-2</v>
      </c>
      <c r="J81" s="130"/>
      <c r="K81" s="130"/>
      <c r="L81" s="166">
        <v>-46694</v>
      </c>
      <c r="M81" s="167">
        <v>204</v>
      </c>
      <c r="N81" s="168">
        <v>4342</v>
      </c>
      <c r="O81" s="168">
        <v>110359</v>
      </c>
      <c r="P81" s="168">
        <v>80380</v>
      </c>
      <c r="Q81" s="168">
        <v>9348</v>
      </c>
      <c r="R81" s="168">
        <v>36212</v>
      </c>
      <c r="S81" s="168">
        <v>64799</v>
      </c>
      <c r="T81" s="156">
        <f t="shared" si="12"/>
        <v>101011</v>
      </c>
    </row>
    <row r="82" spans="1:20" ht="17">
      <c r="A82" s="130" t="s">
        <v>33</v>
      </c>
      <c r="B82" s="130" t="s">
        <v>172</v>
      </c>
      <c r="C82" s="130" t="s">
        <v>205</v>
      </c>
      <c r="D82" s="130">
        <v>0</v>
      </c>
      <c r="E82" s="130">
        <v>12</v>
      </c>
      <c r="F82" s="130">
        <f t="shared" si="8"/>
        <v>-7.8228694730129542E-2</v>
      </c>
      <c r="G82" s="130">
        <f t="shared" si="9"/>
        <v>11.675979251406526</v>
      </c>
      <c r="H82" s="130">
        <f t="shared" si="10"/>
        <v>1.3210092600458754</v>
      </c>
      <c r="I82" s="130">
        <f t="shared" si="11"/>
        <v>2.8421309500205896E-2</v>
      </c>
      <c r="J82" s="130"/>
      <c r="K82" s="130"/>
      <c r="L82" s="170">
        <v>-10550</v>
      </c>
      <c r="M82" s="171">
        <v>582</v>
      </c>
      <c r="N82" s="172">
        <v>16700</v>
      </c>
      <c r="O82" s="172">
        <v>117710</v>
      </c>
      <c r="P82" s="172">
        <v>134861</v>
      </c>
      <c r="Q82" s="172">
        <v>-37801</v>
      </c>
      <c r="R82" s="172">
        <v>32644</v>
      </c>
      <c r="S82" s="172">
        <v>122852</v>
      </c>
      <c r="T82" s="148">
        <f t="shared" si="12"/>
        <v>155496</v>
      </c>
    </row>
    <row r="83" spans="1:20" ht="17">
      <c r="A83" s="130" t="s">
        <v>33</v>
      </c>
      <c r="B83" s="130" t="s">
        <v>172</v>
      </c>
      <c r="C83" s="130" t="s">
        <v>203</v>
      </c>
      <c r="D83" s="130">
        <v>0</v>
      </c>
      <c r="E83" s="130">
        <v>14</v>
      </c>
      <c r="F83" s="130">
        <f t="shared" si="8"/>
        <v>-0.24723565208107737</v>
      </c>
      <c r="G83" s="130">
        <f t="shared" si="9"/>
        <v>12.022522334126382</v>
      </c>
      <c r="H83" s="130">
        <f t="shared" si="10"/>
        <v>1.3517859931996492</v>
      </c>
      <c r="I83" s="130">
        <f t="shared" si="11"/>
        <v>0.37485846089326902</v>
      </c>
      <c r="J83" s="130"/>
      <c r="K83" s="130"/>
      <c r="L83" s="170">
        <v>-32421</v>
      </c>
      <c r="M83" s="171">
        <v>621</v>
      </c>
      <c r="N83" s="172">
        <v>39600</v>
      </c>
      <c r="O83" s="172">
        <v>166462</v>
      </c>
      <c r="P83" s="172">
        <v>131134</v>
      </c>
      <c r="Q83" s="172">
        <v>-58686</v>
      </c>
      <c r="R83" s="172">
        <v>120739</v>
      </c>
      <c r="S83" s="172">
        <v>104282</v>
      </c>
      <c r="T83" s="148">
        <f t="shared" si="12"/>
        <v>225021</v>
      </c>
    </row>
    <row r="84" spans="1:20">
      <c r="A84" s="130" t="s">
        <v>33</v>
      </c>
      <c r="B84" s="130" t="s">
        <v>172</v>
      </c>
      <c r="C84" s="130" t="s">
        <v>202</v>
      </c>
      <c r="D84" s="130">
        <v>0</v>
      </c>
      <c r="E84" s="130">
        <v>18</v>
      </c>
      <c r="F84" s="130">
        <f t="shared" si="8"/>
        <v>-0.63000629062696578</v>
      </c>
      <c r="G84" s="130">
        <f t="shared" si="9"/>
        <v>12.022858690667483</v>
      </c>
      <c r="H84" s="130">
        <f t="shared" si="10"/>
        <v>1.7078453980951007</v>
      </c>
      <c r="I84" s="130">
        <v>0.20163988519673745</v>
      </c>
      <c r="J84" s="130"/>
      <c r="K84" s="130"/>
      <c r="L84" s="154">
        <v>-60090</v>
      </c>
      <c r="M84" s="130">
        <v>622</v>
      </c>
      <c r="N84" s="148">
        <v>36625</v>
      </c>
      <c r="O84" s="148">
        <v>166518</v>
      </c>
      <c r="P84" s="130">
        <v>95380</v>
      </c>
      <c r="Q84" s="148">
        <v>-117964</v>
      </c>
      <c r="R84" s="148">
        <v>72634</v>
      </c>
      <c r="S84" s="148">
        <v>211753</v>
      </c>
      <c r="T84" s="148">
        <f t="shared" si="12"/>
        <v>284387</v>
      </c>
    </row>
    <row r="85" spans="1:20">
      <c r="A85" s="130" t="s">
        <v>34</v>
      </c>
      <c r="B85" s="130" t="s">
        <v>172</v>
      </c>
      <c r="C85" s="130" t="s">
        <v>173</v>
      </c>
      <c r="D85" s="130">
        <v>0</v>
      </c>
      <c r="E85" s="130">
        <v>13</v>
      </c>
      <c r="F85" s="130">
        <f t="shared" si="8"/>
        <v>0.18214690090945615</v>
      </c>
      <c r="G85" s="130">
        <f t="shared" si="9"/>
        <v>12.236616399440733</v>
      </c>
      <c r="H85" s="130">
        <f t="shared" si="10"/>
        <v>0.732671202649816</v>
      </c>
      <c r="I85" s="130">
        <v>0.15903133999999999</v>
      </c>
      <c r="J85" s="130"/>
      <c r="K85" s="130"/>
      <c r="L85" s="154">
        <v>29922</v>
      </c>
      <c r="M85" s="130">
        <v>190</v>
      </c>
      <c r="N85" s="148">
        <v>27324</v>
      </c>
      <c r="O85" s="148">
        <v>206203</v>
      </c>
      <c r="P85" s="148">
        <v>164274</v>
      </c>
      <c r="Q85" s="148">
        <v>55124</v>
      </c>
      <c r="R85" s="148">
        <v>72809</v>
      </c>
      <c r="S85" s="148">
        <v>78270</v>
      </c>
      <c r="T85" s="148">
        <f t="shared" si="12"/>
        <v>151079</v>
      </c>
    </row>
    <row r="86" spans="1:20" ht="17">
      <c r="A86" s="130" t="s">
        <v>36</v>
      </c>
      <c r="B86" s="130" t="s">
        <v>172</v>
      </c>
      <c r="C86" s="130" t="s">
        <v>205</v>
      </c>
      <c r="D86" s="130">
        <v>0</v>
      </c>
      <c r="E86" s="130">
        <v>15</v>
      </c>
      <c r="F86" s="130">
        <f t="shared" si="8"/>
        <v>0.1218765740663993</v>
      </c>
      <c r="G86" s="130">
        <f t="shared" si="9"/>
        <v>11.654563906488647</v>
      </c>
      <c r="H86" s="130">
        <f t="shared" si="10"/>
        <v>2.0797545479794475</v>
      </c>
      <c r="I86" s="130">
        <f t="shared" si="11"/>
        <v>-1.7157861095270621E-2</v>
      </c>
      <c r="J86" s="130"/>
      <c r="K86" s="130"/>
      <c r="L86" s="170">
        <v>19115</v>
      </c>
      <c r="M86" s="171">
        <v>294</v>
      </c>
      <c r="N86" s="172">
        <v>180048</v>
      </c>
      <c r="O86" s="172">
        <v>115216</v>
      </c>
      <c r="P86" s="172">
        <v>156839</v>
      </c>
      <c r="Q86" s="172">
        <v>-124405</v>
      </c>
      <c r="R86" s="172">
        <v>10241</v>
      </c>
      <c r="S86" s="172">
        <v>229380</v>
      </c>
      <c r="T86" s="148">
        <f t="shared" si="12"/>
        <v>239621</v>
      </c>
    </row>
    <row r="87" spans="1:20" ht="17">
      <c r="A87" s="130" t="s">
        <v>36</v>
      </c>
      <c r="B87" s="130" t="s">
        <v>172</v>
      </c>
      <c r="C87" s="130" t="s">
        <v>203</v>
      </c>
      <c r="D87" s="130">
        <v>0</v>
      </c>
      <c r="E87" s="130">
        <v>17</v>
      </c>
      <c r="F87" s="130">
        <f t="shared" si="8"/>
        <v>-0.11192715742243556</v>
      </c>
      <c r="G87" s="130">
        <f t="shared" si="9"/>
        <v>12.007786327401963</v>
      </c>
      <c r="H87" s="130">
        <f t="shared" si="10"/>
        <v>1.8591329476244765</v>
      </c>
      <c r="I87" s="130">
        <f t="shared" si="11"/>
        <v>0.18118564904255399</v>
      </c>
      <c r="J87" s="130"/>
      <c r="K87" s="130"/>
      <c r="L87" s="170">
        <v>-17861</v>
      </c>
      <c r="M87" s="171">
        <v>954</v>
      </c>
      <c r="N87" s="172">
        <v>243646</v>
      </c>
      <c r="O87" s="172">
        <v>164027</v>
      </c>
      <c r="P87" s="172">
        <v>159577</v>
      </c>
      <c r="Q87" s="172">
        <v>-140921</v>
      </c>
      <c r="R87" s="172">
        <v>9758</v>
      </c>
      <c r="S87" s="172">
        <v>295190</v>
      </c>
      <c r="T87" s="148">
        <f t="shared" si="12"/>
        <v>304948</v>
      </c>
    </row>
    <row r="88" spans="1:20" ht="17">
      <c r="A88" s="130" t="s">
        <v>36</v>
      </c>
      <c r="B88" s="130" t="s">
        <v>172</v>
      </c>
      <c r="C88" s="130" t="s">
        <v>202</v>
      </c>
      <c r="D88" s="130">
        <v>0</v>
      </c>
      <c r="E88" s="130">
        <v>15</v>
      </c>
      <c r="F88" s="130">
        <f t="shared" si="8"/>
        <v>-0.50859739894447775</v>
      </c>
      <c r="G88" s="130">
        <f t="shared" si="9"/>
        <v>12.128062454228429</v>
      </c>
      <c r="H88" s="130">
        <f t="shared" si="10"/>
        <v>2.1201301684946836</v>
      </c>
      <c r="I88" s="130">
        <f t="shared" si="11"/>
        <v>-0.17117177914110429</v>
      </c>
      <c r="J88" s="130"/>
      <c r="K88" s="130"/>
      <c r="L88" s="170">
        <v>-68711</v>
      </c>
      <c r="M88" s="171">
        <v>979</v>
      </c>
      <c r="N88" s="172">
        <v>269058</v>
      </c>
      <c r="O88" s="172">
        <v>184991</v>
      </c>
      <c r="P88" s="172">
        <v>135099</v>
      </c>
      <c r="Q88" s="172">
        <v>-207215</v>
      </c>
      <c r="R88" s="172">
        <v>14635</v>
      </c>
      <c r="S88" s="172">
        <v>377570</v>
      </c>
      <c r="T88" s="172">
        <f t="shared" si="12"/>
        <v>392205</v>
      </c>
    </row>
    <row r="89" spans="1:20" ht="17">
      <c r="A89" s="130" t="s">
        <v>36</v>
      </c>
      <c r="B89" s="130" t="s">
        <v>172</v>
      </c>
      <c r="C89" s="130" t="s">
        <v>201</v>
      </c>
      <c r="D89" s="130">
        <v>0</v>
      </c>
      <c r="E89" s="130">
        <v>16</v>
      </c>
      <c r="F89" s="130">
        <f t="shared" si="8"/>
        <v>-0.35464417177914109</v>
      </c>
      <c r="G89" s="130">
        <f t="shared" si="9"/>
        <v>12.026012529749854</v>
      </c>
      <c r="H89" s="130">
        <f t="shared" si="10"/>
        <v>2.6666327434687869</v>
      </c>
      <c r="I89" s="130">
        <f t="shared" si="11"/>
        <v>-0.1648991218632484</v>
      </c>
      <c r="J89" s="130"/>
      <c r="K89" s="130"/>
      <c r="L89" s="170">
        <v>-57807</v>
      </c>
      <c r="M89" s="171">
        <v>821</v>
      </c>
      <c r="N89" s="172">
        <v>350810</v>
      </c>
      <c r="O89" s="172">
        <v>167044</v>
      </c>
      <c r="P89" s="172">
        <v>163000</v>
      </c>
      <c r="Q89" s="172">
        <v>-278401</v>
      </c>
      <c r="R89" s="172">
        <v>13485</v>
      </c>
      <c r="S89" s="172">
        <v>431960</v>
      </c>
      <c r="T89" s="148">
        <f t="shared" si="12"/>
        <v>445445</v>
      </c>
    </row>
    <row r="90" spans="1:20">
      <c r="A90" s="130" t="s">
        <v>36</v>
      </c>
      <c r="B90" s="130" t="s">
        <v>172</v>
      </c>
      <c r="C90" s="130" t="s">
        <v>173</v>
      </c>
      <c r="D90" s="130">
        <v>0</v>
      </c>
      <c r="E90" s="130">
        <v>9</v>
      </c>
      <c r="F90" s="130">
        <f t="shared" si="8"/>
        <v>0.16362341561382476</v>
      </c>
      <c r="G90" s="130">
        <f t="shared" si="9"/>
        <v>12.501763809412871</v>
      </c>
      <c r="H90" s="130">
        <f t="shared" si="10"/>
        <v>1.9162087860987831</v>
      </c>
      <c r="I90" s="130">
        <v>-4.301077826426733E-2</v>
      </c>
      <c r="J90" s="130"/>
      <c r="K90" s="130"/>
      <c r="L90" s="154">
        <v>31937</v>
      </c>
      <c r="M90" s="130">
        <v>828</v>
      </c>
      <c r="N90" s="148">
        <v>395201</v>
      </c>
      <c r="O90" s="148">
        <v>268811</v>
      </c>
      <c r="P90" s="148">
        <v>195186</v>
      </c>
      <c r="Q90" s="148">
        <v>-246287</v>
      </c>
      <c r="R90" s="148">
        <v>12695</v>
      </c>
      <c r="S90" s="148">
        <v>502403</v>
      </c>
      <c r="T90" s="148">
        <f t="shared" si="12"/>
        <v>515098</v>
      </c>
    </row>
    <row r="91" spans="1:20" ht="17">
      <c r="A91" s="130" t="s">
        <v>37</v>
      </c>
      <c r="B91" s="130" t="s">
        <v>172</v>
      </c>
      <c r="C91" s="130" t="s">
        <v>205</v>
      </c>
      <c r="D91" s="130">
        <v>0</v>
      </c>
      <c r="E91" s="130">
        <v>7</v>
      </c>
      <c r="F91" s="130">
        <f t="shared" si="8"/>
        <v>0.26702880742494939</v>
      </c>
      <c r="G91" s="130">
        <f t="shared" si="9"/>
        <v>11.925803032793846</v>
      </c>
      <c r="H91" s="130">
        <f t="shared" si="10"/>
        <v>0.46465629053177693</v>
      </c>
      <c r="I91" s="130">
        <f t="shared" si="11"/>
        <v>1.9775684630556623E-2</v>
      </c>
      <c r="J91" s="130"/>
      <c r="K91" s="130"/>
      <c r="L91" s="170">
        <v>41833</v>
      </c>
      <c r="M91" s="171">
        <v>184</v>
      </c>
      <c r="N91" s="172">
        <v>669</v>
      </c>
      <c r="O91" s="172">
        <v>151116</v>
      </c>
      <c r="P91" s="172">
        <v>156661</v>
      </c>
      <c r="Q91" s="172">
        <v>80898</v>
      </c>
      <c r="R91" s="172">
        <v>11834</v>
      </c>
      <c r="S91" s="172">
        <v>58383</v>
      </c>
      <c r="T91" s="148">
        <f t="shared" si="12"/>
        <v>70217</v>
      </c>
    </row>
    <row r="92" spans="1:20" ht="17">
      <c r="A92" s="130" t="s">
        <v>37</v>
      </c>
      <c r="B92" s="130" t="s">
        <v>172</v>
      </c>
      <c r="C92" s="130" t="s">
        <v>203</v>
      </c>
      <c r="D92" s="130">
        <v>0</v>
      </c>
      <c r="E92" s="130">
        <v>15</v>
      </c>
      <c r="F92" s="130">
        <f t="shared" si="8"/>
        <v>3.2781549637749555E-2</v>
      </c>
      <c r="G92" s="130">
        <f t="shared" si="9"/>
        <v>11.896369887709124</v>
      </c>
      <c r="H92" s="130">
        <f t="shared" si="10"/>
        <v>0.42030081849345408</v>
      </c>
      <c r="I92" s="130">
        <f t="shared" si="11"/>
        <v>3.5320995808116887E-2</v>
      </c>
      <c r="J92" s="130"/>
      <c r="K92" s="130"/>
      <c r="L92" s="170">
        <v>5036</v>
      </c>
      <c r="M92" s="171">
        <v>255</v>
      </c>
      <c r="N92" s="172">
        <v>576</v>
      </c>
      <c r="O92" s="172">
        <v>146733</v>
      </c>
      <c r="P92" s="172">
        <v>153623</v>
      </c>
      <c r="Q92" s="172">
        <v>85060</v>
      </c>
      <c r="R92" s="172">
        <v>9989</v>
      </c>
      <c r="S92" s="172">
        <v>51683</v>
      </c>
      <c r="T92" s="148">
        <f t="shared" si="12"/>
        <v>61672</v>
      </c>
    </row>
    <row r="93" spans="1:20" ht="17">
      <c r="A93" s="130" t="s">
        <v>37</v>
      </c>
      <c r="B93" s="130" t="s">
        <v>172</v>
      </c>
      <c r="C93" s="130" t="s">
        <v>202</v>
      </c>
      <c r="D93" s="130">
        <v>0</v>
      </c>
      <c r="E93" s="130">
        <v>10</v>
      </c>
      <c r="F93" s="130">
        <f t="shared" si="8"/>
        <v>4.1851437505896942E-3</v>
      </c>
      <c r="G93" s="130">
        <f t="shared" si="9"/>
        <v>12.049529940423525</v>
      </c>
      <c r="H93" s="130">
        <f t="shared" si="10"/>
        <v>0.50168109976084529</v>
      </c>
      <c r="I93" s="130">
        <f t="shared" si="11"/>
        <v>9.7451296540094379E-2</v>
      </c>
      <c r="J93" s="130"/>
      <c r="K93" s="130"/>
      <c r="L93" s="170">
        <v>621</v>
      </c>
      <c r="M93" s="171">
        <v>225</v>
      </c>
      <c r="N93" s="172">
        <v>573</v>
      </c>
      <c r="O93" s="172">
        <v>171019</v>
      </c>
      <c r="P93" s="172">
        <v>148382</v>
      </c>
      <c r="Q93" s="172">
        <v>85222</v>
      </c>
      <c r="R93" s="172">
        <v>1532</v>
      </c>
      <c r="S93" s="172">
        <v>84265</v>
      </c>
      <c r="T93" s="172">
        <f t="shared" si="12"/>
        <v>85797</v>
      </c>
    </row>
    <row r="94" spans="1:20" ht="17">
      <c r="A94" s="130" t="s">
        <v>37</v>
      </c>
      <c r="B94" s="130" t="s">
        <v>172</v>
      </c>
      <c r="C94" s="130" t="s">
        <v>201</v>
      </c>
      <c r="D94" s="130">
        <v>0</v>
      </c>
      <c r="E94" s="130">
        <v>17</v>
      </c>
      <c r="F94" s="130">
        <f t="shared" si="8"/>
        <v>-2.2314098486753548E-2</v>
      </c>
      <c r="G94" s="130">
        <f t="shared" si="9"/>
        <v>12.145233938299091</v>
      </c>
      <c r="H94" s="130">
        <f t="shared" si="10"/>
        <v>0.53632668243045778</v>
      </c>
      <c r="I94" s="130">
        <f t="shared" si="11"/>
        <v>-8.2826830194822815E-2</v>
      </c>
      <c r="J94" s="130"/>
      <c r="K94" s="130"/>
      <c r="L94" s="170">
        <v>-3017</v>
      </c>
      <c r="M94" s="171">
        <v>267</v>
      </c>
      <c r="N94" s="172">
        <v>607</v>
      </c>
      <c r="O94" s="172">
        <v>188195</v>
      </c>
      <c r="P94" s="172">
        <v>135206</v>
      </c>
      <c r="Q94" s="172">
        <v>87262</v>
      </c>
      <c r="R94" s="172">
        <v>16185</v>
      </c>
      <c r="S94" s="172">
        <v>84749</v>
      </c>
      <c r="T94" s="148">
        <f t="shared" si="12"/>
        <v>100934</v>
      </c>
    </row>
    <row r="95" spans="1:20">
      <c r="A95" s="130" t="s">
        <v>37</v>
      </c>
      <c r="B95" s="130" t="s">
        <v>172</v>
      </c>
      <c r="C95" s="130" t="s">
        <v>173</v>
      </c>
      <c r="D95" s="130">
        <v>0</v>
      </c>
      <c r="E95" s="130">
        <v>18</v>
      </c>
      <c r="F95" s="130">
        <f t="shared" si="8"/>
        <v>0.25295083301676885</v>
      </c>
      <c r="G95" s="130">
        <f t="shared" si="9"/>
        <v>12.524962645106148</v>
      </c>
      <c r="H95" s="130">
        <f t="shared" si="10"/>
        <v>0.52979063681302707</v>
      </c>
      <c r="I95" s="130">
        <v>1.7430286695986265E-2</v>
      </c>
      <c r="J95" s="130"/>
      <c r="K95" s="130"/>
      <c r="L95" s="154">
        <v>37289</v>
      </c>
      <c r="M95" s="130">
        <v>273</v>
      </c>
      <c r="N95" s="148">
        <v>20059</v>
      </c>
      <c r="O95" s="148">
        <v>275120</v>
      </c>
      <c r="P95" s="148">
        <v>147416</v>
      </c>
      <c r="Q95" s="148">
        <v>129364</v>
      </c>
      <c r="R95" s="148">
        <v>38369</v>
      </c>
      <c r="S95" s="148">
        <v>107387</v>
      </c>
      <c r="T95" s="148">
        <f t="shared" si="12"/>
        <v>145756</v>
      </c>
    </row>
    <row r="96" spans="1:20" ht="18">
      <c r="A96" s="133" t="s">
        <v>38</v>
      </c>
      <c r="B96" s="133" t="s">
        <v>199</v>
      </c>
      <c r="C96" s="133" t="s">
        <v>205</v>
      </c>
      <c r="D96" s="133">
        <v>0</v>
      </c>
      <c r="E96" s="133">
        <v>13</v>
      </c>
      <c r="F96" s="130">
        <f t="shared" si="8"/>
        <v>5.8410117198715771E-2</v>
      </c>
      <c r="G96" s="130">
        <f t="shared" si="9"/>
        <v>11.271376060416618</v>
      </c>
      <c r="H96" s="130">
        <f t="shared" si="10"/>
        <v>1.8264727976470887</v>
      </c>
      <c r="I96" s="130">
        <f t="shared" si="11"/>
        <v>-0.17359276076663396</v>
      </c>
      <c r="J96" s="130"/>
      <c r="K96" s="130"/>
      <c r="L96" s="158">
        <v>8951</v>
      </c>
      <c r="M96" s="189"/>
      <c r="N96" s="190">
        <v>5746</v>
      </c>
      <c r="O96" s="52">
        <v>78541</v>
      </c>
      <c r="P96" s="191">
        <v>153244</v>
      </c>
      <c r="Q96" s="188">
        <f>O96-T96</f>
        <v>-64912</v>
      </c>
      <c r="R96" s="188"/>
      <c r="S96" s="188"/>
      <c r="T96" s="52">
        <v>143453</v>
      </c>
    </row>
    <row r="97" spans="1:20" ht="17">
      <c r="A97" s="133" t="s">
        <v>38</v>
      </c>
      <c r="B97" s="133" t="s">
        <v>199</v>
      </c>
      <c r="C97" s="133" t="s">
        <v>203</v>
      </c>
      <c r="D97" s="133">
        <v>0</v>
      </c>
      <c r="E97" s="133">
        <v>16</v>
      </c>
      <c r="F97" s="130">
        <f t="shared" si="8"/>
        <v>-0.18454544474044673</v>
      </c>
      <c r="G97" s="130">
        <f t="shared" si="9"/>
        <v>11.402474235812649</v>
      </c>
      <c r="H97" s="130">
        <f t="shared" si="10"/>
        <v>0.97100834236065359</v>
      </c>
      <c r="I97" s="130">
        <v>1.5432026E-2</v>
      </c>
      <c r="J97" s="130"/>
      <c r="K97" s="130"/>
      <c r="L97" s="176">
        <v>-34221</v>
      </c>
      <c r="M97" s="169"/>
      <c r="N97" s="175">
        <v>79324</v>
      </c>
      <c r="O97" s="175">
        <v>89543</v>
      </c>
      <c r="P97" s="175">
        <v>185434</v>
      </c>
      <c r="Q97" s="175">
        <f>O97-T97</f>
        <v>2596</v>
      </c>
      <c r="R97" s="175"/>
      <c r="S97" s="175"/>
      <c r="T97" s="52">
        <v>86947</v>
      </c>
    </row>
    <row r="98" spans="1:20">
      <c r="A98" s="131" t="s">
        <v>39</v>
      </c>
      <c r="B98" s="131" t="s">
        <v>193</v>
      </c>
      <c r="C98" s="131" t="s">
        <v>201</v>
      </c>
      <c r="D98" s="131">
        <v>0</v>
      </c>
      <c r="E98" s="131">
        <v>12</v>
      </c>
      <c r="F98" s="130">
        <f t="shared" si="8"/>
        <v>-4.6316964285714288E-2</v>
      </c>
      <c r="G98" s="130">
        <f t="shared" si="9"/>
        <v>7.3434262291473669</v>
      </c>
      <c r="H98" s="130">
        <f t="shared" si="10"/>
        <v>18.751617076326003</v>
      </c>
      <c r="I98" s="130">
        <f t="shared" si="11"/>
        <v>0.17783668908704511</v>
      </c>
      <c r="J98" s="130"/>
      <c r="K98" s="130"/>
      <c r="L98" s="145">
        <v>-2490</v>
      </c>
      <c r="M98" s="131">
        <v>254</v>
      </c>
      <c r="N98" s="139">
        <v>876</v>
      </c>
      <c r="O98" s="139">
        <v>1546</v>
      </c>
      <c r="P98" s="139">
        <v>53760</v>
      </c>
      <c r="Q98" s="139">
        <f>O98-T98</f>
        <v>-27444</v>
      </c>
      <c r="R98" s="139">
        <v>26456</v>
      </c>
      <c r="S98" s="139">
        <v>2534</v>
      </c>
      <c r="T98" s="139">
        <f>R98+S98</f>
        <v>28990</v>
      </c>
    </row>
    <row r="99" spans="1:20">
      <c r="A99" s="131" t="s">
        <v>39</v>
      </c>
      <c r="B99" s="131" t="s">
        <v>193</v>
      </c>
      <c r="C99" s="131" t="s">
        <v>173</v>
      </c>
      <c r="D99" s="131">
        <v>0</v>
      </c>
      <c r="E99" s="131">
        <v>17</v>
      </c>
      <c r="F99" s="130">
        <f t="shared" si="8"/>
        <v>1.446004863834542E-2</v>
      </c>
      <c r="G99" s="130">
        <f t="shared" si="9"/>
        <v>7.4109518755836366</v>
      </c>
      <c r="H99" s="130">
        <f t="shared" si="10"/>
        <v>24.909915356711004</v>
      </c>
      <c r="I99" s="130">
        <v>1.643932E-2</v>
      </c>
      <c r="J99" s="130"/>
      <c r="K99" s="130"/>
      <c r="L99" s="145">
        <v>660</v>
      </c>
      <c r="M99" s="131">
        <v>273</v>
      </c>
      <c r="N99" s="139">
        <v>946</v>
      </c>
      <c r="O99" s="139">
        <v>1654</v>
      </c>
      <c r="P99" s="139">
        <v>45643</v>
      </c>
      <c r="Q99" s="139">
        <f>O99-T99</f>
        <v>-39547</v>
      </c>
      <c r="R99" s="139">
        <v>35433</v>
      </c>
      <c r="S99" s="139">
        <v>5768</v>
      </c>
      <c r="T99" s="139">
        <f>R99+S99</f>
        <v>41201</v>
      </c>
    </row>
    <row r="100" spans="1:20">
      <c r="A100" s="134" t="s">
        <v>40</v>
      </c>
      <c r="B100" s="134" t="s">
        <v>200</v>
      </c>
      <c r="C100" s="134" t="s">
        <v>205</v>
      </c>
      <c r="D100" s="134">
        <v>0</v>
      </c>
      <c r="E100" s="134">
        <v>16</v>
      </c>
      <c r="F100" s="130">
        <f t="shared" si="8"/>
        <v>1.4304042802937242E-2</v>
      </c>
      <c r="G100" s="130">
        <f t="shared" si="9"/>
        <v>10.474354098387241</v>
      </c>
      <c r="H100" s="130">
        <f t="shared" si="10"/>
        <v>0.66809809017968136</v>
      </c>
      <c r="I100" s="130">
        <f t="shared" si="11"/>
        <v>1.182157160613175E-2</v>
      </c>
      <c r="J100" s="130"/>
      <c r="K100" s="130"/>
      <c r="L100" s="140">
        <v>524</v>
      </c>
      <c r="M100" s="138"/>
      <c r="N100" s="52"/>
      <c r="O100" s="52">
        <v>35396</v>
      </c>
      <c r="P100" s="52">
        <v>36633</v>
      </c>
      <c r="Q100" s="52">
        <v>11748</v>
      </c>
      <c r="R100" s="52"/>
      <c r="S100" s="52"/>
      <c r="T100" s="52">
        <v>23648</v>
      </c>
    </row>
    <row r="101" spans="1:20">
      <c r="A101" s="134" t="s">
        <v>40</v>
      </c>
      <c r="B101" s="134" t="s">
        <v>200</v>
      </c>
      <c r="C101" s="134" t="s">
        <v>203</v>
      </c>
      <c r="D101" s="134">
        <v>0</v>
      </c>
      <c r="E101" s="134">
        <v>19</v>
      </c>
      <c r="F101" s="130">
        <f t="shared" si="8"/>
        <v>1.9279105095981217E-2</v>
      </c>
      <c r="G101" s="130">
        <f t="shared" si="9"/>
        <v>10.470220808240414</v>
      </c>
      <c r="H101" s="130">
        <f t="shared" si="10"/>
        <v>0.64036879432624116</v>
      </c>
      <c r="I101" s="130">
        <v>-3.6426432000000002E-2</v>
      </c>
      <c r="J101" s="130"/>
      <c r="K101" s="130"/>
      <c r="L101" s="140">
        <v>698</v>
      </c>
      <c r="M101" s="138"/>
      <c r="N101" s="52"/>
      <c r="O101" s="52">
        <v>35250</v>
      </c>
      <c r="P101" s="52">
        <v>36205</v>
      </c>
      <c r="Q101" s="52">
        <v>12677</v>
      </c>
      <c r="R101" s="52"/>
      <c r="S101" s="52"/>
      <c r="T101" s="52">
        <v>22573</v>
      </c>
    </row>
    <row r="102" spans="1:20">
      <c r="A102" s="131" t="s">
        <v>43</v>
      </c>
      <c r="B102" s="131" t="s">
        <v>193</v>
      </c>
      <c r="C102" s="131" t="s">
        <v>205</v>
      </c>
      <c r="D102" s="131">
        <v>0</v>
      </c>
      <c r="E102" s="131">
        <v>13</v>
      </c>
      <c r="F102" s="130">
        <f t="shared" si="8"/>
        <v>0.2091187369099404</v>
      </c>
      <c r="G102" s="130">
        <f t="shared" si="9"/>
        <v>12.814715304311671</v>
      </c>
      <c r="H102" s="130">
        <f t="shared" si="10"/>
        <v>1.1184889563559104</v>
      </c>
      <c r="I102" s="130">
        <f t="shared" si="11"/>
        <v>-8.6803001324113574E-2</v>
      </c>
      <c r="J102" s="130"/>
      <c r="K102" s="130"/>
      <c r="L102" s="145">
        <v>12980</v>
      </c>
      <c r="M102" s="131">
        <v>201</v>
      </c>
      <c r="N102" s="139">
        <v>20925</v>
      </c>
      <c r="O102" s="139">
        <v>367587</v>
      </c>
      <c r="P102" s="177">
        <v>62070</v>
      </c>
      <c r="Q102" s="139">
        <f>O102-T102</f>
        <v>-43555</v>
      </c>
      <c r="R102" s="139">
        <v>268467</v>
      </c>
      <c r="S102" s="139">
        <v>142675</v>
      </c>
      <c r="T102" s="139">
        <f t="shared" ref="T102:T111" si="13">R102+S102</f>
        <v>411142</v>
      </c>
    </row>
    <row r="103" spans="1:20" ht="17">
      <c r="A103" s="131" t="s">
        <v>43</v>
      </c>
      <c r="B103" s="131" t="s">
        <v>193</v>
      </c>
      <c r="C103" s="131" t="s">
        <v>203</v>
      </c>
      <c r="D103" s="131">
        <v>0</v>
      </c>
      <c r="E103" s="131">
        <v>17</v>
      </c>
      <c r="F103" s="130">
        <f t="shared" si="8"/>
        <v>0.22671766956010003</v>
      </c>
      <c r="G103" s="130">
        <f t="shared" si="9"/>
        <v>12.530208385238453</v>
      </c>
      <c r="H103" s="130">
        <f t="shared" si="10"/>
        <v>0.85825134596680008</v>
      </c>
      <c r="I103" s="130">
        <f t="shared" si="11"/>
        <v>-3.7115738773197335E-2</v>
      </c>
      <c r="J103" s="130"/>
      <c r="K103" s="130"/>
      <c r="L103" s="145">
        <v>15410</v>
      </c>
      <c r="M103" s="178">
        <v>235</v>
      </c>
      <c r="N103" s="139">
        <v>45456</v>
      </c>
      <c r="O103" s="139">
        <v>276567</v>
      </c>
      <c r="P103" s="174">
        <v>67970</v>
      </c>
      <c r="Q103" s="139">
        <f>O103-T103</f>
        <v>39203</v>
      </c>
      <c r="R103" s="139">
        <v>179699</v>
      </c>
      <c r="S103" s="139">
        <v>57665</v>
      </c>
      <c r="T103" s="139">
        <f t="shared" si="13"/>
        <v>237364</v>
      </c>
    </row>
    <row r="104" spans="1:20">
      <c r="A104" s="131" t="s">
        <v>43</v>
      </c>
      <c r="B104" s="131" t="s">
        <v>193</v>
      </c>
      <c r="C104" s="131" t="s">
        <v>202</v>
      </c>
      <c r="D104" s="131">
        <v>0</v>
      </c>
      <c r="E104" s="131">
        <v>17</v>
      </c>
      <c r="F104" s="130">
        <f t="shared" si="8"/>
        <v>3.7115738773197335E-2</v>
      </c>
      <c r="G104" s="130">
        <f t="shared" si="9"/>
        <v>11.902863990458304</v>
      </c>
      <c r="H104" s="130">
        <f t="shared" si="10"/>
        <v>0.88945012831016523</v>
      </c>
      <c r="I104" s="130">
        <f t="shared" si="11"/>
        <v>5.6104129263913824E-2</v>
      </c>
      <c r="J104" s="130"/>
      <c r="K104" s="130"/>
      <c r="L104" s="145">
        <v>2620</v>
      </c>
      <c r="M104" s="131">
        <v>235</v>
      </c>
      <c r="N104" s="139">
        <v>38565</v>
      </c>
      <c r="O104" s="139">
        <v>147689</v>
      </c>
      <c r="P104" s="174">
        <v>70590</v>
      </c>
      <c r="Q104" s="139">
        <f>O104-T104</f>
        <v>16327</v>
      </c>
      <c r="R104" s="139">
        <v>84575</v>
      </c>
      <c r="S104" s="139">
        <v>46787</v>
      </c>
      <c r="T104" s="139">
        <f t="shared" si="13"/>
        <v>131362</v>
      </c>
    </row>
    <row r="105" spans="1:20">
      <c r="A105" s="131" t="s">
        <v>43</v>
      </c>
      <c r="B105" s="131" t="s">
        <v>193</v>
      </c>
      <c r="C105" s="131" t="s">
        <v>201</v>
      </c>
      <c r="D105" s="131">
        <v>0</v>
      </c>
      <c r="E105" s="131">
        <v>8</v>
      </c>
      <c r="F105" s="130">
        <f t="shared" si="8"/>
        <v>-0.14332734889287851</v>
      </c>
      <c r="G105" s="130">
        <f t="shared" si="9"/>
        <v>8.8877907641953264</v>
      </c>
      <c r="H105" s="130">
        <f t="shared" si="10"/>
        <v>1.5184315891205302</v>
      </c>
      <c r="I105" s="130">
        <f t="shared" si="11"/>
        <v>-5.7795319988722865E-2</v>
      </c>
      <c r="J105" s="130"/>
      <c r="K105" s="130"/>
      <c r="L105" s="145">
        <v>-9580</v>
      </c>
      <c r="M105" s="131">
        <v>285</v>
      </c>
      <c r="N105" s="139">
        <v>1742</v>
      </c>
      <c r="O105" s="139">
        <v>7243</v>
      </c>
      <c r="P105" s="174">
        <v>66840</v>
      </c>
      <c r="Q105" s="139">
        <f>O105-T105</f>
        <v>-3755</v>
      </c>
      <c r="R105" s="139">
        <v>4566</v>
      </c>
      <c r="S105" s="139">
        <v>6432</v>
      </c>
      <c r="T105" s="139">
        <f t="shared" si="13"/>
        <v>10998</v>
      </c>
    </row>
    <row r="106" spans="1:20">
      <c r="A106" s="131" t="s">
        <v>43</v>
      </c>
      <c r="B106" s="131" t="s">
        <v>193</v>
      </c>
      <c r="C106" s="131" t="s">
        <v>173</v>
      </c>
      <c r="D106" s="131">
        <v>0</v>
      </c>
      <c r="E106" s="131">
        <v>11</v>
      </c>
      <c r="F106" s="130">
        <f t="shared" si="8"/>
        <v>-1.0854243022272343E-2</v>
      </c>
      <c r="G106" s="130">
        <f t="shared" si="9"/>
        <v>7.9280456008747766</v>
      </c>
      <c r="H106" s="130">
        <f t="shared" si="10"/>
        <v>20.563085796683488</v>
      </c>
      <c r="I106" s="130">
        <v>-1.2935643166002125E-2</v>
      </c>
      <c r="J106" s="130"/>
      <c r="K106" s="130"/>
      <c r="L106" s="145">
        <v>-770</v>
      </c>
      <c r="M106" s="131">
        <v>301</v>
      </c>
      <c r="N106" s="139">
        <v>1224</v>
      </c>
      <c r="O106" s="139">
        <v>2774</v>
      </c>
      <c r="P106" s="174">
        <v>70940</v>
      </c>
      <c r="Q106" s="139">
        <f>O106-T106</f>
        <v>-54268</v>
      </c>
      <c r="R106" s="139">
        <v>54675</v>
      </c>
      <c r="S106" s="139">
        <v>2367</v>
      </c>
      <c r="T106" s="139">
        <f t="shared" si="13"/>
        <v>57042</v>
      </c>
    </row>
    <row r="107" spans="1:20" ht="17">
      <c r="A107" s="130" t="s">
        <v>44</v>
      </c>
      <c r="B107" s="130" t="s">
        <v>172</v>
      </c>
      <c r="C107" s="130" t="s">
        <v>205</v>
      </c>
      <c r="D107" s="130">
        <v>0</v>
      </c>
      <c r="E107" s="130">
        <v>5</v>
      </c>
      <c r="F107" s="130">
        <f t="shared" si="8"/>
        <v>0.1398873954085818</v>
      </c>
      <c r="G107" s="130">
        <f t="shared" si="9"/>
        <v>13.654560984617987</v>
      </c>
      <c r="H107" s="130">
        <f t="shared" si="10"/>
        <v>0.48020814368021991</v>
      </c>
      <c r="I107" s="130">
        <f t="shared" si="11"/>
        <v>3.4774228522095286E-3</v>
      </c>
      <c r="J107" s="130"/>
      <c r="K107" s="130"/>
      <c r="L107" s="170">
        <v>69916</v>
      </c>
      <c r="M107" s="171">
        <v>756</v>
      </c>
      <c r="N107" s="172">
        <v>0</v>
      </c>
      <c r="O107" s="172">
        <v>851335</v>
      </c>
      <c r="P107" s="172">
        <v>499802</v>
      </c>
      <c r="Q107" s="172">
        <v>442518</v>
      </c>
      <c r="R107" s="172">
        <v>51190</v>
      </c>
      <c r="S107" s="172">
        <v>357628</v>
      </c>
      <c r="T107" s="148">
        <f t="shared" si="13"/>
        <v>408818</v>
      </c>
    </row>
    <row r="108" spans="1:20" ht="17">
      <c r="A108" s="130" t="s">
        <v>44</v>
      </c>
      <c r="B108" s="130" t="s">
        <v>172</v>
      </c>
      <c r="C108" s="130" t="s">
        <v>203</v>
      </c>
      <c r="D108" s="130">
        <v>1</v>
      </c>
      <c r="E108" s="130">
        <v>3</v>
      </c>
      <c r="F108" s="130">
        <f t="shared" si="8"/>
        <v>-0.21616841006284257</v>
      </c>
      <c r="G108" s="130">
        <f t="shared" si="9"/>
        <v>13.792387263350053</v>
      </c>
      <c r="H108" s="130">
        <f t="shared" si="10"/>
        <v>0.47095202130294267</v>
      </c>
      <c r="I108" s="130">
        <f t="shared" si="11"/>
        <v>0.1156957221994485</v>
      </c>
      <c r="J108" s="130"/>
      <c r="K108" s="130"/>
      <c r="L108" s="170">
        <v>-107667</v>
      </c>
      <c r="M108" s="171">
        <v>798</v>
      </c>
      <c r="N108" s="172">
        <v>79395</v>
      </c>
      <c r="O108" s="172">
        <v>977142</v>
      </c>
      <c r="P108" s="172">
        <v>498070</v>
      </c>
      <c r="Q108" s="172">
        <v>516956</v>
      </c>
      <c r="R108" s="172">
        <v>43274</v>
      </c>
      <c r="S108" s="172">
        <v>416913</v>
      </c>
      <c r="T108" s="148">
        <f t="shared" si="13"/>
        <v>460187</v>
      </c>
    </row>
    <row r="109" spans="1:20" ht="17">
      <c r="A109" s="130" t="s">
        <v>44</v>
      </c>
      <c r="B109" s="130" t="s">
        <v>172</v>
      </c>
      <c r="C109" s="130" t="s">
        <v>202</v>
      </c>
      <c r="D109" s="130">
        <v>0</v>
      </c>
      <c r="E109" s="130">
        <v>4</v>
      </c>
      <c r="F109" s="130">
        <f t="shared" si="8"/>
        <v>7.9707271835330329E-2</v>
      </c>
      <c r="G109" s="130">
        <f t="shared" si="9"/>
        <v>13.779921721555001</v>
      </c>
      <c r="H109" s="130">
        <f t="shared" si="10"/>
        <v>0.41948236181617909</v>
      </c>
      <c r="I109" s="130">
        <f t="shared" si="11"/>
        <v>-0.11996948424831305</v>
      </c>
      <c r="J109" s="130"/>
      <c r="K109" s="130"/>
      <c r="L109" s="170">
        <v>35583</v>
      </c>
      <c r="M109" s="171">
        <v>808</v>
      </c>
      <c r="N109" s="172">
        <v>51039</v>
      </c>
      <c r="O109" s="172">
        <v>965037</v>
      </c>
      <c r="P109" s="172">
        <v>446421</v>
      </c>
      <c r="Q109" s="172">
        <v>560221</v>
      </c>
      <c r="R109" s="172">
        <v>44961</v>
      </c>
      <c r="S109" s="172">
        <v>359855</v>
      </c>
      <c r="T109" s="172">
        <f t="shared" si="13"/>
        <v>404816</v>
      </c>
    </row>
    <row r="110" spans="1:20" ht="17">
      <c r="A110" s="130" t="s">
        <v>44</v>
      </c>
      <c r="B110" s="130" t="s">
        <v>172</v>
      </c>
      <c r="C110" s="130" t="s">
        <v>201</v>
      </c>
      <c r="D110" s="130">
        <v>0</v>
      </c>
      <c r="E110" s="130">
        <v>4</v>
      </c>
      <c r="F110" s="130">
        <f t="shared" si="8"/>
        <v>-0.35280585240074991</v>
      </c>
      <c r="G110" s="130">
        <f t="shared" si="9"/>
        <v>13.775176985813058</v>
      </c>
      <c r="H110" s="130">
        <f t="shared" si="10"/>
        <v>0.51334816636455727</v>
      </c>
      <c r="I110" s="130">
        <f t="shared" si="11"/>
        <v>-9.5865727026766906E-2</v>
      </c>
      <c r="J110" s="130"/>
      <c r="K110" s="130"/>
      <c r="L110" s="170">
        <v>-178971</v>
      </c>
      <c r="M110" s="171">
        <v>817</v>
      </c>
      <c r="N110" s="172">
        <v>34471</v>
      </c>
      <c r="O110" s="172">
        <v>960469</v>
      </c>
      <c r="P110" s="172">
        <v>507279</v>
      </c>
      <c r="Q110" s="172">
        <v>467414</v>
      </c>
      <c r="R110" s="172">
        <v>70307</v>
      </c>
      <c r="S110" s="172">
        <v>422748</v>
      </c>
      <c r="T110" s="148">
        <f t="shared" si="13"/>
        <v>493055</v>
      </c>
    </row>
    <row r="111" spans="1:20">
      <c r="A111" s="130" t="s">
        <v>44</v>
      </c>
      <c r="B111" s="130" t="s">
        <v>172</v>
      </c>
      <c r="C111" s="130" t="s">
        <v>173</v>
      </c>
      <c r="D111" s="130">
        <v>1</v>
      </c>
      <c r="E111" s="130">
        <v>3</v>
      </c>
      <c r="F111" s="130">
        <f t="shared" si="8"/>
        <v>-0.25200065589431547</v>
      </c>
      <c r="G111" s="130">
        <f t="shared" si="9"/>
        <v>13.834276373446992</v>
      </c>
      <c r="H111" s="130">
        <f t="shared" si="10"/>
        <v>0.49564499682514135</v>
      </c>
      <c r="I111" s="130">
        <v>-2.4165516555855481E-2</v>
      </c>
      <c r="J111" s="130"/>
      <c r="K111" s="130"/>
      <c r="L111" s="154">
        <v>-141389</v>
      </c>
      <c r="M111" s="130">
        <v>788</v>
      </c>
      <c r="N111" s="148">
        <v>0</v>
      </c>
      <c r="O111" s="148">
        <v>1018943</v>
      </c>
      <c r="P111" s="148">
        <v>561066</v>
      </c>
      <c r="Q111" s="148">
        <v>513909</v>
      </c>
      <c r="R111" s="148">
        <v>93836</v>
      </c>
      <c r="S111" s="148">
        <v>411198</v>
      </c>
      <c r="T111" s="148">
        <f t="shared" si="13"/>
        <v>505034</v>
      </c>
    </row>
    <row r="112" spans="1:20">
      <c r="A112" s="134" t="s">
        <v>45</v>
      </c>
      <c r="B112" s="134" t="s">
        <v>200</v>
      </c>
      <c r="C112" s="134" t="s">
        <v>173</v>
      </c>
      <c r="D112" s="134">
        <v>0</v>
      </c>
      <c r="E112" s="134">
        <v>17</v>
      </c>
      <c r="F112" s="130">
        <f t="shared" si="8"/>
        <v>4.9157303370786515E-3</v>
      </c>
      <c r="G112" s="130">
        <f t="shared" si="9"/>
        <v>9.406482647787449</v>
      </c>
      <c r="H112" s="130">
        <f t="shared" si="10"/>
        <v>0.91896112435275745</v>
      </c>
      <c r="I112" s="130">
        <v>-6.1384934000000002E-2</v>
      </c>
      <c r="J112" s="130"/>
      <c r="K112" s="130"/>
      <c r="L112" s="140">
        <v>126</v>
      </c>
      <c r="M112" s="138"/>
      <c r="N112" s="52"/>
      <c r="O112" s="52">
        <v>12167</v>
      </c>
      <c r="P112" s="52">
        <v>25632</v>
      </c>
      <c r="Q112" s="52">
        <v>986</v>
      </c>
      <c r="R112" s="52"/>
      <c r="S112" s="52"/>
      <c r="T112" s="52">
        <v>11181</v>
      </c>
    </row>
    <row r="113" spans="1:20" ht="17">
      <c r="A113" s="130" t="s">
        <v>47</v>
      </c>
      <c r="B113" s="130" t="s">
        <v>172</v>
      </c>
      <c r="C113" s="130" t="s">
        <v>205</v>
      </c>
      <c r="D113" s="130">
        <v>0</v>
      </c>
      <c r="E113" s="130">
        <v>11</v>
      </c>
      <c r="F113" s="130">
        <f t="shared" si="8"/>
        <v>-0.23856304790283744</v>
      </c>
      <c r="G113" s="130">
        <f t="shared" si="9"/>
        <v>12.235335287415715</v>
      </c>
      <c r="H113" s="130">
        <f t="shared" si="10"/>
        <v>0.63682449657422824</v>
      </c>
      <c r="I113" s="130">
        <f t="shared" si="11"/>
        <v>-3.2547424776711027E-2</v>
      </c>
      <c r="J113" s="130"/>
      <c r="K113" s="130"/>
      <c r="L113" s="170">
        <v>-35867</v>
      </c>
      <c r="M113" s="171">
        <v>227</v>
      </c>
      <c r="N113" s="172">
        <v>25689</v>
      </c>
      <c r="O113" s="148">
        <v>205939</v>
      </c>
      <c r="P113" s="172">
        <v>150346</v>
      </c>
      <c r="Q113" s="172">
        <v>30688</v>
      </c>
      <c r="R113" s="172">
        <v>25689</v>
      </c>
      <c r="S113" s="172">
        <v>105458</v>
      </c>
      <c r="T113" s="148">
        <f>R113+S113</f>
        <v>131147</v>
      </c>
    </row>
    <row r="114" spans="1:20" ht="17">
      <c r="A114" s="130" t="s">
        <v>47</v>
      </c>
      <c r="B114" s="130" t="s">
        <v>172</v>
      </c>
      <c r="C114" s="130" t="s">
        <v>203</v>
      </c>
      <c r="D114" s="130">
        <v>0</v>
      </c>
      <c r="E114" s="130">
        <v>12</v>
      </c>
      <c r="F114" s="130">
        <f t="shared" si="8"/>
        <v>1.6788499652518597E-2</v>
      </c>
      <c r="G114" s="130">
        <f t="shared" si="9"/>
        <v>12.223087075689303</v>
      </c>
      <c r="H114" s="130">
        <f t="shared" si="10"/>
        <v>0.46974418970466791</v>
      </c>
      <c r="I114" s="130">
        <f t="shared" si="11"/>
        <v>9.1726555529796902E-2</v>
      </c>
      <c r="J114" s="130"/>
      <c r="K114" s="130"/>
      <c r="L114" s="170">
        <v>2609</v>
      </c>
      <c r="M114" s="171">
        <v>236</v>
      </c>
      <c r="N114" s="172">
        <v>24375</v>
      </c>
      <c r="O114" s="148">
        <v>203432</v>
      </c>
      <c r="P114" s="172">
        <v>155404</v>
      </c>
      <c r="Q114" s="172">
        <v>33297</v>
      </c>
      <c r="R114" s="172">
        <v>26101</v>
      </c>
      <c r="S114" s="172">
        <v>69460</v>
      </c>
      <c r="T114" s="148">
        <f>R114+S114</f>
        <v>95561</v>
      </c>
    </row>
    <row r="115" spans="1:20" ht="17">
      <c r="A115" s="130" t="s">
        <v>47</v>
      </c>
      <c r="B115" s="130" t="s">
        <v>172</v>
      </c>
      <c r="C115" s="130" t="s">
        <v>202</v>
      </c>
      <c r="D115" s="130">
        <v>0</v>
      </c>
      <c r="E115" s="130">
        <v>14</v>
      </c>
      <c r="F115" s="130">
        <f t="shared" si="8"/>
        <v>-0.42668970895066283</v>
      </c>
      <c r="G115" s="130">
        <f t="shared" si="9"/>
        <v>12.037056182115251</v>
      </c>
      <c r="H115" s="130">
        <f t="shared" si="10"/>
        <v>0.60683603810561337</v>
      </c>
      <c r="I115" s="130">
        <f t="shared" si="11"/>
        <v>5.9263448501670597E-2</v>
      </c>
      <c r="J115" s="130"/>
      <c r="K115" s="130"/>
      <c r="L115" s="170">
        <v>-60738</v>
      </c>
      <c r="M115" s="171">
        <v>279</v>
      </c>
      <c r="N115" s="172">
        <v>37437</v>
      </c>
      <c r="O115" s="148">
        <v>168899</v>
      </c>
      <c r="P115" s="172">
        <v>142347</v>
      </c>
      <c r="Q115" s="172">
        <v>-6966</v>
      </c>
      <c r="R115" s="172">
        <v>15947</v>
      </c>
      <c r="S115" s="172">
        <v>86547</v>
      </c>
      <c r="T115" s="148">
        <f>R115+S115</f>
        <v>102494</v>
      </c>
    </row>
    <row r="116" spans="1:20" ht="17">
      <c r="A116" s="130" t="s">
        <v>47</v>
      </c>
      <c r="B116" s="130" t="s">
        <v>172</v>
      </c>
      <c r="C116" s="130" t="s">
        <v>201</v>
      </c>
      <c r="D116" s="130">
        <v>0</v>
      </c>
      <c r="E116" s="130">
        <v>14</v>
      </c>
      <c r="F116" s="130">
        <f t="shared" si="8"/>
        <v>-0.31760713780760957</v>
      </c>
      <c r="G116" s="130">
        <f t="shared" si="9"/>
        <v>11.61760074590836</v>
      </c>
      <c r="H116" s="130">
        <f t="shared" si="10"/>
        <v>1.0336650605664881</v>
      </c>
      <c r="I116" s="130">
        <f t="shared" si="11"/>
        <v>-0.16010100063125396</v>
      </c>
      <c r="J116" s="130"/>
      <c r="K116" s="130"/>
      <c r="L116" s="170">
        <v>-42681</v>
      </c>
      <c r="M116" s="171">
        <v>297</v>
      </c>
      <c r="N116" s="172">
        <v>0</v>
      </c>
      <c r="O116" s="148">
        <v>111035</v>
      </c>
      <c r="P116" s="172">
        <v>134383</v>
      </c>
      <c r="Q116" s="172">
        <v>-20497</v>
      </c>
      <c r="R116" s="172">
        <v>27291</v>
      </c>
      <c r="S116" s="172">
        <v>87482</v>
      </c>
      <c r="T116" s="148">
        <f>R116+S116</f>
        <v>114773</v>
      </c>
    </row>
    <row r="117" spans="1:20">
      <c r="A117" s="130" t="s">
        <v>47</v>
      </c>
      <c r="B117" s="130" t="s">
        <v>172</v>
      </c>
      <c r="C117" s="130" t="s">
        <v>173</v>
      </c>
      <c r="D117" s="130">
        <v>0</v>
      </c>
      <c r="E117" s="130">
        <v>12</v>
      </c>
      <c r="F117" s="130">
        <f t="shared" si="8"/>
        <v>-0.17144482153013457</v>
      </c>
      <c r="G117" s="130">
        <f t="shared" si="9"/>
        <v>12.071008650498905</v>
      </c>
      <c r="H117" s="130">
        <f t="shared" si="10"/>
        <v>0.89993246800814963</v>
      </c>
      <c r="I117" s="130">
        <v>-1.0414605344124372E-2</v>
      </c>
      <c r="J117" s="130"/>
      <c r="K117" s="130"/>
      <c r="L117" s="154">
        <v>-27431</v>
      </c>
      <c r="M117" s="130">
        <v>295</v>
      </c>
      <c r="N117" s="148">
        <v>30000</v>
      </c>
      <c r="O117" s="148">
        <v>174732</v>
      </c>
      <c r="P117" s="148">
        <v>159999</v>
      </c>
      <c r="Q117" s="148">
        <v>-6770</v>
      </c>
      <c r="R117" s="148">
        <v>63286</v>
      </c>
      <c r="S117" s="148">
        <v>93961</v>
      </c>
      <c r="T117" s="148">
        <f>R117+S117</f>
        <v>157247</v>
      </c>
    </row>
    <row r="118" spans="1:20" ht="18">
      <c r="A118" s="133" t="s">
        <v>48</v>
      </c>
      <c r="B118" s="133" t="s">
        <v>199</v>
      </c>
      <c r="C118" s="133" t="s">
        <v>202</v>
      </c>
      <c r="D118" s="133">
        <v>0</v>
      </c>
      <c r="E118" s="133">
        <v>14</v>
      </c>
      <c r="F118" s="130">
        <f t="shared" si="8"/>
        <v>-1.6649873501264987</v>
      </c>
      <c r="G118" s="130">
        <f t="shared" si="9"/>
        <v>11.332038878114268</v>
      </c>
      <c r="H118" s="130">
        <f t="shared" si="10"/>
        <v>0.8788779312906666</v>
      </c>
      <c r="I118" s="130">
        <f t="shared" si="11"/>
        <v>0.48871712573281367</v>
      </c>
      <c r="J118" s="130"/>
      <c r="K118" s="130"/>
      <c r="L118" s="192">
        <v>-75682</v>
      </c>
      <c r="M118" s="193"/>
      <c r="N118" s="52">
        <v>34523</v>
      </c>
      <c r="O118" s="188">
        <v>83453</v>
      </c>
      <c r="P118" s="191">
        <v>45455</v>
      </c>
      <c r="Q118" s="188">
        <f>O118-T118</f>
        <v>10108</v>
      </c>
      <c r="R118" s="188"/>
      <c r="S118" s="188"/>
      <c r="T118" s="188">
        <v>73345</v>
      </c>
    </row>
    <row r="119" spans="1:20" ht="18">
      <c r="A119" s="133" t="s">
        <v>48</v>
      </c>
      <c r="B119" s="133" t="s">
        <v>199</v>
      </c>
      <c r="C119" s="133" t="s">
        <v>201</v>
      </c>
      <c r="D119" s="133">
        <v>0</v>
      </c>
      <c r="E119" s="133">
        <v>21</v>
      </c>
      <c r="F119" s="130">
        <f t="shared" si="8"/>
        <v>-0.17806962958110897</v>
      </c>
      <c r="G119" s="130">
        <f t="shared" si="9"/>
        <v>11.396874678104211</v>
      </c>
      <c r="H119" s="130">
        <f t="shared" si="10"/>
        <v>0.89691497366440931</v>
      </c>
      <c r="I119" s="130">
        <v>9.4310610000000003E-2</v>
      </c>
      <c r="J119" s="130"/>
      <c r="K119" s="130"/>
      <c r="L119" s="183">
        <v>-5437</v>
      </c>
      <c r="M119" s="133"/>
      <c r="N119" s="194">
        <v>12937</v>
      </c>
      <c r="O119" s="190">
        <v>89043</v>
      </c>
      <c r="P119" s="52">
        <v>30533</v>
      </c>
      <c r="Q119" s="191">
        <f>N119-T119</f>
        <v>-66927</v>
      </c>
      <c r="R119" s="188"/>
      <c r="S119" s="188"/>
      <c r="T119" s="188">
        <v>79864</v>
      </c>
    </row>
    <row r="120" spans="1:20">
      <c r="A120" s="134" t="s">
        <v>51</v>
      </c>
      <c r="B120" s="134" t="s">
        <v>200</v>
      </c>
      <c r="C120" s="134" t="s">
        <v>205</v>
      </c>
      <c r="D120" s="134">
        <v>0</v>
      </c>
      <c r="E120" s="134">
        <v>11</v>
      </c>
      <c r="F120" s="130">
        <f t="shared" si="8"/>
        <v>0.17917975356366272</v>
      </c>
      <c r="G120" s="130">
        <f t="shared" si="9"/>
        <v>10.277152348094495</v>
      </c>
      <c r="H120" s="130">
        <f t="shared" si="10"/>
        <v>0.60658614638174868</v>
      </c>
      <c r="I120" s="130">
        <f t="shared" si="11"/>
        <v>-2.9798704913709749E-2</v>
      </c>
      <c r="J120" s="130"/>
      <c r="K120" s="130"/>
      <c r="L120" s="140">
        <v>5933</v>
      </c>
      <c r="M120" s="138"/>
      <c r="N120" s="52"/>
      <c r="O120" s="52">
        <v>29061</v>
      </c>
      <c r="P120" s="52">
        <v>33112</v>
      </c>
      <c r="Q120" s="52">
        <v>11433</v>
      </c>
      <c r="R120" s="52"/>
      <c r="S120" s="52"/>
      <c r="T120" s="52">
        <v>17628</v>
      </c>
    </row>
    <row r="121" spans="1:20">
      <c r="A121" s="134" t="s">
        <v>51</v>
      </c>
      <c r="B121" s="134" t="s">
        <v>200</v>
      </c>
      <c r="C121" s="134" t="s">
        <v>203</v>
      </c>
      <c r="D121" s="134">
        <v>0</v>
      </c>
      <c r="E121" s="134">
        <v>18</v>
      </c>
      <c r="F121" s="130">
        <f t="shared" si="8"/>
        <v>4.0698526180081455E-2</v>
      </c>
      <c r="G121" s="130">
        <f t="shared" si="9"/>
        <v>10.358948446965533</v>
      </c>
      <c r="H121" s="130">
        <f t="shared" si="10"/>
        <v>0.60102099055108127</v>
      </c>
      <c r="I121" s="130">
        <f t="shared" si="11"/>
        <v>0.23821790080905561</v>
      </c>
      <c r="J121" s="130"/>
      <c r="K121" s="130"/>
      <c r="L121" s="140">
        <v>1389</v>
      </c>
      <c r="M121" s="138"/>
      <c r="N121" s="52"/>
      <c r="O121" s="52">
        <v>31538</v>
      </c>
      <c r="P121" s="52">
        <v>34129</v>
      </c>
      <c r="Q121" s="52">
        <v>12583</v>
      </c>
      <c r="R121" s="52"/>
      <c r="S121" s="52"/>
      <c r="T121" s="52">
        <v>18955</v>
      </c>
    </row>
    <row r="122" spans="1:20">
      <c r="A122" s="134" t="s">
        <v>51</v>
      </c>
      <c r="B122" s="134" t="s">
        <v>200</v>
      </c>
      <c r="C122" s="134" t="s">
        <v>202</v>
      </c>
      <c r="D122" s="134">
        <v>0</v>
      </c>
      <c r="E122" s="134">
        <v>16</v>
      </c>
      <c r="F122" s="130">
        <f t="shared" si="8"/>
        <v>0.1284693248195044</v>
      </c>
      <c r="G122" s="130">
        <f t="shared" si="9"/>
        <v>10.632050138317028</v>
      </c>
      <c r="H122" s="130">
        <f t="shared" si="10"/>
        <v>0.61367694609333523</v>
      </c>
      <c r="I122" s="130">
        <f t="shared" si="11"/>
        <v>-7.4259420971317255E-2</v>
      </c>
      <c r="J122" s="130"/>
      <c r="K122" s="130"/>
      <c r="L122" s="140">
        <v>3541</v>
      </c>
      <c r="M122" s="138"/>
      <c r="N122" s="52"/>
      <c r="O122" s="52">
        <v>41442</v>
      </c>
      <c r="P122" s="52">
        <v>27563</v>
      </c>
      <c r="Q122" s="52">
        <v>16010</v>
      </c>
      <c r="R122" s="52"/>
      <c r="S122" s="52"/>
      <c r="T122" s="52">
        <v>25432</v>
      </c>
    </row>
    <row r="123" spans="1:20">
      <c r="A123" s="134" t="s">
        <v>51</v>
      </c>
      <c r="B123" s="134" t="s">
        <v>200</v>
      </c>
      <c r="C123" s="134" t="s">
        <v>201</v>
      </c>
      <c r="D123" s="134">
        <v>0</v>
      </c>
      <c r="E123" s="134">
        <v>20</v>
      </c>
      <c r="F123" s="130">
        <f t="shared" si="8"/>
        <v>3.1940619332303355E-2</v>
      </c>
      <c r="G123" s="130">
        <f t="shared" si="9"/>
        <v>10.780184701749807</v>
      </c>
      <c r="H123" s="130">
        <f t="shared" si="10"/>
        <v>0.64768305624336753</v>
      </c>
      <c r="I123" s="130">
        <v>4.4719924974676195E-2</v>
      </c>
      <c r="J123" s="130"/>
      <c r="K123" s="130"/>
      <c r="L123" s="140">
        <v>951</v>
      </c>
      <c r="M123" s="138"/>
      <c r="N123" s="52"/>
      <c r="O123" s="52">
        <v>48059</v>
      </c>
      <c r="P123" s="52">
        <v>29774</v>
      </c>
      <c r="Q123" s="52">
        <v>16932</v>
      </c>
      <c r="R123" s="52"/>
      <c r="S123" s="52"/>
      <c r="T123" s="52">
        <v>31127</v>
      </c>
    </row>
    <row r="124" spans="1:20">
      <c r="A124" s="134" t="s">
        <v>52</v>
      </c>
      <c r="B124" s="134" t="s">
        <v>200</v>
      </c>
      <c r="C124" s="134" t="s">
        <v>205</v>
      </c>
      <c r="D124" s="134">
        <v>0</v>
      </c>
      <c r="E124" s="134">
        <v>17</v>
      </c>
      <c r="F124" s="130">
        <f t="shared" si="8"/>
        <v>2.3481804451283804E-2</v>
      </c>
      <c r="G124" s="130">
        <f t="shared" si="9"/>
        <v>10.319364930991602</v>
      </c>
      <c r="H124" s="130">
        <f t="shared" si="10"/>
        <v>0.56805436432011613</v>
      </c>
      <c r="I124" s="130">
        <f t="shared" si="11"/>
        <v>-0.10308250690113485</v>
      </c>
      <c r="J124" s="130"/>
      <c r="K124" s="130"/>
      <c r="L124" s="140">
        <v>824</v>
      </c>
      <c r="M124" s="138"/>
      <c r="N124" s="52"/>
      <c r="O124" s="52">
        <v>30314</v>
      </c>
      <c r="P124" s="52">
        <v>35091</v>
      </c>
      <c r="Q124" s="52">
        <v>13094</v>
      </c>
      <c r="R124" s="52"/>
      <c r="S124" s="52"/>
      <c r="T124" s="52">
        <v>17220</v>
      </c>
    </row>
    <row r="125" spans="1:20">
      <c r="A125" s="134" t="s">
        <v>52</v>
      </c>
      <c r="B125" s="134" t="s">
        <v>200</v>
      </c>
      <c r="C125" s="134" t="s">
        <v>204</v>
      </c>
      <c r="D125" s="134">
        <v>0</v>
      </c>
      <c r="E125" s="134">
        <v>20</v>
      </c>
      <c r="F125" s="130">
        <f t="shared" si="8"/>
        <v>1.0811777936816277E-2</v>
      </c>
      <c r="G125" s="130">
        <f t="shared" si="9"/>
        <v>10.363346144474624</v>
      </c>
      <c r="H125" s="130">
        <f t="shared" si="10"/>
        <v>0.58215740126905957</v>
      </c>
      <c r="I125" s="130">
        <v>-0.1190543345</v>
      </c>
      <c r="J125" s="130"/>
      <c r="K125" s="130"/>
      <c r="L125" s="140">
        <v>423</v>
      </c>
      <c r="M125" s="138"/>
      <c r="N125" s="52"/>
      <c r="O125" s="52">
        <v>31677</v>
      </c>
      <c r="P125" s="52">
        <v>39124</v>
      </c>
      <c r="Q125" s="52">
        <v>13236</v>
      </c>
      <c r="R125" s="52"/>
      <c r="S125" s="52"/>
      <c r="T125" s="52">
        <v>18441</v>
      </c>
    </row>
    <row r="126" spans="1:20" ht="17">
      <c r="A126" s="131" t="s">
        <v>53</v>
      </c>
      <c r="B126" s="131" t="s">
        <v>193</v>
      </c>
      <c r="C126" s="131" t="s">
        <v>201</v>
      </c>
      <c r="D126" s="131">
        <v>0</v>
      </c>
      <c r="E126" s="131">
        <v>20</v>
      </c>
      <c r="F126" s="130">
        <f t="shared" si="8"/>
        <v>-0.22921271550858016</v>
      </c>
      <c r="G126" s="130">
        <f t="shared" si="9"/>
        <v>12.234465720031391</v>
      </c>
      <c r="H126" s="130">
        <f t="shared" si="10"/>
        <v>0.3843701399688958</v>
      </c>
      <c r="I126" s="130">
        <v>1.34866435342E-2</v>
      </c>
      <c r="J126" s="130"/>
      <c r="K126" s="130"/>
      <c r="L126" s="184">
        <v>-11407</v>
      </c>
      <c r="M126" s="178">
        <v>269</v>
      </c>
      <c r="N126" s="179">
        <v>5940</v>
      </c>
      <c r="O126" s="179">
        <v>205760</v>
      </c>
      <c r="P126" s="179">
        <v>49766</v>
      </c>
      <c r="Q126" s="179">
        <v>126672</v>
      </c>
      <c r="R126" s="179">
        <v>6729</v>
      </c>
      <c r="S126" s="179">
        <v>72359</v>
      </c>
      <c r="T126" s="139">
        <f t="shared" ref="T126:T139" si="14">R126+S126</f>
        <v>79088</v>
      </c>
    </row>
    <row r="127" spans="1:20">
      <c r="A127" s="131" t="s">
        <v>54</v>
      </c>
      <c r="B127" s="131" t="s">
        <v>193</v>
      </c>
      <c r="C127" s="131" t="s">
        <v>201</v>
      </c>
      <c r="D127" s="131">
        <v>0</v>
      </c>
      <c r="E127" s="131">
        <v>17</v>
      </c>
      <c r="F127" s="130">
        <f t="shared" si="8"/>
        <v>0.22191323692992213</v>
      </c>
      <c r="G127" s="130">
        <f t="shared" si="9"/>
        <v>9.2453213408714277</v>
      </c>
      <c r="H127" s="130">
        <f t="shared" si="10"/>
        <v>3.5055040556199306</v>
      </c>
      <c r="I127" s="130">
        <f t="shared" si="11"/>
        <v>9.3164177289585148E-2</v>
      </c>
      <c r="J127" s="130"/>
      <c r="K127" s="130"/>
      <c r="L127" s="145">
        <v>11970</v>
      </c>
      <c r="M127" s="131">
        <v>275</v>
      </c>
      <c r="N127" s="139">
        <v>1714</v>
      </c>
      <c r="O127" s="139">
        <v>10356</v>
      </c>
      <c r="P127" s="139">
        <v>53940</v>
      </c>
      <c r="Q127" s="139">
        <f>O127-T127</f>
        <v>-25947</v>
      </c>
      <c r="R127" s="139">
        <v>8467</v>
      </c>
      <c r="S127" s="139">
        <v>27836</v>
      </c>
      <c r="T127" s="139">
        <f t="shared" si="14"/>
        <v>36303</v>
      </c>
    </row>
    <row r="128" spans="1:20">
      <c r="A128" s="131" t="s">
        <v>54</v>
      </c>
      <c r="B128" s="131" t="s">
        <v>193</v>
      </c>
      <c r="C128" s="131" t="s">
        <v>173</v>
      </c>
      <c r="D128" s="131">
        <v>0</v>
      </c>
      <c r="E128" s="131">
        <v>13</v>
      </c>
      <c r="F128" s="130">
        <f t="shared" si="8"/>
        <v>0.24258760107816713</v>
      </c>
      <c r="G128" s="130">
        <f t="shared" si="9"/>
        <v>7.2841348061952047</v>
      </c>
      <c r="H128" s="130">
        <f t="shared" si="10"/>
        <v>1.0988332189430337</v>
      </c>
      <c r="I128" s="130">
        <v>6.3284045999999997E-2</v>
      </c>
      <c r="J128" s="130"/>
      <c r="K128" s="130"/>
      <c r="L128" s="145">
        <v>11970</v>
      </c>
      <c r="M128" s="131">
        <v>291</v>
      </c>
      <c r="N128" s="139">
        <v>965</v>
      </c>
      <c r="O128" s="139">
        <v>1457</v>
      </c>
      <c r="P128" s="139">
        <v>49343</v>
      </c>
      <c r="Q128" s="139">
        <f>O128-T128</f>
        <v>-144</v>
      </c>
      <c r="R128" s="139">
        <v>1427</v>
      </c>
      <c r="S128" s="139">
        <v>174</v>
      </c>
      <c r="T128" s="139">
        <f t="shared" si="14"/>
        <v>1601</v>
      </c>
    </row>
    <row r="129" spans="1:20" ht="17">
      <c r="A129" s="132" t="s">
        <v>55</v>
      </c>
      <c r="B129" s="132" t="s">
        <v>198</v>
      </c>
      <c r="C129" s="132" t="s">
        <v>203</v>
      </c>
      <c r="D129" s="132">
        <v>0</v>
      </c>
      <c r="E129" s="132">
        <v>18</v>
      </c>
      <c r="F129" s="130">
        <f t="shared" si="8"/>
        <v>-0.25724917032617078</v>
      </c>
      <c r="G129" s="130">
        <f t="shared" si="9"/>
        <v>11.234322056451651</v>
      </c>
      <c r="H129" s="130">
        <f t="shared" si="10"/>
        <v>0.38491623064320069</v>
      </c>
      <c r="I129" s="130">
        <f t="shared" si="11"/>
        <v>-0.57931180369482438</v>
      </c>
      <c r="J129" s="130"/>
      <c r="K129" s="130"/>
      <c r="L129" s="155">
        <v>-7674</v>
      </c>
      <c r="M129" s="167">
        <v>102</v>
      </c>
      <c r="N129" s="156">
        <v>453</v>
      </c>
      <c r="O129" s="156">
        <v>75684</v>
      </c>
      <c r="P129" s="156">
        <v>29831</v>
      </c>
      <c r="Q129" s="156">
        <f>O129-T129</f>
        <v>46552</v>
      </c>
      <c r="R129" s="156">
        <v>27565</v>
      </c>
      <c r="S129" s="156">
        <v>1567</v>
      </c>
      <c r="T129" s="156">
        <f t="shared" si="14"/>
        <v>29132</v>
      </c>
    </row>
    <row r="130" spans="1:20" ht="17">
      <c r="A130" s="132" t="s">
        <v>55</v>
      </c>
      <c r="B130" s="132" t="s">
        <v>198</v>
      </c>
      <c r="C130" s="132" t="s">
        <v>173</v>
      </c>
      <c r="D130" s="132">
        <v>0</v>
      </c>
      <c r="E130" s="132">
        <v>14</v>
      </c>
      <c r="F130" s="130">
        <f t="shared" ref="F130:F193" si="15">L130/P130</f>
        <v>-4.9781413058806935E-2</v>
      </c>
      <c r="G130" s="130">
        <f t="shared" ref="G130:G193" si="16">LN(O130)</f>
        <v>12.447311485113476</v>
      </c>
      <c r="H130" s="130">
        <f t="shared" ref="H130:H193" si="17">T130/O130</f>
        <v>1.3916170722605228</v>
      </c>
      <c r="I130" s="130">
        <v>-6.2300589256000002E-2</v>
      </c>
      <c r="J130" s="130"/>
      <c r="K130" s="130"/>
      <c r="L130" s="155">
        <v>-3530</v>
      </c>
      <c r="M130" s="167">
        <v>192</v>
      </c>
      <c r="N130" s="156">
        <v>2564</v>
      </c>
      <c r="O130" s="156">
        <v>254565</v>
      </c>
      <c r="P130" s="156">
        <v>70910</v>
      </c>
      <c r="Q130" s="156">
        <v>38562</v>
      </c>
      <c r="R130" s="156">
        <v>275668</v>
      </c>
      <c r="S130" s="156">
        <v>78589</v>
      </c>
      <c r="T130" s="156">
        <f t="shared" si="14"/>
        <v>354257</v>
      </c>
    </row>
    <row r="131" spans="1:20" ht="17">
      <c r="A131" s="131" t="s">
        <v>56</v>
      </c>
      <c r="B131" s="131" t="s">
        <v>193</v>
      </c>
      <c r="C131" s="131" t="s">
        <v>205</v>
      </c>
      <c r="D131" s="131">
        <v>0</v>
      </c>
      <c r="E131" s="131">
        <v>11</v>
      </c>
      <c r="F131" s="130">
        <f t="shared" si="15"/>
        <v>8.0156365876038568E-2</v>
      </c>
      <c r="G131" s="130">
        <f t="shared" si="16"/>
        <v>12.161221712392278</v>
      </c>
      <c r="H131" s="130">
        <f t="shared" si="17"/>
        <v>0.7750643211245215</v>
      </c>
      <c r="I131" s="130">
        <f t="shared" ref="I131:I192" si="18">IF(A131=A132, (P131-P132)/P132, "")</f>
        <v>-8.3265155618035797E-2</v>
      </c>
      <c r="J131" s="130"/>
      <c r="K131" s="130"/>
      <c r="L131" s="184">
        <v>6377</v>
      </c>
      <c r="M131" s="178">
        <v>340</v>
      </c>
      <c r="N131" s="179">
        <v>0</v>
      </c>
      <c r="O131" s="179">
        <v>191228</v>
      </c>
      <c r="P131" s="179">
        <v>79557</v>
      </c>
      <c r="Q131" s="179">
        <v>43014</v>
      </c>
      <c r="R131" s="179">
        <v>70628</v>
      </c>
      <c r="S131" s="179">
        <v>77586</v>
      </c>
      <c r="T131" s="139">
        <f t="shared" si="14"/>
        <v>148214</v>
      </c>
    </row>
    <row r="132" spans="1:20" ht="17">
      <c r="A132" s="131" t="s">
        <v>56</v>
      </c>
      <c r="B132" s="131" t="s">
        <v>193</v>
      </c>
      <c r="C132" s="131" t="s">
        <v>203</v>
      </c>
      <c r="D132" s="131">
        <v>0</v>
      </c>
      <c r="E132" s="131">
        <v>7</v>
      </c>
      <c r="F132" s="130">
        <f t="shared" si="15"/>
        <v>2.104098729013747E-2</v>
      </c>
      <c r="G132" s="130">
        <f t="shared" si="16"/>
        <v>12.197556485761835</v>
      </c>
      <c r="H132" s="130">
        <f t="shared" si="17"/>
        <v>0.78244009197999032</v>
      </c>
      <c r="I132" s="130">
        <f t="shared" si="18"/>
        <v>-0.14987804041809116</v>
      </c>
      <c r="J132" s="130"/>
      <c r="K132" s="130"/>
      <c r="L132" s="184">
        <v>1826</v>
      </c>
      <c r="M132" s="178">
        <v>365</v>
      </c>
      <c r="N132" s="179">
        <v>25781</v>
      </c>
      <c r="O132" s="179">
        <v>198304</v>
      </c>
      <c r="P132" s="179">
        <v>86783</v>
      </c>
      <c r="Q132" s="179">
        <v>43142</v>
      </c>
      <c r="R132" s="179">
        <v>66651</v>
      </c>
      <c r="S132" s="179">
        <v>88510</v>
      </c>
      <c r="T132" s="139">
        <f t="shared" si="14"/>
        <v>155161</v>
      </c>
    </row>
    <row r="133" spans="1:20" ht="17">
      <c r="A133" s="131" t="s">
        <v>56</v>
      </c>
      <c r="B133" s="131" t="s">
        <v>193</v>
      </c>
      <c r="C133" s="131" t="s">
        <v>202</v>
      </c>
      <c r="D133" s="131">
        <v>0</v>
      </c>
      <c r="E133" s="131">
        <v>20</v>
      </c>
      <c r="F133" s="130">
        <f t="shared" si="15"/>
        <v>8.9397842931732016E-2</v>
      </c>
      <c r="G133" s="130">
        <f t="shared" si="16"/>
        <v>12.281463009353811</v>
      </c>
      <c r="H133" s="130">
        <f t="shared" si="17"/>
        <v>0.52563977724298783</v>
      </c>
      <c r="I133" s="130">
        <f t="shared" si="18"/>
        <v>-0.40630779430751512</v>
      </c>
      <c r="J133" s="130"/>
      <c r="K133" s="130"/>
      <c r="L133" s="184">
        <v>9126</v>
      </c>
      <c r="M133" s="178">
        <v>289</v>
      </c>
      <c r="N133" s="179">
        <v>9669</v>
      </c>
      <c r="O133" s="179">
        <v>215661</v>
      </c>
      <c r="P133" s="179">
        <v>102083</v>
      </c>
      <c r="Q133" s="179">
        <v>102301</v>
      </c>
      <c r="R133" s="179">
        <v>25882</v>
      </c>
      <c r="S133" s="179">
        <v>87478</v>
      </c>
      <c r="T133" s="139">
        <f t="shared" si="14"/>
        <v>113360</v>
      </c>
    </row>
    <row r="134" spans="1:20" ht="17">
      <c r="A134" s="131" t="s">
        <v>56</v>
      </c>
      <c r="B134" s="131" t="s">
        <v>193</v>
      </c>
      <c r="C134" s="131" t="s">
        <v>173</v>
      </c>
      <c r="D134" s="131">
        <v>0</v>
      </c>
      <c r="E134" s="131">
        <v>14</v>
      </c>
      <c r="F134" s="130">
        <f t="shared" si="15"/>
        <v>7.8425784839426332E-2</v>
      </c>
      <c r="G134" s="130">
        <f t="shared" si="16"/>
        <v>12.568487584134461</v>
      </c>
      <c r="H134" s="130">
        <f t="shared" si="17"/>
        <v>0.48970451595391129</v>
      </c>
      <c r="I134" s="130">
        <v>-0.21315033011454734</v>
      </c>
      <c r="J134" s="130"/>
      <c r="K134" s="130"/>
      <c r="L134" s="184">
        <v>13485</v>
      </c>
      <c r="M134" s="178">
        <v>324</v>
      </c>
      <c r="N134" s="179">
        <v>7546</v>
      </c>
      <c r="O134" s="179">
        <v>287359</v>
      </c>
      <c r="P134" s="179">
        <v>171946</v>
      </c>
      <c r="Q134" s="179">
        <f>O134-T134</f>
        <v>146638</v>
      </c>
      <c r="R134" s="179">
        <v>93076</v>
      </c>
      <c r="S134" s="179">
        <v>47645</v>
      </c>
      <c r="T134" s="139">
        <f t="shared" si="14"/>
        <v>140721</v>
      </c>
    </row>
    <row r="135" spans="1:20" ht="17">
      <c r="A135" s="130" t="s">
        <v>57</v>
      </c>
      <c r="B135" s="130" t="s">
        <v>172</v>
      </c>
      <c r="C135" s="130" t="s">
        <v>205</v>
      </c>
      <c r="D135" s="130">
        <v>0</v>
      </c>
      <c r="E135" s="130">
        <v>8</v>
      </c>
      <c r="F135" s="130">
        <f t="shared" si="15"/>
        <v>-6.9231340443503847E-2</v>
      </c>
      <c r="G135" s="130">
        <f t="shared" si="16"/>
        <v>12.985012126975004</v>
      </c>
      <c r="H135" s="130">
        <f t="shared" si="17"/>
        <v>0.67757300978358637</v>
      </c>
      <c r="I135" s="130">
        <f t="shared" si="18"/>
        <v>2.9824209228298586E-2</v>
      </c>
      <c r="J135" s="130"/>
      <c r="K135" s="130"/>
      <c r="L135" s="170">
        <v>-14917</v>
      </c>
      <c r="M135" s="171">
        <v>427</v>
      </c>
      <c r="N135" s="172">
        <v>85645</v>
      </c>
      <c r="O135" s="172">
        <v>435832</v>
      </c>
      <c r="P135" s="172">
        <v>215466</v>
      </c>
      <c r="Q135" s="172">
        <v>140524</v>
      </c>
      <c r="R135" s="172">
        <v>65149</v>
      </c>
      <c r="S135" s="172">
        <v>230159</v>
      </c>
      <c r="T135" s="148">
        <f t="shared" si="14"/>
        <v>295308</v>
      </c>
    </row>
    <row r="136" spans="1:20" ht="17">
      <c r="A136" s="130" t="s">
        <v>57</v>
      </c>
      <c r="B136" s="130" t="s">
        <v>172</v>
      </c>
      <c r="C136" s="130" t="s">
        <v>203</v>
      </c>
      <c r="D136" s="130">
        <v>0</v>
      </c>
      <c r="E136" s="130">
        <v>8</v>
      </c>
      <c r="F136" s="130">
        <f t="shared" si="15"/>
        <v>-0.59582461070803816</v>
      </c>
      <c r="G136" s="130">
        <f t="shared" si="16"/>
        <v>13.001690670667118</v>
      </c>
      <c r="H136" s="130">
        <f t="shared" si="17"/>
        <v>0.59545719172672751</v>
      </c>
      <c r="I136" s="130">
        <f t="shared" si="18"/>
        <v>2.7203770528021209E-2</v>
      </c>
      <c r="J136" s="130"/>
      <c r="K136" s="130"/>
      <c r="L136" s="170">
        <v>-124662</v>
      </c>
      <c r="M136" s="171">
        <v>456</v>
      </c>
      <c r="N136" s="172">
        <v>19999</v>
      </c>
      <c r="O136" s="172">
        <v>443162</v>
      </c>
      <c r="P136" s="172">
        <v>209226</v>
      </c>
      <c r="Q136" s="172">
        <v>179277</v>
      </c>
      <c r="R136" s="172">
        <v>77885</v>
      </c>
      <c r="S136" s="172">
        <v>185999</v>
      </c>
      <c r="T136" s="148">
        <f t="shared" si="14"/>
        <v>263884</v>
      </c>
    </row>
    <row r="137" spans="1:20" ht="17">
      <c r="A137" s="130" t="s">
        <v>57</v>
      </c>
      <c r="B137" s="130" t="s">
        <v>172</v>
      </c>
      <c r="C137" s="130" t="s">
        <v>202</v>
      </c>
      <c r="D137" s="130">
        <v>0</v>
      </c>
      <c r="E137" s="130">
        <v>12</v>
      </c>
      <c r="F137" s="130">
        <f t="shared" si="15"/>
        <v>-0.75246090777425922</v>
      </c>
      <c r="G137" s="130">
        <f t="shared" si="16"/>
        <v>12.926409318879077</v>
      </c>
      <c r="H137" s="130">
        <f t="shared" si="17"/>
        <v>0.81089714737546381</v>
      </c>
      <c r="I137" s="130">
        <f t="shared" si="18"/>
        <v>-9.5962823892839069E-2</v>
      </c>
      <c r="J137" s="130"/>
      <c r="K137" s="130"/>
      <c r="L137" s="170">
        <v>-153265</v>
      </c>
      <c r="M137" s="171">
        <v>452</v>
      </c>
      <c r="N137" s="172">
        <v>64330</v>
      </c>
      <c r="O137" s="172">
        <v>411025</v>
      </c>
      <c r="P137" s="172">
        <v>203685</v>
      </c>
      <c r="Q137" s="172">
        <v>77726</v>
      </c>
      <c r="R137" s="172">
        <v>59039</v>
      </c>
      <c r="S137" s="172">
        <v>274260</v>
      </c>
      <c r="T137" s="172">
        <f t="shared" si="14"/>
        <v>333299</v>
      </c>
    </row>
    <row r="138" spans="1:20" ht="17">
      <c r="A138" s="130" t="s">
        <v>57</v>
      </c>
      <c r="B138" s="130" t="s">
        <v>172</v>
      </c>
      <c r="C138" s="130" t="s">
        <v>201</v>
      </c>
      <c r="D138" s="130">
        <v>0</v>
      </c>
      <c r="E138" s="130">
        <v>10</v>
      </c>
      <c r="F138" s="130">
        <f t="shared" si="15"/>
        <v>-0.62613956130773263</v>
      </c>
      <c r="G138" s="130">
        <f t="shared" si="16"/>
        <v>12.884164562210797</v>
      </c>
      <c r="H138" s="130">
        <f t="shared" si="17"/>
        <v>0.85271671958235939</v>
      </c>
      <c r="I138" s="130">
        <f t="shared" si="18"/>
        <v>6.7725043243371322E-2</v>
      </c>
      <c r="J138" s="130"/>
      <c r="K138" s="130"/>
      <c r="L138" s="170">
        <v>-141073</v>
      </c>
      <c r="M138" s="171">
        <v>450</v>
      </c>
      <c r="N138" s="172">
        <v>3957</v>
      </c>
      <c r="O138" s="172">
        <v>394023</v>
      </c>
      <c r="P138" s="172">
        <v>225306</v>
      </c>
      <c r="Q138" s="172">
        <v>58034</v>
      </c>
      <c r="R138" s="172">
        <v>193919</v>
      </c>
      <c r="S138" s="172">
        <v>142071</v>
      </c>
      <c r="T138" s="148">
        <f t="shared" si="14"/>
        <v>335990</v>
      </c>
    </row>
    <row r="139" spans="1:20">
      <c r="A139" s="130" t="s">
        <v>57</v>
      </c>
      <c r="B139" s="130" t="s">
        <v>172</v>
      </c>
      <c r="C139" s="130" t="s">
        <v>173</v>
      </c>
      <c r="D139" s="130">
        <v>0</v>
      </c>
      <c r="E139" s="130">
        <v>16</v>
      </c>
      <c r="F139" s="130">
        <f t="shared" si="15"/>
        <v>-0.24712935099400515</v>
      </c>
      <c r="G139" s="130">
        <f t="shared" si="16"/>
        <v>13.352253717865493</v>
      </c>
      <c r="H139" s="130">
        <f t="shared" si="17"/>
        <v>0.56578903455169882</v>
      </c>
      <c r="I139" s="130">
        <v>7.1975497767130109E-3</v>
      </c>
      <c r="J139" s="130"/>
      <c r="K139" s="130"/>
      <c r="L139" s="154">
        <v>-52148</v>
      </c>
      <c r="M139" s="130">
        <v>442</v>
      </c>
      <c r="N139" s="148">
        <v>16825</v>
      </c>
      <c r="O139" s="148">
        <v>629231</v>
      </c>
      <c r="P139" s="148">
        <v>211015</v>
      </c>
      <c r="Q139" s="148">
        <v>273219</v>
      </c>
      <c r="R139" s="148">
        <v>208672</v>
      </c>
      <c r="S139" s="148">
        <v>147340</v>
      </c>
      <c r="T139" s="148">
        <f t="shared" si="14"/>
        <v>356012</v>
      </c>
    </row>
    <row r="140" spans="1:20" ht="18">
      <c r="A140" s="133" t="s">
        <v>158</v>
      </c>
      <c r="B140" s="133" t="s">
        <v>199</v>
      </c>
      <c r="C140" s="133" t="s">
        <v>201</v>
      </c>
      <c r="D140" s="133">
        <v>0</v>
      </c>
      <c r="E140" s="133">
        <v>8</v>
      </c>
      <c r="F140" s="130">
        <f t="shared" si="15"/>
        <v>0.49472643375082398</v>
      </c>
      <c r="G140" s="130">
        <f t="shared" si="16"/>
        <v>11.143961027898758</v>
      </c>
      <c r="H140" s="130">
        <f t="shared" si="17"/>
        <v>0.53862173692964066</v>
      </c>
      <c r="I140" s="130">
        <f t="shared" si="18"/>
        <v>0.9142480934876831</v>
      </c>
      <c r="J140" s="130"/>
      <c r="K140" s="130"/>
      <c r="L140" s="183">
        <v>34523</v>
      </c>
      <c r="M140" s="133"/>
      <c r="N140" s="194">
        <v>53497</v>
      </c>
      <c r="O140" s="190">
        <v>69145</v>
      </c>
      <c r="P140" s="52">
        <v>69782</v>
      </c>
      <c r="Q140" s="191">
        <f>O140-T140</f>
        <v>31902</v>
      </c>
      <c r="R140" s="188"/>
      <c r="S140" s="188"/>
      <c r="T140" s="188">
        <v>37243</v>
      </c>
    </row>
    <row r="141" spans="1:20" ht="18">
      <c r="A141" s="133" t="s">
        <v>158</v>
      </c>
      <c r="B141" s="133" t="s">
        <v>199</v>
      </c>
      <c r="C141" s="133" t="s">
        <v>173</v>
      </c>
      <c r="D141" s="133">
        <v>0</v>
      </c>
      <c r="E141" s="133">
        <v>8</v>
      </c>
      <c r="F141" s="130">
        <f t="shared" si="15"/>
        <v>0.15068305261425358</v>
      </c>
      <c r="G141" s="130">
        <f t="shared" si="16"/>
        <v>11.498035152475033</v>
      </c>
      <c r="H141" s="130">
        <f t="shared" si="17"/>
        <v>1.8973833255516535</v>
      </c>
      <c r="I141" s="130">
        <v>9.1635464129999997E-2</v>
      </c>
      <c r="J141" s="130"/>
      <c r="K141" s="130"/>
      <c r="L141" s="192">
        <v>5493</v>
      </c>
      <c r="M141" s="193"/>
      <c r="N141" s="188">
        <v>98754</v>
      </c>
      <c r="O141" s="188">
        <v>98522</v>
      </c>
      <c r="P141" s="188">
        <v>36454</v>
      </c>
      <c r="Q141" s="188">
        <f>O141-T141</f>
        <v>-88412</v>
      </c>
      <c r="R141" s="188"/>
      <c r="S141" s="52"/>
      <c r="T141" s="52">
        <v>186934</v>
      </c>
    </row>
    <row r="142" spans="1:20" ht="17">
      <c r="A142" s="133" t="s">
        <v>58</v>
      </c>
      <c r="B142" s="133" t="s">
        <v>199</v>
      </c>
      <c r="C142" s="133" t="s">
        <v>205</v>
      </c>
      <c r="D142" s="133">
        <v>1</v>
      </c>
      <c r="E142" s="133">
        <v>2</v>
      </c>
      <c r="F142" s="130">
        <f t="shared" si="15"/>
        <v>-0.46389722676794637</v>
      </c>
      <c r="G142" s="130">
        <f t="shared" si="16"/>
        <v>12.339160189668528</v>
      </c>
      <c r="H142" s="130">
        <f t="shared" si="17"/>
        <v>1.7000919157876309</v>
      </c>
      <c r="I142" s="130">
        <f t="shared" si="18"/>
        <v>-0.15578063934632122</v>
      </c>
      <c r="J142" s="130"/>
      <c r="K142" s="130"/>
      <c r="L142" s="176">
        <v>-53010</v>
      </c>
      <c r="M142" s="169">
        <v>523</v>
      </c>
      <c r="N142" s="175">
        <v>84905</v>
      </c>
      <c r="O142" s="175">
        <v>228470</v>
      </c>
      <c r="P142" s="175">
        <v>114271</v>
      </c>
      <c r="Q142" s="175">
        <v>-159951</v>
      </c>
      <c r="R142" s="175">
        <v>241364</v>
      </c>
      <c r="S142" s="175">
        <v>147056</v>
      </c>
      <c r="T142" s="52">
        <f t="shared" ref="T142:T171" si="19">R142+S142</f>
        <v>388420</v>
      </c>
    </row>
    <row r="143" spans="1:20" ht="17">
      <c r="A143" s="133" t="s">
        <v>58</v>
      </c>
      <c r="B143" s="133" t="s">
        <v>199</v>
      </c>
      <c r="C143" s="133" t="s">
        <v>203</v>
      </c>
      <c r="D143" s="133">
        <v>1</v>
      </c>
      <c r="E143" s="133">
        <v>6</v>
      </c>
      <c r="F143" s="130">
        <f t="shared" si="15"/>
        <v>-0.23019127196968017</v>
      </c>
      <c r="G143" s="130">
        <f t="shared" si="16"/>
        <v>12.610026612439386</v>
      </c>
      <c r="H143" s="130">
        <f t="shared" si="17"/>
        <v>1.327557945831539</v>
      </c>
      <c r="I143" s="130">
        <f t="shared" si="18"/>
        <v>0.87727279031385652</v>
      </c>
      <c r="J143" s="130"/>
      <c r="K143" s="130"/>
      <c r="L143" s="176">
        <v>-31158</v>
      </c>
      <c r="M143" s="169">
        <v>564</v>
      </c>
      <c r="N143" s="175">
        <v>145967</v>
      </c>
      <c r="O143" s="175">
        <v>299547</v>
      </c>
      <c r="P143" s="175">
        <v>135357</v>
      </c>
      <c r="Q143" s="175">
        <v>-98119</v>
      </c>
      <c r="R143" s="175">
        <v>180174</v>
      </c>
      <c r="S143" s="175">
        <v>217492</v>
      </c>
      <c r="T143" s="52">
        <f t="shared" si="19"/>
        <v>397666</v>
      </c>
    </row>
    <row r="144" spans="1:20" ht="18">
      <c r="A144" s="133" t="s">
        <v>58</v>
      </c>
      <c r="B144" s="133" t="s">
        <v>199</v>
      </c>
      <c r="C144" s="133" t="s">
        <v>202</v>
      </c>
      <c r="D144" s="133">
        <v>0</v>
      </c>
      <c r="E144" s="133">
        <v>7</v>
      </c>
      <c r="F144" s="130">
        <f t="shared" si="15"/>
        <v>-0.28269281444600086</v>
      </c>
      <c r="G144" s="130">
        <f t="shared" si="16"/>
        <v>12.525729289222825</v>
      </c>
      <c r="H144" s="130">
        <f t="shared" si="17"/>
        <v>1.3834330315147949</v>
      </c>
      <c r="I144" s="130">
        <f t="shared" si="18"/>
        <v>8.7903797697542127E-2</v>
      </c>
      <c r="J144" s="130"/>
      <c r="K144" s="130"/>
      <c r="L144" s="176">
        <v>-20383</v>
      </c>
      <c r="M144" s="169">
        <v>515</v>
      </c>
      <c r="N144" s="175">
        <v>178779</v>
      </c>
      <c r="O144" s="175">
        <v>275331</v>
      </c>
      <c r="P144" s="175">
        <v>72103</v>
      </c>
      <c r="Q144" s="175">
        <v>-105571</v>
      </c>
      <c r="R144" s="175">
        <v>129305</v>
      </c>
      <c r="S144" s="175">
        <v>251597</v>
      </c>
      <c r="T144" s="188">
        <f t="shared" si="19"/>
        <v>380902</v>
      </c>
    </row>
    <row r="145" spans="1:20" ht="18">
      <c r="A145" s="133" t="s">
        <v>58</v>
      </c>
      <c r="B145" s="133" t="s">
        <v>199</v>
      </c>
      <c r="C145" s="133" t="s">
        <v>201</v>
      </c>
      <c r="D145" s="133">
        <v>0</v>
      </c>
      <c r="E145" s="133">
        <v>3</v>
      </c>
      <c r="F145" s="130">
        <f t="shared" si="15"/>
        <v>-0.29157928089684204</v>
      </c>
      <c r="G145" s="130">
        <f t="shared" si="16"/>
        <v>12.476527172315329</v>
      </c>
      <c r="H145" s="130">
        <f t="shared" si="17"/>
        <v>1.3666180869246733</v>
      </c>
      <c r="I145" s="130">
        <f t="shared" si="18"/>
        <v>-0.11042360141737356</v>
      </c>
      <c r="J145" s="130"/>
      <c r="K145" s="130"/>
      <c r="L145" s="176">
        <v>-19325</v>
      </c>
      <c r="M145" s="169">
        <v>502</v>
      </c>
      <c r="N145" s="175">
        <v>268088</v>
      </c>
      <c r="O145" s="175">
        <v>262112</v>
      </c>
      <c r="P145" s="175">
        <v>66277</v>
      </c>
      <c r="Q145" s="175">
        <v>-96095</v>
      </c>
      <c r="R145" s="175">
        <v>28668</v>
      </c>
      <c r="S145" s="175">
        <v>329539</v>
      </c>
      <c r="T145" s="188">
        <f t="shared" si="19"/>
        <v>358207</v>
      </c>
    </row>
    <row r="146" spans="1:20" ht="17">
      <c r="A146" s="133" t="s">
        <v>58</v>
      </c>
      <c r="B146" s="133" t="s">
        <v>199</v>
      </c>
      <c r="C146" s="133" t="s">
        <v>173</v>
      </c>
      <c r="D146" s="133">
        <v>0</v>
      </c>
      <c r="E146" s="133">
        <v>2</v>
      </c>
      <c r="F146" s="130">
        <f t="shared" si="15"/>
        <v>-0.22716901105980886</v>
      </c>
      <c r="G146" s="130">
        <f t="shared" si="16"/>
        <v>12.23434907248183</v>
      </c>
      <c r="H146" s="130">
        <f t="shared" si="17"/>
        <v>1.3607973325037912</v>
      </c>
      <c r="I146" s="130">
        <v>0.17474308681192596</v>
      </c>
      <c r="J146" s="130"/>
      <c r="K146" s="130"/>
      <c r="L146" s="176">
        <v>-16925</v>
      </c>
      <c r="M146" s="169">
        <v>497</v>
      </c>
      <c r="N146" s="175">
        <v>39383</v>
      </c>
      <c r="O146" s="175">
        <v>205736</v>
      </c>
      <c r="P146" s="175">
        <v>74504</v>
      </c>
      <c r="Q146" s="175">
        <v>-74228</v>
      </c>
      <c r="R146" s="175">
        <v>195462</v>
      </c>
      <c r="S146" s="175">
        <v>84503</v>
      </c>
      <c r="T146" s="52">
        <f t="shared" si="19"/>
        <v>279965</v>
      </c>
    </row>
    <row r="147" spans="1:20" ht="17">
      <c r="A147" s="132" t="s">
        <v>59</v>
      </c>
      <c r="B147" s="132" t="s">
        <v>198</v>
      </c>
      <c r="C147" s="132" t="s">
        <v>205</v>
      </c>
      <c r="D147" s="132">
        <v>0</v>
      </c>
      <c r="E147" s="132">
        <v>8</v>
      </c>
      <c r="F147" s="130">
        <f t="shared" si="15"/>
        <v>-0.14004128462387788</v>
      </c>
      <c r="G147" s="130">
        <f t="shared" si="16"/>
        <v>12.353267762848551</v>
      </c>
      <c r="H147" s="130">
        <f t="shared" si="17"/>
        <v>0.61219337464827639</v>
      </c>
      <c r="I147" s="130">
        <f t="shared" si="18"/>
        <v>-1.2683306001346061E-2</v>
      </c>
      <c r="J147" s="130"/>
      <c r="K147" s="130"/>
      <c r="L147" s="166">
        <v>-14586</v>
      </c>
      <c r="M147" s="167">
        <v>183</v>
      </c>
      <c r="N147" s="168">
        <v>12930</v>
      </c>
      <c r="O147" s="168">
        <v>231716</v>
      </c>
      <c r="P147" s="168">
        <v>104155</v>
      </c>
      <c r="Q147" s="168">
        <v>89862</v>
      </c>
      <c r="R147" s="168">
        <v>39587</v>
      </c>
      <c r="S147" s="168">
        <v>102268</v>
      </c>
      <c r="T147" s="156">
        <f t="shared" si="19"/>
        <v>141855</v>
      </c>
    </row>
    <row r="148" spans="1:20" ht="17">
      <c r="A148" s="132" t="s">
        <v>59</v>
      </c>
      <c r="B148" s="132" t="s">
        <v>198</v>
      </c>
      <c r="C148" s="132" t="s">
        <v>203</v>
      </c>
      <c r="D148" s="132">
        <v>0</v>
      </c>
      <c r="E148" s="132">
        <v>16</v>
      </c>
      <c r="F148" s="130">
        <f t="shared" si="15"/>
        <v>-0.2624155157214223</v>
      </c>
      <c r="G148" s="130">
        <f t="shared" si="16"/>
        <v>12.350194634291325</v>
      </c>
      <c r="H148" s="130">
        <f t="shared" si="17"/>
        <v>0.73082833704898165</v>
      </c>
      <c r="I148" s="130">
        <f t="shared" si="18"/>
        <v>2.038918015786138</v>
      </c>
      <c r="J148" s="130"/>
      <c r="K148" s="130"/>
      <c r="L148" s="166">
        <v>-27683</v>
      </c>
      <c r="M148" s="167">
        <v>216</v>
      </c>
      <c r="N148" s="168">
        <v>7500</v>
      </c>
      <c r="O148" s="168">
        <v>231005</v>
      </c>
      <c r="P148" s="168">
        <v>105493</v>
      </c>
      <c r="Q148" s="168">
        <v>62179</v>
      </c>
      <c r="R148" s="168">
        <v>36192</v>
      </c>
      <c r="S148" s="168">
        <v>132633</v>
      </c>
      <c r="T148" s="156">
        <f t="shared" si="19"/>
        <v>168825</v>
      </c>
    </row>
    <row r="149" spans="1:20" ht="17">
      <c r="A149" s="132" t="s">
        <v>59</v>
      </c>
      <c r="B149" s="132" t="s">
        <v>198</v>
      </c>
      <c r="C149" s="132" t="s">
        <v>202</v>
      </c>
      <c r="D149" s="132">
        <v>0</v>
      </c>
      <c r="E149" s="132">
        <v>10</v>
      </c>
      <c r="F149" s="130">
        <f t="shared" si="15"/>
        <v>-0.85904822261911618</v>
      </c>
      <c r="G149" s="130">
        <f t="shared" si="16"/>
        <v>12.383812890790518</v>
      </c>
      <c r="H149" s="130">
        <f t="shared" si="17"/>
        <v>0.63359187620080115</v>
      </c>
      <c r="I149" s="130">
        <f t="shared" si="18"/>
        <v>-0.78397182187041048</v>
      </c>
      <c r="J149" s="130"/>
      <c r="K149" s="130"/>
      <c r="L149" s="166">
        <v>-29821</v>
      </c>
      <c r="M149" s="167">
        <v>282</v>
      </c>
      <c r="N149" s="168">
        <v>0</v>
      </c>
      <c r="O149" s="168">
        <v>238903</v>
      </c>
      <c r="P149" s="168">
        <v>34714</v>
      </c>
      <c r="Q149" s="168">
        <v>87536</v>
      </c>
      <c r="R149" s="168">
        <v>49246</v>
      </c>
      <c r="S149" s="168">
        <v>102121</v>
      </c>
      <c r="T149" s="156">
        <f t="shared" si="19"/>
        <v>151367</v>
      </c>
    </row>
    <row r="150" spans="1:20" ht="17">
      <c r="A150" s="132" t="s">
        <v>59</v>
      </c>
      <c r="B150" s="132" t="s">
        <v>198</v>
      </c>
      <c r="C150" s="132" t="s">
        <v>201</v>
      </c>
      <c r="D150" s="132">
        <v>0</v>
      </c>
      <c r="E150" s="132">
        <v>13</v>
      </c>
      <c r="F150" s="130">
        <f t="shared" si="15"/>
        <v>-6.4552062330420934E-2</v>
      </c>
      <c r="G150" s="130">
        <f t="shared" si="16"/>
        <v>12.599539393671195</v>
      </c>
      <c r="H150" s="130">
        <f t="shared" si="17"/>
        <v>0.48380349636666642</v>
      </c>
      <c r="I150" s="130">
        <f t="shared" si="18"/>
        <v>-0.30841435230016395</v>
      </c>
      <c r="J150" s="130"/>
      <c r="K150" s="130"/>
      <c r="L150" s="166">
        <v>-10373</v>
      </c>
      <c r="M150" s="167">
        <v>247</v>
      </c>
      <c r="N150" s="168">
        <v>0</v>
      </c>
      <c r="O150" s="168">
        <v>296422</v>
      </c>
      <c r="P150" s="168">
        <v>160692</v>
      </c>
      <c r="Q150" s="168">
        <v>153012</v>
      </c>
      <c r="R150" s="168">
        <v>39146</v>
      </c>
      <c r="S150" s="168">
        <v>104264</v>
      </c>
      <c r="T150" s="156">
        <f t="shared" si="19"/>
        <v>143410</v>
      </c>
    </row>
    <row r="151" spans="1:20" ht="17">
      <c r="A151" s="132" t="s">
        <v>59</v>
      </c>
      <c r="B151" s="132" t="s">
        <v>198</v>
      </c>
      <c r="C151" s="132" t="s">
        <v>173</v>
      </c>
      <c r="D151" s="132">
        <v>0</v>
      </c>
      <c r="E151" s="132">
        <v>7</v>
      </c>
      <c r="F151" s="130">
        <f t="shared" si="15"/>
        <v>0.2015467844185356</v>
      </c>
      <c r="G151" s="130">
        <f t="shared" si="16"/>
        <v>12.810388612383504</v>
      </c>
      <c r="H151" s="130">
        <f t="shared" si="17"/>
        <v>0.40412295081967214</v>
      </c>
      <c r="I151" s="130">
        <v>0.23346213390355436</v>
      </c>
      <c r="J151" s="130"/>
      <c r="K151" s="130"/>
      <c r="L151" s="166">
        <v>46830</v>
      </c>
      <c r="M151" s="167">
        <v>246</v>
      </c>
      <c r="N151" s="168">
        <v>0</v>
      </c>
      <c r="O151" s="168">
        <v>366000</v>
      </c>
      <c r="P151" s="168">
        <v>232353</v>
      </c>
      <c r="Q151" s="168">
        <v>218092</v>
      </c>
      <c r="R151" s="168">
        <v>49512</v>
      </c>
      <c r="S151" s="168">
        <v>98397</v>
      </c>
      <c r="T151" s="156">
        <f t="shared" si="19"/>
        <v>147909</v>
      </c>
    </row>
    <row r="152" spans="1:20" ht="17">
      <c r="A152" s="130" t="s">
        <v>61</v>
      </c>
      <c r="B152" s="130" t="s">
        <v>172</v>
      </c>
      <c r="C152" s="130" t="s">
        <v>203</v>
      </c>
      <c r="D152" s="130">
        <v>0</v>
      </c>
      <c r="E152" s="130">
        <v>19</v>
      </c>
      <c r="F152" s="130">
        <f t="shared" si="15"/>
        <v>-0.1465017092625753</v>
      </c>
      <c r="G152" s="130">
        <f t="shared" si="16"/>
        <v>12.517296668814931</v>
      </c>
      <c r="H152" s="130">
        <f t="shared" si="17"/>
        <v>0.40743684505473976</v>
      </c>
      <c r="I152" s="130">
        <f t="shared" si="18"/>
        <v>0.13383832790685657</v>
      </c>
      <c r="J152" s="130"/>
      <c r="K152" s="130"/>
      <c r="L152" s="170">
        <v>-22499</v>
      </c>
      <c r="M152" s="171">
        <v>266</v>
      </c>
      <c r="N152" s="172">
        <v>370</v>
      </c>
      <c r="O152" s="172">
        <v>273019</v>
      </c>
      <c r="P152" s="172">
        <v>153575</v>
      </c>
      <c r="Q152" s="172">
        <v>161781</v>
      </c>
      <c r="R152" s="172">
        <v>54814</v>
      </c>
      <c r="S152" s="172">
        <v>56424</v>
      </c>
      <c r="T152" s="148">
        <f t="shared" si="19"/>
        <v>111238</v>
      </c>
    </row>
    <row r="153" spans="1:20" ht="17">
      <c r="A153" s="130" t="s">
        <v>61</v>
      </c>
      <c r="B153" s="130" t="s">
        <v>172</v>
      </c>
      <c r="C153" s="130" t="s">
        <v>201</v>
      </c>
      <c r="D153" s="130">
        <v>0</v>
      </c>
      <c r="E153" s="130">
        <v>18</v>
      </c>
      <c r="F153" s="130">
        <f t="shared" si="15"/>
        <v>-0.80104395077041202</v>
      </c>
      <c r="G153" s="130">
        <f t="shared" si="16"/>
        <v>12.870624859210006</v>
      </c>
      <c r="H153" s="130">
        <f t="shared" si="17"/>
        <v>0.26372439057017316</v>
      </c>
      <c r="I153" s="130">
        <v>0.15208952000000001</v>
      </c>
      <c r="J153" s="130"/>
      <c r="K153" s="130"/>
      <c r="L153" s="170">
        <v>-108499</v>
      </c>
      <c r="M153" s="171">
        <v>194</v>
      </c>
      <c r="N153" s="172">
        <v>787</v>
      </c>
      <c r="O153" s="172">
        <v>388724</v>
      </c>
      <c r="P153" s="172">
        <v>135447</v>
      </c>
      <c r="Q153" s="172">
        <v>286208</v>
      </c>
      <c r="R153" s="172">
        <v>16258</v>
      </c>
      <c r="S153" s="172">
        <v>86258</v>
      </c>
      <c r="T153" s="148">
        <f t="shared" si="19"/>
        <v>102516</v>
      </c>
    </row>
    <row r="154" spans="1:20" ht="17">
      <c r="A154" s="133" t="s">
        <v>62</v>
      </c>
      <c r="B154" s="133" t="s">
        <v>199</v>
      </c>
      <c r="C154" s="133" t="s">
        <v>205</v>
      </c>
      <c r="D154" s="133">
        <v>1</v>
      </c>
      <c r="E154" s="133">
        <v>1</v>
      </c>
      <c r="F154" s="130">
        <f t="shared" si="15"/>
        <v>-0.36105107119491853</v>
      </c>
      <c r="G154" s="130">
        <f t="shared" si="16"/>
        <v>12.147404857864331</v>
      </c>
      <c r="H154" s="130">
        <f t="shared" si="17"/>
        <v>1.3188055396492122</v>
      </c>
      <c r="I154" s="130">
        <f t="shared" si="18"/>
        <v>-0.27195827806583867</v>
      </c>
      <c r="J154" s="130"/>
      <c r="K154" s="130"/>
      <c r="L154" s="176">
        <v>-43598</v>
      </c>
      <c r="M154" s="169">
        <v>568</v>
      </c>
      <c r="N154" s="175">
        <v>99728</v>
      </c>
      <c r="O154" s="175">
        <v>188604</v>
      </c>
      <c r="P154" s="175">
        <v>120753</v>
      </c>
      <c r="Q154" s="175">
        <v>-60128</v>
      </c>
      <c r="R154" s="175">
        <v>43043</v>
      </c>
      <c r="S154" s="175">
        <v>205689</v>
      </c>
      <c r="T154" s="52">
        <f t="shared" si="19"/>
        <v>248732</v>
      </c>
    </row>
    <row r="155" spans="1:20" ht="17">
      <c r="A155" s="133" t="s">
        <v>62</v>
      </c>
      <c r="B155" s="133" t="s">
        <v>199</v>
      </c>
      <c r="C155" s="133" t="s">
        <v>203</v>
      </c>
      <c r="D155" s="133">
        <v>1</v>
      </c>
      <c r="E155" s="133">
        <v>1</v>
      </c>
      <c r="F155" s="130">
        <f t="shared" si="15"/>
        <v>2.7842758953334136E-2</v>
      </c>
      <c r="G155" s="130">
        <f t="shared" si="16"/>
        <v>12.287417581858879</v>
      </c>
      <c r="H155" s="130">
        <f t="shared" si="17"/>
        <v>1.1905102120774929</v>
      </c>
      <c r="I155" s="130">
        <f t="shared" si="18"/>
        <v>0.37510778006234663</v>
      </c>
      <c r="J155" s="130"/>
      <c r="K155" s="130"/>
      <c r="L155" s="176">
        <v>4618</v>
      </c>
      <c r="M155" s="169">
        <v>534</v>
      </c>
      <c r="N155" s="175">
        <v>93734</v>
      </c>
      <c r="O155" s="175">
        <v>216949</v>
      </c>
      <c r="P155" s="175">
        <v>165860</v>
      </c>
      <c r="Q155" s="175">
        <v>-41331</v>
      </c>
      <c r="R155" s="175">
        <v>63205</v>
      </c>
      <c r="S155" s="175">
        <v>195075</v>
      </c>
      <c r="T155" s="52">
        <f t="shared" si="19"/>
        <v>258280</v>
      </c>
    </row>
    <row r="156" spans="1:20" ht="17">
      <c r="A156" s="133" t="s">
        <v>62</v>
      </c>
      <c r="B156" s="133" t="s">
        <v>199</v>
      </c>
      <c r="C156" s="133" t="s">
        <v>202</v>
      </c>
      <c r="D156" s="133">
        <v>1</v>
      </c>
      <c r="E156" s="133">
        <v>6</v>
      </c>
      <c r="F156" s="130">
        <f t="shared" si="15"/>
        <v>-5.0955097167871589E-2</v>
      </c>
      <c r="G156" s="130">
        <f t="shared" si="16"/>
        <v>12.372387610958157</v>
      </c>
      <c r="H156" s="130">
        <f t="shared" si="17"/>
        <v>1.1782640173759151</v>
      </c>
      <c r="I156" s="130">
        <f t="shared" si="18"/>
        <v>0.95313739778155615</v>
      </c>
      <c r="J156" s="130"/>
      <c r="K156" s="130"/>
      <c r="L156" s="176">
        <v>-6146</v>
      </c>
      <c r="M156" s="169">
        <v>679</v>
      </c>
      <c r="N156" s="175">
        <v>44200</v>
      </c>
      <c r="O156" s="175">
        <v>236189</v>
      </c>
      <c r="P156" s="175">
        <v>120616</v>
      </c>
      <c r="Q156" s="175">
        <v>-42104</v>
      </c>
      <c r="R156" s="175">
        <v>158415</v>
      </c>
      <c r="S156" s="175">
        <v>119878</v>
      </c>
      <c r="T156" s="175">
        <f t="shared" si="19"/>
        <v>278293</v>
      </c>
    </row>
    <row r="157" spans="1:20" ht="18">
      <c r="A157" s="133" t="s">
        <v>62</v>
      </c>
      <c r="B157" s="133" t="s">
        <v>199</v>
      </c>
      <c r="C157" s="133" t="s">
        <v>201</v>
      </c>
      <c r="D157" s="133">
        <v>1</v>
      </c>
      <c r="E157" s="133">
        <v>2</v>
      </c>
      <c r="F157" s="130">
        <f t="shared" si="15"/>
        <v>-0.67395352603028091</v>
      </c>
      <c r="G157" s="130">
        <f t="shared" si="16"/>
        <v>12.290740027508681</v>
      </c>
      <c r="H157" s="130">
        <f t="shared" si="17"/>
        <v>1.3321756228436494</v>
      </c>
      <c r="I157" s="130">
        <f t="shared" si="18"/>
        <v>-0.11252425091614572</v>
      </c>
      <c r="J157" s="130"/>
      <c r="K157" s="130"/>
      <c r="L157" s="176">
        <v>-41620</v>
      </c>
      <c r="M157" s="169">
        <v>583</v>
      </c>
      <c r="N157" s="175">
        <v>0</v>
      </c>
      <c r="O157" s="175">
        <v>217671</v>
      </c>
      <c r="P157" s="175">
        <v>61755</v>
      </c>
      <c r="Q157" s="175">
        <v>-72305</v>
      </c>
      <c r="R157" s="175">
        <v>234369</v>
      </c>
      <c r="S157" s="175">
        <v>55607</v>
      </c>
      <c r="T157" s="188">
        <f t="shared" si="19"/>
        <v>289976</v>
      </c>
    </row>
    <row r="158" spans="1:20" ht="17">
      <c r="A158" s="133" t="s">
        <v>62</v>
      </c>
      <c r="B158" s="133" t="s">
        <v>199</v>
      </c>
      <c r="C158" s="133" t="s">
        <v>173</v>
      </c>
      <c r="D158" s="133">
        <v>0</v>
      </c>
      <c r="E158" s="133">
        <v>13</v>
      </c>
      <c r="F158" s="130">
        <f t="shared" si="15"/>
        <v>-0.30931953725659267</v>
      </c>
      <c r="G158" s="130">
        <f t="shared" si="16"/>
        <v>12.066764600128197</v>
      </c>
      <c r="H158" s="130">
        <f t="shared" si="17"/>
        <v>1.3717009977470229</v>
      </c>
      <c r="I158" s="130">
        <f>AVERAGE(I154:I157)</f>
        <v>0.2359406622154796</v>
      </c>
      <c r="J158" s="130"/>
      <c r="K158" s="130"/>
      <c r="L158" s="176">
        <v>-21524</v>
      </c>
      <c r="M158" s="169">
        <v>631</v>
      </c>
      <c r="N158" s="175">
        <v>27922</v>
      </c>
      <c r="O158" s="175">
        <v>173992</v>
      </c>
      <c r="P158" s="175">
        <v>69585</v>
      </c>
      <c r="Q158" s="175">
        <v>-64673</v>
      </c>
      <c r="R158" s="175">
        <v>147776</v>
      </c>
      <c r="S158" s="175">
        <v>90889</v>
      </c>
      <c r="T158" s="52">
        <f t="shared" si="19"/>
        <v>238665</v>
      </c>
    </row>
    <row r="159" spans="1:20" ht="17">
      <c r="A159" s="132" t="s">
        <v>65</v>
      </c>
      <c r="B159" s="132" t="s">
        <v>198</v>
      </c>
      <c r="C159" s="132" t="s">
        <v>205</v>
      </c>
      <c r="D159" s="132">
        <v>0</v>
      </c>
      <c r="E159" s="132">
        <v>12</v>
      </c>
      <c r="F159" s="130">
        <f t="shared" si="15"/>
        <v>-3.9816433925243616E-2</v>
      </c>
      <c r="G159" s="130">
        <f t="shared" si="16"/>
        <v>12.299248731593673</v>
      </c>
      <c r="H159" s="130">
        <f t="shared" si="17"/>
        <v>1.0715252060073521</v>
      </c>
      <c r="I159" s="130">
        <f t="shared" si="18"/>
        <v>-0.20956626693661423</v>
      </c>
      <c r="J159" s="130"/>
      <c r="K159" s="130"/>
      <c r="L159" s="166">
        <v>-4850</v>
      </c>
      <c r="M159" s="167">
        <v>163</v>
      </c>
      <c r="N159" s="168">
        <v>30197</v>
      </c>
      <c r="O159" s="168">
        <v>219531</v>
      </c>
      <c r="P159" s="168">
        <v>121809</v>
      </c>
      <c r="Q159" s="168">
        <v>-15703</v>
      </c>
      <c r="R159" s="168">
        <v>86208</v>
      </c>
      <c r="S159" s="168">
        <v>149025</v>
      </c>
      <c r="T159" s="156">
        <f t="shared" si="19"/>
        <v>235233</v>
      </c>
    </row>
    <row r="160" spans="1:20" ht="17">
      <c r="A160" s="132" t="s">
        <v>65</v>
      </c>
      <c r="B160" s="132" t="s">
        <v>198</v>
      </c>
      <c r="C160" s="132" t="s">
        <v>203</v>
      </c>
      <c r="D160" s="132">
        <v>0</v>
      </c>
      <c r="E160" s="132">
        <v>17</v>
      </c>
      <c r="F160" s="130">
        <f t="shared" si="15"/>
        <v>6.6390229974562634E-2</v>
      </c>
      <c r="G160" s="130">
        <f t="shared" si="16"/>
        <v>12.255762404942441</v>
      </c>
      <c r="H160" s="130">
        <f t="shared" si="17"/>
        <v>1.0260289548929773</v>
      </c>
      <c r="I160" s="130">
        <f t="shared" si="18"/>
        <v>1.367407134298092</v>
      </c>
      <c r="J160" s="130"/>
      <c r="K160" s="130"/>
      <c r="L160" s="166">
        <v>10231</v>
      </c>
      <c r="M160" s="167">
        <v>171</v>
      </c>
      <c r="N160" s="168">
        <v>17749</v>
      </c>
      <c r="O160" s="168">
        <v>210189</v>
      </c>
      <c r="P160" s="168">
        <v>154104</v>
      </c>
      <c r="Q160" s="168">
        <v>-5472</v>
      </c>
      <c r="R160" s="168">
        <v>77071</v>
      </c>
      <c r="S160" s="168">
        <v>138589</v>
      </c>
      <c r="T160" s="156">
        <f t="shared" si="19"/>
        <v>215660</v>
      </c>
    </row>
    <row r="161" spans="1:20" ht="17">
      <c r="A161" s="132" t="s">
        <v>65</v>
      </c>
      <c r="B161" s="132" t="s">
        <v>198</v>
      </c>
      <c r="C161" s="132" t="s">
        <v>202</v>
      </c>
      <c r="D161" s="132">
        <v>0</v>
      </c>
      <c r="E161" s="132">
        <v>17</v>
      </c>
      <c r="F161" s="130">
        <f t="shared" si="15"/>
        <v>-0.51364181030509726</v>
      </c>
      <c r="G161" s="130">
        <f t="shared" si="16"/>
        <v>12.54809019274273</v>
      </c>
      <c r="H161" s="130">
        <f t="shared" si="17"/>
        <v>0.94889489517220316</v>
      </c>
      <c r="I161" s="130">
        <f t="shared" si="18"/>
        <v>-0.12641919639262419</v>
      </c>
      <c r="J161" s="130"/>
      <c r="K161" s="130"/>
      <c r="L161" s="166">
        <v>-33435</v>
      </c>
      <c r="M161" s="167">
        <v>195</v>
      </c>
      <c r="N161" s="168">
        <v>23868</v>
      </c>
      <c r="O161" s="168">
        <v>281557</v>
      </c>
      <c r="P161" s="168">
        <v>65094</v>
      </c>
      <c r="Q161" s="168">
        <v>14389</v>
      </c>
      <c r="R161" s="168">
        <v>136346</v>
      </c>
      <c r="S161" s="168">
        <v>130822</v>
      </c>
      <c r="T161" s="156">
        <f t="shared" si="19"/>
        <v>267168</v>
      </c>
    </row>
    <row r="162" spans="1:20" ht="17">
      <c r="A162" s="132" t="s">
        <v>65</v>
      </c>
      <c r="B162" s="132" t="s">
        <v>198</v>
      </c>
      <c r="C162" s="132" t="s">
        <v>201</v>
      </c>
      <c r="D162" s="132">
        <v>0</v>
      </c>
      <c r="E162" s="132">
        <v>11</v>
      </c>
      <c r="F162" s="130">
        <f t="shared" si="15"/>
        <v>-0.57344928469817757</v>
      </c>
      <c r="G162" s="130">
        <f t="shared" si="16"/>
        <v>12.587374834069179</v>
      </c>
      <c r="H162" s="130">
        <f t="shared" si="17"/>
        <v>0.98400822297652624</v>
      </c>
      <c r="I162" s="130">
        <f t="shared" si="18"/>
        <v>-8.0255751950232046E-2</v>
      </c>
      <c r="J162" s="130"/>
      <c r="K162" s="130"/>
      <c r="L162" s="166">
        <v>-42730</v>
      </c>
      <c r="M162" s="167">
        <v>196</v>
      </c>
      <c r="N162" s="168">
        <v>42892</v>
      </c>
      <c r="O162" s="168">
        <v>292838</v>
      </c>
      <c r="P162" s="168">
        <v>74514</v>
      </c>
      <c r="Q162" s="168">
        <v>4682</v>
      </c>
      <c r="R162" s="168">
        <v>125009</v>
      </c>
      <c r="S162" s="168">
        <v>163146</v>
      </c>
      <c r="T162" s="156">
        <f t="shared" si="19"/>
        <v>288155</v>
      </c>
    </row>
    <row r="163" spans="1:20" ht="17">
      <c r="A163" s="132" t="s">
        <v>65</v>
      </c>
      <c r="B163" s="132" t="s">
        <v>198</v>
      </c>
      <c r="C163" s="132" t="s">
        <v>173</v>
      </c>
      <c r="D163" s="132">
        <v>0</v>
      </c>
      <c r="E163" s="132">
        <v>19</v>
      </c>
      <c r="F163" s="130">
        <f t="shared" si="15"/>
        <v>-0.76193591389355186</v>
      </c>
      <c r="G163" s="130">
        <f t="shared" si="16"/>
        <v>12.634993829674679</v>
      </c>
      <c r="H163" s="130">
        <f t="shared" si="17"/>
        <v>0.9824140401146132</v>
      </c>
      <c r="I163" s="130">
        <f>AVERAGE(I159:I162)</f>
        <v>0.23779147975465537</v>
      </c>
      <c r="J163" s="130"/>
      <c r="K163" s="130"/>
      <c r="L163" s="166">
        <v>-61729</v>
      </c>
      <c r="M163" s="167">
        <v>185</v>
      </c>
      <c r="N163" s="168">
        <v>37917</v>
      </c>
      <c r="O163" s="168">
        <v>307120</v>
      </c>
      <c r="P163" s="168">
        <v>81016</v>
      </c>
      <c r="Q163" s="168">
        <v>5401</v>
      </c>
      <c r="R163" s="168">
        <v>134149</v>
      </c>
      <c r="S163" s="168">
        <v>167570</v>
      </c>
      <c r="T163" s="156">
        <f t="shared" si="19"/>
        <v>301719</v>
      </c>
    </row>
    <row r="164" spans="1:20">
      <c r="A164" s="131" t="s">
        <v>66</v>
      </c>
      <c r="B164" s="131" t="s">
        <v>193</v>
      </c>
      <c r="C164" s="131" t="s">
        <v>205</v>
      </c>
      <c r="D164" s="131">
        <v>0</v>
      </c>
      <c r="E164" s="131">
        <v>8</v>
      </c>
      <c r="F164" s="130">
        <f t="shared" si="15"/>
        <v>8.7861959539865128E-2</v>
      </c>
      <c r="G164" s="130">
        <f t="shared" si="16"/>
        <v>11.546872682269886</v>
      </c>
      <c r="H164" s="130">
        <f t="shared" si="17"/>
        <v>1.4933834688215906</v>
      </c>
      <c r="I164" s="130">
        <f t="shared" si="18"/>
        <v>-0.13173755811951093</v>
      </c>
      <c r="J164" s="130"/>
      <c r="K164" s="130"/>
      <c r="L164" s="145">
        <v>4430</v>
      </c>
      <c r="M164" s="131">
        <v>281</v>
      </c>
      <c r="N164" s="139">
        <v>61534</v>
      </c>
      <c r="O164" s="139">
        <v>103453</v>
      </c>
      <c r="P164" s="139">
        <v>50420</v>
      </c>
      <c r="Q164" s="139">
        <f>O164-T164</f>
        <v>-51042</v>
      </c>
      <c r="R164" s="139">
        <v>56786</v>
      </c>
      <c r="S164" s="139">
        <v>97709</v>
      </c>
      <c r="T164" s="139">
        <f t="shared" si="19"/>
        <v>154495</v>
      </c>
    </row>
    <row r="165" spans="1:20">
      <c r="A165" s="131" t="s">
        <v>66</v>
      </c>
      <c r="B165" s="131" t="s">
        <v>193</v>
      </c>
      <c r="C165" s="131" t="s">
        <v>203</v>
      </c>
      <c r="D165" s="131">
        <v>0</v>
      </c>
      <c r="E165" s="131">
        <v>5</v>
      </c>
      <c r="F165" s="130">
        <f t="shared" si="15"/>
        <v>0.11675563974513518</v>
      </c>
      <c r="G165" s="130">
        <f t="shared" si="16"/>
        <v>12.119790093791975</v>
      </c>
      <c r="H165" s="130">
        <f t="shared" si="17"/>
        <v>0.69738427074078713</v>
      </c>
      <c r="I165" s="130">
        <f t="shared" si="18"/>
        <v>-0.34063812876121269</v>
      </c>
      <c r="J165" s="130"/>
      <c r="K165" s="130"/>
      <c r="L165" s="145">
        <v>6780</v>
      </c>
      <c r="M165" s="131">
        <v>216</v>
      </c>
      <c r="N165" s="139">
        <v>84678</v>
      </c>
      <c r="O165" s="139">
        <v>183467</v>
      </c>
      <c r="P165" s="139">
        <v>58070</v>
      </c>
      <c r="Q165" s="139">
        <f>O165-T165</f>
        <v>55520</v>
      </c>
      <c r="R165" s="139">
        <v>78857</v>
      </c>
      <c r="S165" s="139">
        <v>49090</v>
      </c>
      <c r="T165" s="139">
        <f t="shared" si="19"/>
        <v>127947</v>
      </c>
    </row>
    <row r="166" spans="1:20">
      <c r="A166" s="131" t="s">
        <v>66</v>
      </c>
      <c r="B166" s="131" t="s">
        <v>193</v>
      </c>
      <c r="C166" s="131" t="s">
        <v>202</v>
      </c>
      <c r="D166" s="131">
        <v>0</v>
      </c>
      <c r="E166" s="131">
        <v>8</v>
      </c>
      <c r="F166" s="130">
        <f t="shared" si="15"/>
        <v>0.18894061541955262</v>
      </c>
      <c r="G166" s="130">
        <f t="shared" si="16"/>
        <v>12.815748539217079</v>
      </c>
      <c r="H166" s="130">
        <f t="shared" si="17"/>
        <v>0.66158650096340166</v>
      </c>
      <c r="I166" s="130">
        <f t="shared" si="18"/>
        <v>-0.31434221384862121</v>
      </c>
      <c r="J166" s="130"/>
      <c r="K166" s="130"/>
      <c r="L166" s="145">
        <v>16640</v>
      </c>
      <c r="M166" s="131">
        <v>284</v>
      </c>
      <c r="N166" s="139">
        <v>76548</v>
      </c>
      <c r="O166" s="139">
        <v>367967</v>
      </c>
      <c r="P166" s="139">
        <v>88070</v>
      </c>
      <c r="Q166" s="139">
        <f>O166-T166</f>
        <v>124525</v>
      </c>
      <c r="R166" s="139">
        <v>164567</v>
      </c>
      <c r="S166" s="139">
        <v>78875</v>
      </c>
      <c r="T166" s="139">
        <f t="shared" si="19"/>
        <v>243442</v>
      </c>
    </row>
    <row r="167" spans="1:20" ht="17">
      <c r="A167" s="131" t="s">
        <v>66</v>
      </c>
      <c r="B167" s="131" t="s">
        <v>193</v>
      </c>
      <c r="C167" s="131" t="s">
        <v>201</v>
      </c>
      <c r="D167" s="131">
        <v>0</v>
      </c>
      <c r="E167" s="131">
        <v>15</v>
      </c>
      <c r="F167" s="130">
        <f t="shared" si="15"/>
        <v>-0.11059122121358392</v>
      </c>
      <c r="G167" s="130">
        <f t="shared" si="16"/>
        <v>12.196168763598237</v>
      </c>
      <c r="H167" s="130">
        <f t="shared" si="17"/>
        <v>0.591292184478031</v>
      </c>
      <c r="I167" s="130">
        <f t="shared" si="18"/>
        <v>-0.29794816296636384</v>
      </c>
      <c r="J167" s="130"/>
      <c r="K167" s="130"/>
      <c r="L167" s="184">
        <v>-14205</v>
      </c>
      <c r="M167" s="178">
        <v>334</v>
      </c>
      <c r="N167" s="179">
        <v>0</v>
      </c>
      <c r="O167" s="179">
        <v>198029</v>
      </c>
      <c r="P167" s="179">
        <v>128446</v>
      </c>
      <c r="Q167" s="179">
        <v>80936</v>
      </c>
      <c r="R167" s="179">
        <v>29431</v>
      </c>
      <c r="S167" s="179">
        <v>87662</v>
      </c>
      <c r="T167" s="139">
        <f t="shared" si="19"/>
        <v>117093</v>
      </c>
    </row>
    <row r="168" spans="1:20" ht="17">
      <c r="A168" s="131" t="s">
        <v>66</v>
      </c>
      <c r="B168" s="131" t="s">
        <v>193</v>
      </c>
      <c r="C168" s="131" t="s">
        <v>173</v>
      </c>
      <c r="D168" s="131">
        <v>0</v>
      </c>
      <c r="E168" s="131">
        <v>15</v>
      </c>
      <c r="F168" s="130">
        <f t="shared" si="15"/>
        <v>-4.0610413318903794E-3</v>
      </c>
      <c r="G168" s="130">
        <f t="shared" si="16"/>
        <v>12.497110331607818</v>
      </c>
      <c r="H168" s="130">
        <f t="shared" si="17"/>
        <v>0.70027993407160183</v>
      </c>
      <c r="I168" s="130">
        <f>AVERAGE(I164:I167)</f>
        <v>-0.27116651592392715</v>
      </c>
      <c r="J168" s="130"/>
      <c r="K168" s="130"/>
      <c r="L168" s="184">
        <v>-743</v>
      </c>
      <c r="M168" s="178">
        <v>394</v>
      </c>
      <c r="N168" s="179">
        <v>1441</v>
      </c>
      <c r="O168" s="179">
        <v>267563</v>
      </c>
      <c r="P168" s="179">
        <v>182958</v>
      </c>
      <c r="Q168" s="179">
        <v>80193</v>
      </c>
      <c r="R168" s="179">
        <v>81987</v>
      </c>
      <c r="S168" s="179">
        <v>105382</v>
      </c>
      <c r="T168" s="139">
        <f t="shared" si="19"/>
        <v>187369</v>
      </c>
    </row>
    <row r="169" spans="1:20" ht="18">
      <c r="A169" s="133" t="s">
        <v>153</v>
      </c>
      <c r="B169" s="133" t="s">
        <v>199</v>
      </c>
      <c r="C169" s="133" t="s">
        <v>173</v>
      </c>
      <c r="D169" s="133">
        <v>0</v>
      </c>
      <c r="E169" s="133">
        <v>16</v>
      </c>
      <c r="F169" s="130">
        <f t="shared" si="15"/>
        <v>-2.6273777340869993</v>
      </c>
      <c r="G169" s="130">
        <f t="shared" si="16"/>
        <v>11.158177235153772</v>
      </c>
      <c r="H169" s="130">
        <f t="shared" si="17"/>
        <v>1.6427461324588295</v>
      </c>
      <c r="I169" s="130">
        <v>1.8504329999999999E-2</v>
      </c>
      <c r="J169" s="130"/>
      <c r="K169" s="130"/>
      <c r="L169" s="195">
        <v>-53454</v>
      </c>
      <c r="M169" s="193">
        <v>124</v>
      </c>
      <c r="N169" s="188">
        <v>5324</v>
      </c>
      <c r="O169" s="188">
        <v>70135</v>
      </c>
      <c r="P169" s="188">
        <v>20345</v>
      </c>
      <c r="Q169" s="188">
        <f>O169-T169</f>
        <v>-45079</v>
      </c>
      <c r="R169" s="188">
        <v>89765</v>
      </c>
      <c r="S169" s="52">
        <v>25449</v>
      </c>
      <c r="T169" s="52">
        <f t="shared" si="19"/>
        <v>115214</v>
      </c>
    </row>
    <row r="170" spans="1:20" ht="17">
      <c r="A170" s="131" t="s">
        <v>67</v>
      </c>
      <c r="B170" s="131" t="s">
        <v>193</v>
      </c>
      <c r="C170" s="131" t="s">
        <v>205</v>
      </c>
      <c r="D170" s="131">
        <v>0</v>
      </c>
      <c r="E170" s="131">
        <v>10</v>
      </c>
      <c r="F170" s="130">
        <f t="shared" si="15"/>
        <v>-9.2119772669437619E-3</v>
      </c>
      <c r="G170" s="130">
        <f t="shared" si="16"/>
        <v>12.069490890992887</v>
      </c>
      <c r="H170" s="130">
        <f t="shared" si="17"/>
        <v>0.69984581611422214</v>
      </c>
      <c r="I170" s="130">
        <f t="shared" si="18"/>
        <v>-2.6989105315285571E-2</v>
      </c>
      <c r="J170" s="130"/>
      <c r="K170" s="130"/>
      <c r="L170" s="145">
        <v>-543</v>
      </c>
      <c r="M170" s="131">
        <v>234</v>
      </c>
      <c r="N170" s="139">
        <v>9674</v>
      </c>
      <c r="O170" s="139">
        <v>174467</v>
      </c>
      <c r="P170" s="139">
        <v>58945</v>
      </c>
      <c r="Q170" s="179">
        <f>O170-T170</f>
        <v>52367</v>
      </c>
      <c r="R170" s="179">
        <v>46735</v>
      </c>
      <c r="S170" s="179">
        <v>75365</v>
      </c>
      <c r="T170" s="139">
        <f t="shared" si="19"/>
        <v>122100</v>
      </c>
    </row>
    <row r="171" spans="1:20">
      <c r="A171" s="131" t="s">
        <v>67</v>
      </c>
      <c r="B171" s="131" t="s">
        <v>193</v>
      </c>
      <c r="C171" s="131" t="s">
        <v>203</v>
      </c>
      <c r="D171" s="131">
        <v>0</v>
      </c>
      <c r="E171" s="131">
        <v>18</v>
      </c>
      <c r="F171" s="130">
        <f t="shared" si="15"/>
        <v>-3.3014196104324861E-4</v>
      </c>
      <c r="G171" s="130">
        <f t="shared" si="16"/>
        <v>11.772570651478114</v>
      </c>
      <c r="H171" s="130">
        <f t="shared" si="17"/>
        <v>0.57439817350189359</v>
      </c>
      <c r="I171" s="130">
        <v>5.3461643000000003E-2</v>
      </c>
      <c r="J171" s="130"/>
      <c r="K171" s="130"/>
      <c r="L171" s="145">
        <v>-20</v>
      </c>
      <c r="M171" s="131">
        <v>168</v>
      </c>
      <c r="N171" s="139">
        <v>57878</v>
      </c>
      <c r="O171" s="139">
        <v>129647</v>
      </c>
      <c r="P171" s="139">
        <v>60580</v>
      </c>
      <c r="Q171" s="139">
        <f>O171-T171</f>
        <v>55178</v>
      </c>
      <c r="R171" s="139">
        <v>50773</v>
      </c>
      <c r="S171" s="139">
        <v>23696</v>
      </c>
      <c r="T171" s="139">
        <f t="shared" si="19"/>
        <v>74469</v>
      </c>
    </row>
    <row r="172" spans="1:20" ht="17">
      <c r="A172" s="134" t="s">
        <v>68</v>
      </c>
      <c r="B172" s="134" t="s">
        <v>200</v>
      </c>
      <c r="C172" s="134" t="s">
        <v>205</v>
      </c>
      <c r="D172" s="134">
        <v>0</v>
      </c>
      <c r="E172" s="134">
        <v>6</v>
      </c>
      <c r="F172" s="130">
        <f t="shared" si="15"/>
        <v>-0.16328725864572688</v>
      </c>
      <c r="G172" s="130">
        <f t="shared" si="16"/>
        <v>12.799167419682593</v>
      </c>
      <c r="H172" s="130">
        <f t="shared" si="17"/>
        <v>0.82822809712751022</v>
      </c>
      <c r="I172" s="130">
        <f t="shared" si="18"/>
        <v>-0.14211230563373783</v>
      </c>
      <c r="J172" s="130"/>
      <c r="K172" s="130"/>
      <c r="L172" s="176">
        <v>-3036</v>
      </c>
      <c r="M172" s="169" t="s">
        <v>197</v>
      </c>
      <c r="N172" s="175">
        <v>3055</v>
      </c>
      <c r="O172" s="175">
        <v>361916</v>
      </c>
      <c r="P172" s="175">
        <v>18593</v>
      </c>
      <c r="Q172" s="175">
        <v>62167</v>
      </c>
      <c r="R172" s="175">
        <v>278978</v>
      </c>
      <c r="S172" s="175">
        <v>20771</v>
      </c>
      <c r="T172" s="52">
        <v>299749</v>
      </c>
    </row>
    <row r="173" spans="1:20" ht="17">
      <c r="A173" s="134" t="s">
        <v>68</v>
      </c>
      <c r="B173" s="134" t="s">
        <v>200</v>
      </c>
      <c r="C173" s="134" t="s">
        <v>203</v>
      </c>
      <c r="D173" s="134">
        <v>0</v>
      </c>
      <c r="E173" s="134">
        <v>14</v>
      </c>
      <c r="F173" s="130">
        <f t="shared" si="15"/>
        <v>-0.12836247866008396</v>
      </c>
      <c r="G173" s="130">
        <f t="shared" si="16"/>
        <v>12.752536611876987</v>
      </c>
      <c r="H173" s="130">
        <f t="shared" si="17"/>
        <v>0.83531976365483884</v>
      </c>
      <c r="I173" s="130">
        <f t="shared" si="18"/>
        <v>0.53101158519355751</v>
      </c>
      <c r="J173" s="130"/>
      <c r="K173" s="130"/>
      <c r="L173" s="176">
        <v>-2782</v>
      </c>
      <c r="M173" s="169" t="s">
        <v>197</v>
      </c>
      <c r="N173" s="175">
        <v>3500</v>
      </c>
      <c r="O173" s="175">
        <v>345427</v>
      </c>
      <c r="P173" s="175">
        <v>21673</v>
      </c>
      <c r="Q173" s="175">
        <v>56885</v>
      </c>
      <c r="R173" s="175">
        <v>271835</v>
      </c>
      <c r="S173" s="175">
        <v>16707</v>
      </c>
      <c r="T173" s="52">
        <v>288542</v>
      </c>
    </row>
    <row r="174" spans="1:20" ht="17">
      <c r="A174" s="134" t="s">
        <v>68</v>
      </c>
      <c r="B174" s="134" t="s">
        <v>200</v>
      </c>
      <c r="C174" s="134" t="s">
        <v>202</v>
      </c>
      <c r="D174" s="134">
        <v>0</v>
      </c>
      <c r="E174" s="134">
        <v>12</v>
      </c>
      <c r="F174" s="130">
        <f t="shared" si="15"/>
        <v>-8.3922011867759258E-2</v>
      </c>
      <c r="G174" s="130">
        <f t="shared" si="16"/>
        <v>12.718554896331538</v>
      </c>
      <c r="H174" s="130">
        <f t="shared" si="17"/>
        <v>0.84067316389426328</v>
      </c>
      <c r="I174" s="130">
        <f t="shared" si="18"/>
        <v>-0.13121394378298759</v>
      </c>
      <c r="J174" s="130"/>
      <c r="K174" s="130"/>
      <c r="L174" s="176">
        <v>-1188</v>
      </c>
      <c r="M174" s="169">
        <v>12</v>
      </c>
      <c r="N174" s="175">
        <v>3237</v>
      </c>
      <c r="O174" s="175">
        <v>333886</v>
      </c>
      <c r="P174" s="175">
        <v>14156</v>
      </c>
      <c r="Q174" s="175">
        <v>53197</v>
      </c>
      <c r="R174" s="175">
        <v>263207</v>
      </c>
      <c r="S174" s="175">
        <v>17482</v>
      </c>
      <c r="T174" s="52">
        <v>280689</v>
      </c>
    </row>
    <row r="175" spans="1:20" ht="17">
      <c r="A175" s="134" t="s">
        <v>68</v>
      </c>
      <c r="B175" s="134" t="s">
        <v>200</v>
      </c>
      <c r="C175" s="134" t="s">
        <v>201</v>
      </c>
      <c r="D175" s="134">
        <v>0</v>
      </c>
      <c r="E175" s="134">
        <v>12</v>
      </c>
      <c r="F175" s="130">
        <f t="shared" si="15"/>
        <v>-6.5300110470111694E-2</v>
      </c>
      <c r="G175" s="130">
        <f t="shared" si="16"/>
        <v>12.683194629069202</v>
      </c>
      <c r="H175" s="130">
        <f t="shared" si="17"/>
        <v>0.845997033690573</v>
      </c>
      <c r="I175" s="130">
        <f t="shared" si="18"/>
        <v>-0.20895232546849207</v>
      </c>
      <c r="J175" s="130"/>
      <c r="K175" s="130"/>
      <c r="L175" s="176">
        <v>-1064</v>
      </c>
      <c r="M175" s="169" t="s">
        <v>197</v>
      </c>
      <c r="N175" s="175">
        <v>3332</v>
      </c>
      <c r="O175" s="175">
        <v>322286</v>
      </c>
      <c r="P175" s="175">
        <v>16294</v>
      </c>
      <c r="Q175" s="175">
        <v>49633</v>
      </c>
      <c r="R175" s="175">
        <v>253831</v>
      </c>
      <c r="S175" s="175">
        <v>18821</v>
      </c>
      <c r="T175" s="52">
        <v>272653</v>
      </c>
    </row>
    <row r="176" spans="1:20" ht="17">
      <c r="A176" s="134" t="s">
        <v>68</v>
      </c>
      <c r="B176" s="134" t="s">
        <v>200</v>
      </c>
      <c r="C176" s="134" t="s">
        <v>173</v>
      </c>
      <c r="D176" s="134">
        <v>0</v>
      </c>
      <c r="E176" s="134">
        <v>20</v>
      </c>
      <c r="F176" s="130">
        <f t="shared" si="15"/>
        <v>-9.5106321002039029E-2</v>
      </c>
      <c r="G176" s="130">
        <f t="shared" si="16"/>
        <v>12.650687951484962</v>
      </c>
      <c r="H176" s="130">
        <f t="shared" si="17"/>
        <v>0.85520132829879025</v>
      </c>
      <c r="I176" s="130">
        <v>1.2183252577084996E-2</v>
      </c>
      <c r="J176" s="130"/>
      <c r="K176" s="130"/>
      <c r="L176" s="176">
        <v>-1959</v>
      </c>
      <c r="M176" s="169" t="s">
        <v>197</v>
      </c>
      <c r="N176" s="175">
        <v>3779</v>
      </c>
      <c r="O176" s="175">
        <v>311978</v>
      </c>
      <c r="P176" s="175">
        <v>20598</v>
      </c>
      <c r="Q176" s="175">
        <v>45174</v>
      </c>
      <c r="R176" s="175">
        <v>121871</v>
      </c>
      <c r="S176" s="175">
        <v>144933</v>
      </c>
      <c r="T176" s="52">
        <v>266804</v>
      </c>
    </row>
    <row r="177" spans="1:20" ht="18">
      <c r="A177" s="133" t="s">
        <v>71</v>
      </c>
      <c r="B177" s="133" t="s">
        <v>199</v>
      </c>
      <c r="C177" s="133" t="s">
        <v>201</v>
      </c>
      <c r="D177" s="133">
        <v>0</v>
      </c>
      <c r="E177" s="133">
        <v>6</v>
      </c>
      <c r="F177" s="130">
        <f t="shared" si="15"/>
        <v>-0.87641468833238345</v>
      </c>
      <c r="G177" s="130">
        <f t="shared" si="16"/>
        <v>11.536104737917634</v>
      </c>
      <c r="H177" s="130">
        <f t="shared" si="17"/>
        <v>1.3230055205432605</v>
      </c>
      <c r="I177" s="130">
        <f t="shared" si="18"/>
        <v>-4.2222296491873042E-2</v>
      </c>
      <c r="J177" s="130"/>
      <c r="K177" s="130"/>
      <c r="L177" s="183">
        <v>-75348</v>
      </c>
      <c r="M177" s="133"/>
      <c r="N177" s="194">
        <v>52341</v>
      </c>
      <c r="O177" s="190">
        <v>102345</v>
      </c>
      <c r="P177" s="52">
        <v>85973</v>
      </c>
      <c r="Q177" s="191">
        <f>O177-T177</f>
        <v>-33058</v>
      </c>
      <c r="R177" s="175"/>
      <c r="S177" s="175"/>
      <c r="T177" s="175">
        <v>135403</v>
      </c>
    </row>
    <row r="178" spans="1:20" ht="18">
      <c r="A178" s="133" t="s">
        <v>71</v>
      </c>
      <c r="B178" s="133" t="s">
        <v>199</v>
      </c>
      <c r="C178" s="133" t="s">
        <v>173</v>
      </c>
      <c r="D178" s="133">
        <v>0</v>
      </c>
      <c r="E178" s="133">
        <v>12</v>
      </c>
      <c r="F178" s="130">
        <f t="shared" si="15"/>
        <v>-0.83942158795940425</v>
      </c>
      <c r="G178" s="130">
        <f t="shared" si="16"/>
        <v>11.812681848654782</v>
      </c>
      <c r="H178" s="130">
        <f t="shared" si="17"/>
        <v>0.99777700384578338</v>
      </c>
      <c r="I178" s="130">
        <v>6.3244243000000006E-2</v>
      </c>
      <c r="J178" s="130"/>
      <c r="K178" s="130"/>
      <c r="L178" s="192">
        <v>-75349</v>
      </c>
      <c r="M178" s="193"/>
      <c r="N178" s="188">
        <v>54373</v>
      </c>
      <c r="O178" s="52">
        <v>134953</v>
      </c>
      <c r="P178" s="188">
        <v>89763</v>
      </c>
      <c r="Q178" s="188">
        <f>O178-T178</f>
        <v>300</v>
      </c>
      <c r="R178" s="188"/>
      <c r="S178" s="52"/>
      <c r="T178" s="52">
        <v>134653</v>
      </c>
    </row>
    <row r="179" spans="1:20" ht="17">
      <c r="A179" s="132" t="s">
        <v>75</v>
      </c>
      <c r="B179" s="132" t="s">
        <v>198</v>
      </c>
      <c r="C179" s="132" t="s">
        <v>205</v>
      </c>
      <c r="D179" s="132">
        <v>1</v>
      </c>
      <c r="E179" s="132">
        <v>4</v>
      </c>
      <c r="F179" s="130">
        <f t="shared" si="15"/>
        <v>-5.1165739646675694E-2</v>
      </c>
      <c r="G179" s="130">
        <f t="shared" si="16"/>
        <v>13.653364500117695</v>
      </c>
      <c r="H179" s="130">
        <f t="shared" si="17"/>
        <v>0.99549226935366453</v>
      </c>
      <c r="I179" s="130">
        <f t="shared" si="18"/>
        <v>-0.12241078428892992</v>
      </c>
      <c r="J179" s="130"/>
      <c r="K179" s="130"/>
      <c r="L179" s="166">
        <v>-17754</v>
      </c>
      <c r="M179" s="167">
        <v>449</v>
      </c>
      <c r="N179" s="168">
        <v>6251</v>
      </c>
      <c r="O179" s="168">
        <v>850317</v>
      </c>
      <c r="P179" s="168">
        <v>346990</v>
      </c>
      <c r="Q179" s="168">
        <v>3832</v>
      </c>
      <c r="R179" s="168">
        <v>426048</v>
      </c>
      <c r="S179" s="168">
        <v>420436</v>
      </c>
      <c r="T179" s="156">
        <f>R179+S179</f>
        <v>846484</v>
      </c>
    </row>
    <row r="180" spans="1:20" ht="17">
      <c r="A180" s="132" t="s">
        <v>75</v>
      </c>
      <c r="B180" s="132" t="s">
        <v>198</v>
      </c>
      <c r="C180" s="132" t="s">
        <v>203</v>
      </c>
      <c r="D180" s="132">
        <v>1</v>
      </c>
      <c r="E180" s="132">
        <v>4</v>
      </c>
      <c r="F180" s="130">
        <f t="shared" si="15"/>
        <v>-0.12237790535926553</v>
      </c>
      <c r="G180" s="130">
        <f t="shared" si="16"/>
        <v>13.628588032930205</v>
      </c>
      <c r="H180" s="130">
        <f t="shared" si="17"/>
        <v>1.0054912068358592</v>
      </c>
      <c r="I180" s="130">
        <f t="shared" si="18"/>
        <v>6.1820232564384889E-2</v>
      </c>
      <c r="J180" s="130"/>
      <c r="K180" s="130"/>
      <c r="L180" s="166">
        <v>-48387</v>
      </c>
      <c r="M180" s="167">
        <v>463</v>
      </c>
      <c r="N180" s="168">
        <v>6717</v>
      </c>
      <c r="O180" s="168">
        <v>829508</v>
      </c>
      <c r="P180" s="168">
        <v>395390</v>
      </c>
      <c r="Q180" s="168">
        <v>-4555</v>
      </c>
      <c r="R180" s="168">
        <v>604718</v>
      </c>
      <c r="S180" s="168">
        <v>229345</v>
      </c>
      <c r="T180" s="156">
        <f>R180+S180</f>
        <v>834063</v>
      </c>
    </row>
    <row r="181" spans="1:20" ht="17">
      <c r="A181" s="132" t="s">
        <v>75</v>
      </c>
      <c r="B181" s="132" t="s">
        <v>198</v>
      </c>
      <c r="C181" s="132" t="s">
        <v>202</v>
      </c>
      <c r="D181" s="132">
        <v>0</v>
      </c>
      <c r="E181" s="132">
        <v>2</v>
      </c>
      <c r="F181" s="130">
        <f t="shared" si="15"/>
        <v>-0.2749791873674034</v>
      </c>
      <c r="G181" s="130">
        <f t="shared" si="16"/>
        <v>13.726924123040057</v>
      </c>
      <c r="H181" s="130">
        <f t="shared" si="17"/>
        <v>1.0403704448309923</v>
      </c>
      <c r="I181" s="130">
        <f t="shared" si="18"/>
        <v>2.6921634382032388E-2</v>
      </c>
      <c r="J181" s="130"/>
      <c r="K181" s="130"/>
      <c r="L181" s="166">
        <v>-102394</v>
      </c>
      <c r="M181" s="167">
        <v>483</v>
      </c>
      <c r="N181" s="168">
        <v>32278</v>
      </c>
      <c r="O181" s="168">
        <v>915224</v>
      </c>
      <c r="P181" s="168">
        <v>372370</v>
      </c>
      <c r="Q181" s="168">
        <v>-36949</v>
      </c>
      <c r="R181" s="168">
        <v>594912</v>
      </c>
      <c r="S181" s="168">
        <v>357260</v>
      </c>
      <c r="T181" s="156">
        <f>R181+S181</f>
        <v>952172</v>
      </c>
    </row>
    <row r="182" spans="1:20" ht="17">
      <c r="A182" s="132" t="s">
        <v>75</v>
      </c>
      <c r="B182" s="132" t="s">
        <v>198</v>
      </c>
      <c r="C182" s="132" t="s">
        <v>201</v>
      </c>
      <c r="D182" s="132">
        <v>0</v>
      </c>
      <c r="E182" s="132">
        <v>1</v>
      </c>
      <c r="F182" s="130">
        <f t="shared" si="15"/>
        <v>-0.67725753430702029</v>
      </c>
      <c r="G182" s="130">
        <f t="shared" si="16"/>
        <v>13.76769017340655</v>
      </c>
      <c r="H182" s="130">
        <f t="shared" si="17"/>
        <v>0.94393085109172825</v>
      </c>
      <c r="I182" s="130">
        <f t="shared" si="18"/>
        <v>-0.1744311532664575</v>
      </c>
      <c r="J182" s="130"/>
      <c r="K182" s="130"/>
      <c r="L182" s="166">
        <v>-245579</v>
      </c>
      <c r="M182" s="167">
        <v>520</v>
      </c>
      <c r="N182" s="168">
        <v>9321</v>
      </c>
      <c r="O182" s="168">
        <v>953305</v>
      </c>
      <c r="P182" s="168">
        <v>362608</v>
      </c>
      <c r="Q182" s="168">
        <v>53451</v>
      </c>
      <c r="R182" s="168">
        <v>581891</v>
      </c>
      <c r="S182" s="168">
        <v>317963</v>
      </c>
      <c r="T182" s="156">
        <f>R182+S182</f>
        <v>899854</v>
      </c>
    </row>
    <row r="183" spans="1:20" ht="17">
      <c r="A183" s="132" t="s">
        <v>75</v>
      </c>
      <c r="B183" s="132" t="s">
        <v>198</v>
      </c>
      <c r="C183" s="132" t="s">
        <v>173</v>
      </c>
      <c r="D183" s="132">
        <v>1</v>
      </c>
      <c r="E183" s="132">
        <v>2</v>
      </c>
      <c r="F183" s="130">
        <f t="shared" si="15"/>
        <v>-0.31887291620182961</v>
      </c>
      <c r="G183" s="130">
        <f t="shared" si="16"/>
        <v>13.677471879915865</v>
      </c>
      <c r="H183" s="130">
        <f t="shared" si="17"/>
        <v>1.0994242679937778</v>
      </c>
      <c r="I183" s="130">
        <v>-5.2025017652242531E-2</v>
      </c>
      <c r="J183" s="130"/>
      <c r="K183" s="130"/>
      <c r="L183" s="166">
        <v>-140056</v>
      </c>
      <c r="M183" s="167">
        <v>498</v>
      </c>
      <c r="N183" s="168">
        <v>52</v>
      </c>
      <c r="O183" s="168">
        <v>871065</v>
      </c>
      <c r="P183" s="168">
        <v>439222</v>
      </c>
      <c r="Q183" s="168">
        <v>-86605</v>
      </c>
      <c r="R183" s="168">
        <v>613642</v>
      </c>
      <c r="S183" s="168">
        <v>344028</v>
      </c>
      <c r="T183" s="156">
        <f>R183+S183</f>
        <v>957670</v>
      </c>
    </row>
    <row r="184" spans="1:20" ht="18">
      <c r="A184" s="133" t="s">
        <v>76</v>
      </c>
      <c r="B184" s="133" t="s">
        <v>199</v>
      </c>
      <c r="C184" s="133" t="s">
        <v>205</v>
      </c>
      <c r="D184" s="133">
        <v>0</v>
      </c>
      <c r="E184" s="133">
        <v>3</v>
      </c>
      <c r="F184" s="130">
        <f t="shared" si="15"/>
        <v>-0.18107790837630205</v>
      </c>
      <c r="G184" s="130">
        <f t="shared" si="16"/>
        <v>12.368552824277147</v>
      </c>
      <c r="H184" s="130">
        <f t="shared" si="17"/>
        <v>1.0070552733918439</v>
      </c>
      <c r="I184" s="130">
        <f t="shared" si="18"/>
        <v>-0.22670680769650622</v>
      </c>
      <c r="J184" s="130"/>
      <c r="K184" s="130"/>
      <c r="L184" s="158">
        <v>-24372</v>
      </c>
      <c r="M184" s="189"/>
      <c r="N184" s="190">
        <v>54389</v>
      </c>
      <c r="O184" s="52">
        <v>235285</v>
      </c>
      <c r="P184" s="191">
        <v>134594</v>
      </c>
      <c r="Q184" s="188">
        <f>O184-T184</f>
        <v>-1660</v>
      </c>
      <c r="R184" s="188"/>
      <c r="S184" s="188"/>
      <c r="T184" s="52">
        <v>236945</v>
      </c>
    </row>
    <row r="185" spans="1:20" ht="17">
      <c r="A185" s="133" t="s">
        <v>76</v>
      </c>
      <c r="B185" s="133" t="s">
        <v>199</v>
      </c>
      <c r="C185" s="133" t="s">
        <v>203</v>
      </c>
      <c r="D185" s="133">
        <v>0</v>
      </c>
      <c r="E185" s="133">
        <v>2</v>
      </c>
      <c r="F185" s="130">
        <f t="shared" si="15"/>
        <v>0.18581696379838325</v>
      </c>
      <c r="G185" s="130">
        <f t="shared" si="16"/>
        <v>12.156593494063495</v>
      </c>
      <c r="H185" s="130">
        <f t="shared" si="17"/>
        <v>0.75436707031968264</v>
      </c>
      <c r="I185" s="130">
        <f t="shared" si="18"/>
        <v>0.21216109869140393</v>
      </c>
      <c r="J185" s="130"/>
      <c r="K185" s="130"/>
      <c r="L185" s="176">
        <v>32342</v>
      </c>
      <c r="M185" s="169"/>
      <c r="N185" s="175">
        <v>62839</v>
      </c>
      <c r="O185" s="175">
        <v>190345</v>
      </c>
      <c r="P185" s="175">
        <v>174053</v>
      </c>
      <c r="Q185" s="175">
        <f>O185-T185</f>
        <v>46755</v>
      </c>
      <c r="R185" s="175"/>
      <c r="S185" s="175"/>
      <c r="T185" s="52">
        <v>143590</v>
      </c>
    </row>
    <row r="186" spans="1:20" ht="18">
      <c r="A186" s="133" t="s">
        <v>76</v>
      </c>
      <c r="B186" s="133" t="s">
        <v>199</v>
      </c>
      <c r="C186" s="133" t="s">
        <v>202</v>
      </c>
      <c r="D186" s="133">
        <v>1</v>
      </c>
      <c r="E186" s="133">
        <v>1</v>
      </c>
      <c r="F186" s="130">
        <f t="shared" si="15"/>
        <v>-0.37870588972692892</v>
      </c>
      <c r="G186" s="130">
        <f t="shared" si="16"/>
        <v>12.565647381006521</v>
      </c>
      <c r="H186" s="130">
        <f t="shared" si="17"/>
        <v>0.58781897370037406</v>
      </c>
      <c r="I186" s="130">
        <f t="shared" si="18"/>
        <v>-0.23490201093385338</v>
      </c>
      <c r="J186" s="130"/>
      <c r="K186" s="130"/>
      <c r="L186" s="192">
        <v>-54378</v>
      </c>
      <c r="M186" s="133"/>
      <c r="N186" s="52">
        <v>53791</v>
      </c>
      <c r="O186" s="188">
        <v>286544</v>
      </c>
      <c r="P186" s="191">
        <v>143589</v>
      </c>
      <c r="Q186" s="188">
        <f>O186-T186</f>
        <v>118108</v>
      </c>
      <c r="R186" s="188"/>
      <c r="S186" s="188"/>
      <c r="T186" s="188">
        <v>168436</v>
      </c>
    </row>
    <row r="187" spans="1:20" ht="18">
      <c r="A187" s="133" t="s">
        <v>76</v>
      </c>
      <c r="B187" s="133" t="s">
        <v>199</v>
      </c>
      <c r="C187" s="133" t="s">
        <v>201</v>
      </c>
      <c r="D187" s="133">
        <v>1</v>
      </c>
      <c r="E187" s="133">
        <v>12</v>
      </c>
      <c r="F187" s="130">
        <f t="shared" si="15"/>
        <v>-0.28978441339770028</v>
      </c>
      <c r="G187" s="130">
        <f t="shared" si="16"/>
        <v>12.279996672195534</v>
      </c>
      <c r="H187" s="130">
        <f t="shared" si="17"/>
        <v>1.1416331932480439</v>
      </c>
      <c r="I187" s="130">
        <f t="shared" si="18"/>
        <v>1.100083925474179</v>
      </c>
      <c r="J187" s="130"/>
      <c r="K187" s="130"/>
      <c r="L187" s="183">
        <v>-54385</v>
      </c>
      <c r="M187" s="133"/>
      <c r="N187" s="194">
        <v>135749</v>
      </c>
      <c r="O187" s="190">
        <v>215345</v>
      </c>
      <c r="P187" s="52">
        <v>187674</v>
      </c>
      <c r="Q187" s="191">
        <f>O187-T187</f>
        <v>-30500</v>
      </c>
      <c r="R187" s="175"/>
      <c r="S187" s="175"/>
      <c r="T187" s="175">
        <v>245845</v>
      </c>
    </row>
    <row r="188" spans="1:20" ht="18">
      <c r="A188" s="133" t="s">
        <v>76</v>
      </c>
      <c r="B188" s="133" t="s">
        <v>199</v>
      </c>
      <c r="C188" s="133" t="s">
        <v>173</v>
      </c>
      <c r="D188" s="133">
        <v>1</v>
      </c>
      <c r="E188" s="133">
        <v>4</v>
      </c>
      <c r="F188" s="130">
        <f t="shared" si="15"/>
        <v>-0.738242041067532</v>
      </c>
      <c r="G188" s="130">
        <f t="shared" si="16"/>
        <v>11.774027394566664</v>
      </c>
      <c r="H188" s="130">
        <f t="shared" si="17"/>
        <v>1.4217397332018855</v>
      </c>
      <c r="I188" s="130">
        <v>0.21265905138380584</v>
      </c>
      <c r="J188" s="130"/>
      <c r="K188" s="130"/>
      <c r="L188" s="192">
        <v>-65973</v>
      </c>
      <c r="M188" s="193"/>
      <c r="N188" s="188">
        <v>49567</v>
      </c>
      <c r="O188" s="188">
        <v>129836</v>
      </c>
      <c r="P188" s="188">
        <v>89365</v>
      </c>
      <c r="Q188" s="188">
        <f>O188-T188</f>
        <v>-54757</v>
      </c>
      <c r="R188" s="188"/>
      <c r="S188" s="52"/>
      <c r="T188" s="52">
        <v>184593</v>
      </c>
    </row>
    <row r="189" spans="1:20" ht="17">
      <c r="A189" s="132" t="s">
        <v>77</v>
      </c>
      <c r="B189" s="132" t="s">
        <v>198</v>
      </c>
      <c r="C189" s="132" t="s">
        <v>205</v>
      </c>
      <c r="D189" s="132">
        <v>0</v>
      </c>
      <c r="E189" s="132">
        <v>1</v>
      </c>
      <c r="F189" s="130">
        <f t="shared" si="15"/>
        <v>-3.8104183137858676E-2</v>
      </c>
      <c r="G189" s="130">
        <f t="shared" si="16"/>
        <v>13.557604739837775</v>
      </c>
      <c r="H189" s="130">
        <f t="shared" si="17"/>
        <v>0.90675814191865067</v>
      </c>
      <c r="I189" s="130">
        <f t="shared" si="18"/>
        <v>-0.18792480883602378</v>
      </c>
      <c r="J189" s="130"/>
      <c r="K189" s="130"/>
      <c r="L189" s="166">
        <v>-19230</v>
      </c>
      <c r="M189" s="167">
        <v>236</v>
      </c>
      <c r="N189" s="168">
        <v>52393</v>
      </c>
      <c r="O189" s="168">
        <v>772668</v>
      </c>
      <c r="P189" s="168">
        <v>504669</v>
      </c>
      <c r="Q189" s="168">
        <v>72045</v>
      </c>
      <c r="R189" s="168">
        <v>387945</v>
      </c>
      <c r="S189" s="168">
        <v>312678</v>
      </c>
      <c r="T189" s="156">
        <f>R189+S189</f>
        <v>700623</v>
      </c>
    </row>
    <row r="190" spans="1:20" ht="17">
      <c r="A190" s="132" t="s">
        <v>77</v>
      </c>
      <c r="B190" s="132" t="s">
        <v>198</v>
      </c>
      <c r="C190" s="132" t="s">
        <v>203</v>
      </c>
      <c r="D190" s="132">
        <v>0</v>
      </c>
      <c r="E190" s="132">
        <v>1</v>
      </c>
      <c r="F190" s="130">
        <f t="shared" si="15"/>
        <v>-6.4196017095337399E-2</v>
      </c>
      <c r="G190" s="130">
        <f t="shared" si="16"/>
        <v>13.755505744027245</v>
      </c>
      <c r="H190" s="130">
        <f t="shared" si="17"/>
        <v>0.96682594291539248</v>
      </c>
      <c r="I190" s="130">
        <f t="shared" si="18"/>
        <v>8.376349786545384E-2</v>
      </c>
      <c r="J190" s="130"/>
      <c r="K190" s="130"/>
      <c r="L190" s="166">
        <v>-39895</v>
      </c>
      <c r="M190" s="167">
        <v>250</v>
      </c>
      <c r="N190" s="168">
        <v>41832</v>
      </c>
      <c r="O190" s="168">
        <v>941760</v>
      </c>
      <c r="P190" s="168">
        <v>621456</v>
      </c>
      <c r="Q190" s="168">
        <v>31242</v>
      </c>
      <c r="R190" s="168">
        <v>519951</v>
      </c>
      <c r="S190" s="168">
        <v>390567</v>
      </c>
      <c r="T190" s="156">
        <f>R190+S190</f>
        <v>910518</v>
      </c>
    </row>
    <row r="191" spans="1:20" ht="17">
      <c r="A191" s="132" t="s">
        <v>77</v>
      </c>
      <c r="B191" s="132" t="s">
        <v>198</v>
      </c>
      <c r="C191" s="132" t="s">
        <v>202</v>
      </c>
      <c r="D191" s="132">
        <v>0</v>
      </c>
      <c r="E191" s="132">
        <v>1</v>
      </c>
      <c r="F191" s="130">
        <f t="shared" si="15"/>
        <v>-0.15639736041742236</v>
      </c>
      <c r="G191" s="130">
        <f t="shared" si="16"/>
        <v>13.978374028101106</v>
      </c>
      <c r="H191" s="130">
        <f t="shared" si="17"/>
        <v>0.79674579140028345</v>
      </c>
      <c r="I191" s="130">
        <f t="shared" si="18"/>
        <v>0.19286391852086071</v>
      </c>
      <c r="J191" s="130"/>
      <c r="K191" s="130"/>
      <c r="L191" s="166">
        <v>-89682</v>
      </c>
      <c r="M191" s="167">
        <v>270</v>
      </c>
      <c r="N191" s="168">
        <v>127598</v>
      </c>
      <c r="O191" s="168">
        <v>1176876</v>
      </c>
      <c r="P191" s="168">
        <v>573424</v>
      </c>
      <c r="Q191" s="168">
        <v>239205</v>
      </c>
      <c r="R191" s="168">
        <v>502738</v>
      </c>
      <c r="S191" s="168">
        <v>434933</v>
      </c>
      <c r="T191" s="156">
        <f>R191+S191</f>
        <v>937671</v>
      </c>
    </row>
    <row r="192" spans="1:20" ht="17">
      <c r="A192" s="132" t="s">
        <v>77</v>
      </c>
      <c r="B192" s="132" t="s">
        <v>198</v>
      </c>
      <c r="C192" s="132" t="s">
        <v>201</v>
      </c>
      <c r="D192" s="132">
        <v>0</v>
      </c>
      <c r="E192" s="132">
        <v>4</v>
      </c>
      <c r="F192" s="130">
        <f t="shared" si="15"/>
        <v>-0.43661277438466273</v>
      </c>
      <c r="G192" s="130">
        <f t="shared" si="16"/>
        <v>13.718791486137523</v>
      </c>
      <c r="H192" s="130">
        <f t="shared" si="17"/>
        <v>0.96867299470925117</v>
      </c>
      <c r="I192" s="130">
        <f t="shared" si="18"/>
        <v>8.1362207930391436E-2</v>
      </c>
      <c r="J192" s="130"/>
      <c r="K192" s="130"/>
      <c r="L192" s="166">
        <v>-209885</v>
      </c>
      <c r="M192" s="167">
        <v>270</v>
      </c>
      <c r="N192" s="168">
        <v>48416</v>
      </c>
      <c r="O192" s="168">
        <v>907811</v>
      </c>
      <c r="P192" s="168">
        <v>480712</v>
      </c>
      <c r="Q192" s="168">
        <v>28439</v>
      </c>
      <c r="R192" s="168">
        <v>499212</v>
      </c>
      <c r="S192" s="168">
        <v>380160</v>
      </c>
      <c r="T192" s="156">
        <f>R192+S192</f>
        <v>879372</v>
      </c>
    </row>
    <row r="193" spans="1:20" ht="17">
      <c r="A193" s="132" t="s">
        <v>77</v>
      </c>
      <c r="B193" s="132" t="s">
        <v>198</v>
      </c>
      <c r="C193" s="132" t="s">
        <v>173</v>
      </c>
      <c r="D193" s="132">
        <v>1</v>
      </c>
      <c r="E193" s="132">
        <v>4</v>
      </c>
      <c r="F193" s="130">
        <f t="shared" si="15"/>
        <v>-0.57207739183835982</v>
      </c>
      <c r="G193" s="130">
        <f t="shared" si="16"/>
        <v>13.744760786889824</v>
      </c>
      <c r="H193" s="130">
        <f t="shared" si="17"/>
        <v>0.8181443498140486</v>
      </c>
      <c r="I193" s="130">
        <v>4.2516203870170549E-2</v>
      </c>
      <c r="J193" s="130"/>
      <c r="K193" s="130"/>
      <c r="L193" s="166">
        <v>-254313</v>
      </c>
      <c r="M193" s="167">
        <v>281</v>
      </c>
      <c r="N193" s="168">
        <v>10058</v>
      </c>
      <c r="O193" s="168">
        <v>931695</v>
      </c>
      <c r="P193" s="168">
        <v>444543</v>
      </c>
      <c r="Q193" s="168">
        <v>169434</v>
      </c>
      <c r="R193" s="168">
        <v>382773</v>
      </c>
      <c r="S193" s="168">
        <v>379488</v>
      </c>
      <c r="T193" s="156">
        <f>R193+S193</f>
        <v>762261</v>
      </c>
    </row>
    <row r="194" spans="1:20" ht="18">
      <c r="A194" s="133" t="s">
        <v>78</v>
      </c>
      <c r="B194" s="133" t="s">
        <v>199</v>
      </c>
      <c r="C194" s="133" t="s">
        <v>205</v>
      </c>
      <c r="D194" s="133">
        <v>0</v>
      </c>
      <c r="E194" s="133">
        <v>18</v>
      </c>
      <c r="F194" s="130">
        <f t="shared" ref="F194:F257" si="20">L194/P194</f>
        <v>-3.4882784177878032E-2</v>
      </c>
      <c r="G194" s="130">
        <f t="shared" ref="G194:G257" si="21">LN(O194)</f>
        <v>11.475763431281461</v>
      </c>
      <c r="H194" s="130">
        <f t="shared" ref="H194:H257" si="22">T194/O194</f>
        <v>1.3962657754898704</v>
      </c>
      <c r="I194" s="130">
        <v>0.62340932000000004</v>
      </c>
      <c r="J194" s="130"/>
      <c r="K194" s="130"/>
      <c r="L194" s="158">
        <v>-4763</v>
      </c>
      <c r="M194" s="189"/>
      <c r="N194" s="190">
        <v>24365</v>
      </c>
      <c r="O194" s="52">
        <v>96352</v>
      </c>
      <c r="P194" s="191">
        <v>136543</v>
      </c>
      <c r="Q194" s="188">
        <f t="shared" ref="Q194:Q206" si="23">O194-T194</f>
        <v>-38181</v>
      </c>
      <c r="R194" s="188"/>
      <c r="S194" s="188"/>
      <c r="T194" s="52">
        <v>134533</v>
      </c>
    </row>
    <row r="195" spans="1:20" ht="18">
      <c r="A195" s="133" t="s">
        <v>79</v>
      </c>
      <c r="B195" s="133" t="s">
        <v>199</v>
      </c>
      <c r="C195" s="133" t="s">
        <v>205</v>
      </c>
      <c r="D195" s="133">
        <v>0</v>
      </c>
      <c r="E195" s="133">
        <v>8</v>
      </c>
      <c r="F195" s="130">
        <f t="shared" si="20"/>
        <v>-0.38521085822350754</v>
      </c>
      <c r="G195" s="130">
        <f t="shared" si="21"/>
        <v>11.976238008747531</v>
      </c>
      <c r="H195" s="130">
        <f t="shared" si="22"/>
        <v>0.81385237804609489</v>
      </c>
      <c r="I195" s="130">
        <f t="shared" ref="I195:I258" si="24">IF(A195=A196, (P195-P196)/P196, "")</f>
        <v>-0.31387675763007095</v>
      </c>
      <c r="J195" s="130"/>
      <c r="K195" s="130"/>
      <c r="L195" s="158">
        <v>-52349</v>
      </c>
      <c r="M195" s="189"/>
      <c r="N195" s="190">
        <v>43893</v>
      </c>
      <c r="O195" s="52">
        <v>158933</v>
      </c>
      <c r="P195" s="191">
        <v>135897</v>
      </c>
      <c r="Q195" s="188">
        <f t="shared" si="23"/>
        <v>29585</v>
      </c>
      <c r="R195" s="188"/>
      <c r="S195" s="188"/>
      <c r="T195" s="52">
        <v>129348</v>
      </c>
    </row>
    <row r="196" spans="1:20" ht="18">
      <c r="A196" s="133" t="s">
        <v>79</v>
      </c>
      <c r="B196" s="133" t="s">
        <v>199</v>
      </c>
      <c r="C196" s="133" t="s">
        <v>203</v>
      </c>
      <c r="D196" s="133">
        <v>0</v>
      </c>
      <c r="E196" s="133">
        <v>14</v>
      </c>
      <c r="F196" s="130">
        <f t="shared" si="20"/>
        <v>-0.17429126801807487</v>
      </c>
      <c r="G196" s="130">
        <f t="shared" si="21"/>
        <v>11.971830229049701</v>
      </c>
      <c r="H196" s="130">
        <f t="shared" si="22"/>
        <v>1.2559563684163959</v>
      </c>
      <c r="I196" s="130">
        <f t="shared" si="24"/>
        <v>1.1816689797986473</v>
      </c>
      <c r="J196" s="130"/>
      <c r="K196" s="130"/>
      <c r="L196" s="176">
        <v>-34521</v>
      </c>
      <c r="M196" s="169"/>
      <c r="N196" s="190">
        <v>54376</v>
      </c>
      <c r="O196" s="52">
        <v>158234</v>
      </c>
      <c r="P196" s="191">
        <v>198065</v>
      </c>
      <c r="Q196" s="175">
        <f t="shared" si="23"/>
        <v>-40501</v>
      </c>
      <c r="R196" s="175"/>
      <c r="S196" s="175"/>
      <c r="T196" s="52">
        <v>198735</v>
      </c>
    </row>
    <row r="197" spans="1:20" ht="18">
      <c r="A197" s="133" t="s">
        <v>79</v>
      </c>
      <c r="B197" s="133" t="s">
        <v>199</v>
      </c>
      <c r="C197" s="133" t="s">
        <v>201</v>
      </c>
      <c r="D197" s="133">
        <v>0</v>
      </c>
      <c r="E197" s="133">
        <v>14</v>
      </c>
      <c r="F197" s="130">
        <f t="shared" si="20"/>
        <v>-0.5983521688366048</v>
      </c>
      <c r="G197" s="130">
        <f t="shared" si="21"/>
        <v>11.468377788708915</v>
      </c>
      <c r="H197" s="130">
        <f t="shared" si="22"/>
        <v>1.6361887435567684</v>
      </c>
      <c r="I197" s="130">
        <f t="shared" si="24"/>
        <v>0.97821018455973674</v>
      </c>
      <c r="J197" s="130"/>
      <c r="K197" s="130"/>
      <c r="L197" s="183">
        <v>-54322</v>
      </c>
      <c r="M197" s="133"/>
      <c r="N197" s="52">
        <v>195043</v>
      </c>
      <c r="O197" s="190">
        <v>95643</v>
      </c>
      <c r="P197" s="52">
        <v>90786</v>
      </c>
      <c r="Q197" s="191">
        <f t="shared" si="23"/>
        <v>-60847</v>
      </c>
      <c r="R197" s="175"/>
      <c r="S197" s="175"/>
      <c r="T197" s="175">
        <v>156490</v>
      </c>
    </row>
    <row r="198" spans="1:20" ht="18">
      <c r="A198" s="133" t="s">
        <v>79</v>
      </c>
      <c r="B198" s="133" t="s">
        <v>199</v>
      </c>
      <c r="C198" s="133" t="s">
        <v>173</v>
      </c>
      <c r="D198" s="133">
        <v>0</v>
      </c>
      <c r="E198" s="133">
        <v>11</v>
      </c>
      <c r="F198" s="130">
        <f t="shared" si="20"/>
        <v>-1.2514326803651974</v>
      </c>
      <c r="G198" s="130">
        <f t="shared" si="21"/>
        <v>12.091525618346022</v>
      </c>
      <c r="H198" s="130">
        <f t="shared" si="22"/>
        <v>0.81660069300380145</v>
      </c>
      <c r="I198" s="130">
        <v>0.61533413557610439</v>
      </c>
      <c r="J198" s="130"/>
      <c r="K198" s="130"/>
      <c r="L198" s="192">
        <v>-57432</v>
      </c>
      <c r="M198" s="193"/>
      <c r="N198" s="188">
        <v>35684</v>
      </c>
      <c r="O198" s="52">
        <v>178354</v>
      </c>
      <c r="P198" s="188">
        <v>45893</v>
      </c>
      <c r="Q198" s="188">
        <f t="shared" si="23"/>
        <v>32710</v>
      </c>
      <c r="R198" s="188"/>
      <c r="S198" s="52"/>
      <c r="T198" s="52">
        <v>145644</v>
      </c>
    </row>
    <row r="199" spans="1:20" ht="18">
      <c r="A199" s="133" t="s">
        <v>80</v>
      </c>
      <c r="B199" s="133" t="s">
        <v>199</v>
      </c>
      <c r="C199" s="133" t="s">
        <v>205</v>
      </c>
      <c r="D199" s="133">
        <v>0</v>
      </c>
      <c r="E199" s="133">
        <v>9</v>
      </c>
      <c r="F199" s="130">
        <f t="shared" si="20"/>
        <v>0.10859670077799657</v>
      </c>
      <c r="G199" s="130">
        <f t="shared" si="21"/>
        <v>12.232933637193799</v>
      </c>
      <c r="H199" s="130">
        <f t="shared" si="22"/>
        <v>0.56177565771861082</v>
      </c>
      <c r="I199" s="130">
        <f t="shared" si="24"/>
        <v>8.8545098349278303E-2</v>
      </c>
      <c r="J199" s="130"/>
      <c r="K199" s="130"/>
      <c r="L199" s="158">
        <v>13456</v>
      </c>
      <c r="M199" s="189"/>
      <c r="N199" s="190">
        <v>98035</v>
      </c>
      <c r="O199" s="52">
        <v>205445</v>
      </c>
      <c r="P199" s="52">
        <v>123908</v>
      </c>
      <c r="Q199" s="188">
        <f t="shared" si="23"/>
        <v>90031</v>
      </c>
      <c r="R199" s="52"/>
      <c r="S199" s="52"/>
      <c r="T199" s="52">
        <v>115414</v>
      </c>
    </row>
    <row r="200" spans="1:20" ht="18">
      <c r="A200" s="133" t="s">
        <v>80</v>
      </c>
      <c r="B200" s="133" t="s">
        <v>199</v>
      </c>
      <c r="C200" s="133" t="s">
        <v>203</v>
      </c>
      <c r="D200" s="133">
        <v>0</v>
      </c>
      <c r="E200" s="133">
        <v>12</v>
      </c>
      <c r="F200" s="130">
        <f t="shared" si="20"/>
        <v>0.11011253722689297</v>
      </c>
      <c r="G200" s="130">
        <f t="shared" si="21"/>
        <v>11.809572234182591</v>
      </c>
      <c r="H200" s="130">
        <f t="shared" si="22"/>
        <v>1.3776591790922741</v>
      </c>
      <c r="I200" s="130">
        <f t="shared" si="24"/>
        <v>0.68413499238041697</v>
      </c>
      <c r="J200" s="130"/>
      <c r="K200" s="130"/>
      <c r="L200" s="158">
        <v>12534</v>
      </c>
      <c r="M200" s="189"/>
      <c r="N200" s="190">
        <v>98072</v>
      </c>
      <c r="O200" s="52">
        <v>134534</v>
      </c>
      <c r="P200" s="191">
        <v>113829</v>
      </c>
      <c r="Q200" s="175">
        <f t="shared" si="23"/>
        <v>-50808</v>
      </c>
      <c r="R200" s="188"/>
      <c r="S200" s="188"/>
      <c r="T200" s="52">
        <v>185342</v>
      </c>
    </row>
    <row r="201" spans="1:20" ht="18">
      <c r="A201" s="133" t="s">
        <v>80</v>
      </c>
      <c r="B201" s="133" t="s">
        <v>199</v>
      </c>
      <c r="C201" s="133" t="s">
        <v>201</v>
      </c>
      <c r="D201" s="133">
        <v>0</v>
      </c>
      <c r="E201" s="133">
        <v>17</v>
      </c>
      <c r="F201" s="130">
        <f t="shared" si="20"/>
        <v>-1.1364719111097961</v>
      </c>
      <c r="G201" s="130">
        <f t="shared" si="21"/>
        <v>11.771775870753308</v>
      </c>
      <c r="H201" s="130">
        <f t="shared" si="22"/>
        <v>1.0382804298153523</v>
      </c>
      <c r="I201" s="130">
        <f t="shared" si="24"/>
        <v>0.19740991390001064</v>
      </c>
      <c r="J201" s="130"/>
      <c r="K201" s="130"/>
      <c r="L201" s="183">
        <v>-76813</v>
      </c>
      <c r="M201" s="133"/>
      <c r="N201" s="194">
        <v>126539</v>
      </c>
      <c r="O201" s="190">
        <v>129544</v>
      </c>
      <c r="P201" s="52">
        <v>67589</v>
      </c>
      <c r="Q201" s="191">
        <f t="shared" si="23"/>
        <v>-4959</v>
      </c>
      <c r="R201" s="52"/>
      <c r="S201" s="52"/>
      <c r="T201" s="52">
        <v>134503</v>
      </c>
    </row>
    <row r="202" spans="1:20" ht="18">
      <c r="A202" s="133" t="s">
        <v>80</v>
      </c>
      <c r="B202" s="133" t="s">
        <v>199</v>
      </c>
      <c r="C202" s="133" t="s">
        <v>173</v>
      </c>
      <c r="D202" s="133">
        <v>0</v>
      </c>
      <c r="E202" s="133">
        <v>14</v>
      </c>
      <c r="F202" s="130">
        <f t="shared" si="20"/>
        <v>0.11201856641746094</v>
      </c>
      <c r="G202" s="130">
        <f t="shared" si="21"/>
        <v>11.732350109715686</v>
      </c>
      <c r="H202" s="130">
        <f t="shared" si="22"/>
        <v>0.92619804715102461</v>
      </c>
      <c r="I202" s="130">
        <v>0.3233633348765686</v>
      </c>
      <c r="J202" s="130"/>
      <c r="K202" s="130"/>
      <c r="L202" s="192">
        <v>6323</v>
      </c>
      <c r="M202" s="193"/>
      <c r="N202" s="188">
        <v>64285</v>
      </c>
      <c r="O202" s="188">
        <v>124536</v>
      </c>
      <c r="P202" s="188">
        <v>56446</v>
      </c>
      <c r="Q202" s="188">
        <f t="shared" si="23"/>
        <v>9191</v>
      </c>
      <c r="R202" s="188"/>
      <c r="S202" s="52"/>
      <c r="T202" s="52">
        <v>115345</v>
      </c>
    </row>
    <row r="203" spans="1:20" ht="18">
      <c r="A203" s="133" t="s">
        <v>81</v>
      </c>
      <c r="B203" s="133" t="s">
        <v>199</v>
      </c>
      <c r="C203" s="133" t="s">
        <v>205</v>
      </c>
      <c r="D203" s="133">
        <v>0</v>
      </c>
      <c r="E203" s="133">
        <v>15</v>
      </c>
      <c r="F203" s="130">
        <f t="shared" si="20"/>
        <v>-0.35094333767765157</v>
      </c>
      <c r="G203" s="130">
        <f t="shared" si="21"/>
        <v>12.156015428988804</v>
      </c>
      <c r="H203" s="130">
        <f t="shared" si="22"/>
        <v>0.81707887612689567</v>
      </c>
      <c r="I203" s="130">
        <f t="shared" si="24"/>
        <v>-0.32459012957616595</v>
      </c>
      <c r="J203" s="130"/>
      <c r="K203" s="130"/>
      <c r="L203" s="158">
        <v>-45238</v>
      </c>
      <c r="M203" s="189"/>
      <c r="N203" s="190">
        <v>43290</v>
      </c>
      <c r="O203" s="52">
        <v>190235</v>
      </c>
      <c r="P203" s="175">
        <v>128904</v>
      </c>
      <c r="Q203" s="188">
        <f t="shared" si="23"/>
        <v>34798</v>
      </c>
      <c r="R203" s="175"/>
      <c r="S203" s="52"/>
      <c r="T203" s="52">
        <v>155437</v>
      </c>
    </row>
    <row r="204" spans="1:20" ht="18">
      <c r="A204" s="133" t="s">
        <v>81</v>
      </c>
      <c r="B204" s="133" t="s">
        <v>199</v>
      </c>
      <c r="C204" s="133" t="s">
        <v>203</v>
      </c>
      <c r="D204" s="133">
        <v>0</v>
      </c>
      <c r="E204" s="133">
        <v>8</v>
      </c>
      <c r="F204" s="130">
        <f t="shared" si="20"/>
        <v>-0.39419867646827661</v>
      </c>
      <c r="G204" s="130">
        <f t="shared" si="21"/>
        <v>11.938774730599494</v>
      </c>
      <c r="H204" s="130">
        <f t="shared" si="22"/>
        <v>1.166987830608339</v>
      </c>
      <c r="I204" s="130">
        <f t="shared" si="24"/>
        <v>6.2418987629961293</v>
      </c>
      <c r="J204" s="130"/>
      <c r="K204" s="130"/>
      <c r="L204" s="158">
        <v>-75234</v>
      </c>
      <c r="M204" s="189"/>
      <c r="N204" s="190">
        <v>98523</v>
      </c>
      <c r="O204" s="52">
        <v>153089</v>
      </c>
      <c r="P204" s="191">
        <v>190853</v>
      </c>
      <c r="Q204" s="175">
        <f t="shared" si="23"/>
        <v>-25564</v>
      </c>
      <c r="R204" s="188"/>
      <c r="S204" s="188"/>
      <c r="T204" s="52">
        <v>178653</v>
      </c>
    </row>
    <row r="205" spans="1:20" ht="18">
      <c r="A205" s="133" t="s">
        <v>81</v>
      </c>
      <c r="B205" s="133" t="s">
        <v>199</v>
      </c>
      <c r="C205" s="133" t="s">
        <v>201</v>
      </c>
      <c r="D205" s="133">
        <v>0</v>
      </c>
      <c r="E205" s="133">
        <v>11</v>
      </c>
      <c r="F205" s="130">
        <f t="shared" si="20"/>
        <v>-0.46858161948850269</v>
      </c>
      <c r="G205" s="130">
        <f t="shared" si="21"/>
        <v>11.35549942700905</v>
      </c>
      <c r="H205" s="130">
        <f t="shared" si="22"/>
        <v>1.1521642437437085</v>
      </c>
      <c r="I205" s="130">
        <f t="shared" si="24"/>
        <v>-0.70506076952346841</v>
      </c>
      <c r="J205" s="130"/>
      <c r="K205" s="130"/>
      <c r="L205" s="183">
        <v>-12349</v>
      </c>
      <c r="M205" s="133"/>
      <c r="N205" s="194">
        <v>134943</v>
      </c>
      <c r="O205" s="190">
        <v>85434</v>
      </c>
      <c r="P205" s="52">
        <v>26354</v>
      </c>
      <c r="Q205" s="191">
        <f t="shared" si="23"/>
        <v>-13000</v>
      </c>
      <c r="R205" s="188"/>
      <c r="S205" s="188"/>
      <c r="T205" s="188">
        <v>98434</v>
      </c>
    </row>
    <row r="206" spans="1:20" ht="18">
      <c r="A206" s="133" t="s">
        <v>81</v>
      </c>
      <c r="B206" s="133" t="s">
        <v>199</v>
      </c>
      <c r="C206" s="133" t="s">
        <v>173</v>
      </c>
      <c r="D206" s="133">
        <v>0</v>
      </c>
      <c r="E206" s="133">
        <v>3</v>
      </c>
      <c r="F206" s="130">
        <f t="shared" si="20"/>
        <v>-0.19739463258499898</v>
      </c>
      <c r="G206" s="130">
        <f t="shared" si="21"/>
        <v>12.447700308221537</v>
      </c>
      <c r="H206" s="130">
        <f t="shared" si="22"/>
        <v>1.0387530235918701</v>
      </c>
      <c r="I206" s="130">
        <v>1.737415954632165</v>
      </c>
      <c r="J206" s="130"/>
      <c r="K206" s="130"/>
      <c r="L206" s="192">
        <v>-17638</v>
      </c>
      <c r="M206" s="193"/>
      <c r="N206" s="188">
        <v>82976</v>
      </c>
      <c r="O206" s="188">
        <v>254664</v>
      </c>
      <c r="P206" s="188">
        <v>89354</v>
      </c>
      <c r="Q206" s="188">
        <f t="shared" si="23"/>
        <v>-9869</v>
      </c>
      <c r="R206" s="188"/>
      <c r="S206" s="52"/>
      <c r="T206" s="52">
        <v>264533</v>
      </c>
    </row>
    <row r="207" spans="1:20" ht="17">
      <c r="A207" s="132" t="s">
        <v>83</v>
      </c>
      <c r="B207" s="132" t="s">
        <v>198</v>
      </c>
      <c r="C207" s="132" t="s">
        <v>205</v>
      </c>
      <c r="D207" s="132">
        <v>0</v>
      </c>
      <c r="E207" s="132">
        <v>5</v>
      </c>
      <c r="F207" s="130">
        <f t="shared" si="20"/>
        <v>0.19335662161041545</v>
      </c>
      <c r="G207" s="130">
        <f t="shared" si="21"/>
        <v>12.445640575258526</v>
      </c>
      <c r="H207" s="130">
        <f t="shared" si="22"/>
        <v>0.77350279373573616</v>
      </c>
      <c r="I207" s="130">
        <f t="shared" si="24"/>
        <v>0.28560767590618336</v>
      </c>
      <c r="J207" s="130"/>
      <c r="K207" s="130"/>
      <c r="L207" s="166">
        <v>37307</v>
      </c>
      <c r="M207" s="167">
        <v>188</v>
      </c>
      <c r="N207" s="168">
        <v>0</v>
      </c>
      <c r="O207" s="168">
        <v>254140</v>
      </c>
      <c r="P207" s="168">
        <v>192944</v>
      </c>
      <c r="Q207" s="168">
        <v>57562</v>
      </c>
      <c r="R207" s="168">
        <v>96722</v>
      </c>
      <c r="S207" s="168">
        <v>99856</v>
      </c>
      <c r="T207" s="156">
        <f t="shared" ref="T207:T219" si="25">R207+S207</f>
        <v>196578</v>
      </c>
    </row>
    <row r="208" spans="1:20" ht="17">
      <c r="A208" s="132" t="s">
        <v>83</v>
      </c>
      <c r="B208" s="132" t="s">
        <v>198</v>
      </c>
      <c r="C208" s="132" t="s">
        <v>203</v>
      </c>
      <c r="D208" s="132">
        <v>0</v>
      </c>
      <c r="E208" s="132">
        <v>8</v>
      </c>
      <c r="F208" s="130">
        <f t="shared" si="20"/>
        <v>-8.7693230277185508E-2</v>
      </c>
      <c r="G208" s="130">
        <f t="shared" si="21"/>
        <v>12.444593359928596</v>
      </c>
      <c r="H208" s="130">
        <f t="shared" si="22"/>
        <v>0.83107368222031397</v>
      </c>
      <c r="I208" s="130">
        <f t="shared" si="24"/>
        <v>0.41239800863926818</v>
      </c>
      <c r="J208" s="130"/>
      <c r="K208" s="130"/>
      <c r="L208" s="166">
        <v>-13161</v>
      </c>
      <c r="M208" s="167">
        <v>233</v>
      </c>
      <c r="N208" s="168">
        <v>0</v>
      </c>
      <c r="O208" s="168">
        <v>253874</v>
      </c>
      <c r="P208" s="168">
        <v>150080</v>
      </c>
      <c r="Q208" s="168">
        <v>42886</v>
      </c>
      <c r="R208" s="168">
        <v>95883</v>
      </c>
      <c r="S208" s="168">
        <v>115105</v>
      </c>
      <c r="T208" s="156">
        <f t="shared" si="25"/>
        <v>210988</v>
      </c>
    </row>
    <row r="209" spans="1:20" ht="17">
      <c r="A209" s="132" t="s">
        <v>83</v>
      </c>
      <c r="B209" s="132" t="s">
        <v>198</v>
      </c>
      <c r="C209" s="132" t="s">
        <v>202</v>
      </c>
      <c r="D209" s="132">
        <v>0</v>
      </c>
      <c r="E209" s="132">
        <v>4</v>
      </c>
      <c r="F209" s="130">
        <f t="shared" si="20"/>
        <v>-0.14940852069001215</v>
      </c>
      <c r="G209" s="130">
        <f t="shared" si="21"/>
        <v>12.573129510342019</v>
      </c>
      <c r="H209" s="130">
        <f t="shared" si="22"/>
        <v>0.90662842574888469</v>
      </c>
      <c r="I209" s="130">
        <f t="shared" si="24"/>
        <v>-0.28421499349953855</v>
      </c>
      <c r="J209" s="130"/>
      <c r="K209" s="130"/>
      <c r="L209" s="166">
        <v>-15876</v>
      </c>
      <c r="M209" s="167">
        <v>245</v>
      </c>
      <c r="N209" s="168">
        <v>36535</v>
      </c>
      <c r="O209" s="168">
        <v>288696</v>
      </c>
      <c r="P209" s="168">
        <v>106259</v>
      </c>
      <c r="Q209" s="168">
        <v>26956</v>
      </c>
      <c r="R209" s="168">
        <v>99204</v>
      </c>
      <c r="S209" s="168">
        <v>162536</v>
      </c>
      <c r="T209" s="156">
        <f t="shared" si="25"/>
        <v>261740</v>
      </c>
    </row>
    <row r="210" spans="1:20" ht="17">
      <c r="A210" s="132" t="s">
        <v>83</v>
      </c>
      <c r="B210" s="132" t="s">
        <v>198</v>
      </c>
      <c r="C210" s="132" t="s">
        <v>201</v>
      </c>
      <c r="D210" s="132">
        <v>0</v>
      </c>
      <c r="E210" s="132">
        <v>6</v>
      </c>
      <c r="F210" s="130">
        <f t="shared" si="20"/>
        <v>-0.17278428572390889</v>
      </c>
      <c r="G210" s="130">
        <f t="shared" si="21"/>
        <v>12.720834512117683</v>
      </c>
      <c r="H210" s="130">
        <f t="shared" si="22"/>
        <v>0.7762305467237216</v>
      </c>
      <c r="I210" s="130">
        <f t="shared" si="24"/>
        <v>0.30852629816040689</v>
      </c>
      <c r="J210" s="130"/>
      <c r="K210" s="130"/>
      <c r="L210" s="166">
        <v>-25650</v>
      </c>
      <c r="M210" s="167">
        <v>183</v>
      </c>
      <c r="N210" s="168">
        <v>25675</v>
      </c>
      <c r="O210" s="168">
        <v>334648</v>
      </c>
      <c r="P210" s="168">
        <v>148451</v>
      </c>
      <c r="Q210" s="168">
        <v>74884</v>
      </c>
      <c r="R210" s="168">
        <v>84582</v>
      </c>
      <c r="S210" s="168">
        <v>175182</v>
      </c>
      <c r="T210" s="156">
        <f t="shared" si="25"/>
        <v>259764</v>
      </c>
    </row>
    <row r="211" spans="1:20" ht="17">
      <c r="A211" s="132" t="s">
        <v>83</v>
      </c>
      <c r="B211" s="132" t="s">
        <v>198</v>
      </c>
      <c r="C211" s="132" t="s">
        <v>173</v>
      </c>
      <c r="D211" s="132">
        <v>0</v>
      </c>
      <c r="E211" s="132">
        <v>5</v>
      </c>
      <c r="F211" s="130">
        <f t="shared" si="20"/>
        <v>-0.19696074888275789</v>
      </c>
      <c r="G211" s="130">
        <f t="shared" si="21"/>
        <v>12.68432032402554</v>
      </c>
      <c r="H211" s="130">
        <f t="shared" si="22"/>
        <v>0.81824211449593831</v>
      </c>
      <c r="I211" s="130">
        <v>0.18057924730157998</v>
      </c>
      <c r="J211" s="130"/>
      <c r="K211" s="130"/>
      <c r="L211" s="166">
        <v>-22345</v>
      </c>
      <c r="M211" s="167">
        <v>176</v>
      </c>
      <c r="N211" s="168">
        <v>1090</v>
      </c>
      <c r="O211" s="168">
        <v>322649</v>
      </c>
      <c r="P211" s="168">
        <v>113449</v>
      </c>
      <c r="Q211" s="168">
        <v>58644</v>
      </c>
      <c r="R211" s="168">
        <v>101049</v>
      </c>
      <c r="S211" s="168">
        <v>162956</v>
      </c>
      <c r="T211" s="156">
        <f t="shared" si="25"/>
        <v>264005</v>
      </c>
    </row>
    <row r="212" spans="1:20" ht="17">
      <c r="A212" s="132" t="s">
        <v>84</v>
      </c>
      <c r="B212" s="132" t="s">
        <v>198</v>
      </c>
      <c r="C212" s="132" t="s">
        <v>202</v>
      </c>
      <c r="D212" s="132">
        <v>0</v>
      </c>
      <c r="E212" s="132">
        <v>18</v>
      </c>
      <c r="F212" s="130">
        <f t="shared" si="20"/>
        <v>-2.7746975806451614E-2</v>
      </c>
      <c r="G212" s="130">
        <f t="shared" si="21"/>
        <v>12.606407952008809</v>
      </c>
      <c r="H212" s="130">
        <f t="shared" si="22"/>
        <v>0.60782001239676342</v>
      </c>
      <c r="I212" s="130">
        <v>9.0623419999999996E-2</v>
      </c>
      <c r="J212" s="130"/>
      <c r="K212" s="130"/>
      <c r="L212" s="155">
        <v>-1101</v>
      </c>
      <c r="M212" s="167">
        <v>154</v>
      </c>
      <c r="N212" s="156">
        <v>4535</v>
      </c>
      <c r="O212" s="156">
        <v>298465</v>
      </c>
      <c r="P212" s="156">
        <v>39680</v>
      </c>
      <c r="Q212" s="156">
        <f>O212-T212</f>
        <v>117052</v>
      </c>
      <c r="R212" s="156">
        <v>78979</v>
      </c>
      <c r="S212" s="156">
        <v>102434</v>
      </c>
      <c r="T212" s="156">
        <f t="shared" si="25"/>
        <v>181413</v>
      </c>
    </row>
    <row r="213" spans="1:20" ht="17">
      <c r="A213" s="130" t="s">
        <v>85</v>
      </c>
      <c r="B213" s="130" t="s">
        <v>172</v>
      </c>
      <c r="C213" s="130" t="s">
        <v>201</v>
      </c>
      <c r="D213" s="130">
        <v>0</v>
      </c>
      <c r="E213" s="130">
        <v>9</v>
      </c>
      <c r="F213" s="130">
        <f t="shared" si="20"/>
        <v>0.15155281993704514</v>
      </c>
      <c r="G213" s="130">
        <f t="shared" si="21"/>
        <v>12.344128786026113</v>
      </c>
      <c r="H213" s="130">
        <f t="shared" si="22"/>
        <v>1.0644010661649419</v>
      </c>
      <c r="I213" s="130">
        <f t="shared" si="24"/>
        <v>-9.5505363279443631E-2</v>
      </c>
      <c r="J213" s="130"/>
      <c r="K213" s="130"/>
      <c r="L213" s="170">
        <v>30236</v>
      </c>
      <c r="M213" s="171">
        <v>428</v>
      </c>
      <c r="N213" s="172">
        <v>39959</v>
      </c>
      <c r="O213" s="172">
        <v>229608</v>
      </c>
      <c r="P213" s="172">
        <v>199508</v>
      </c>
      <c r="Q213" s="172">
        <v>-14786</v>
      </c>
      <c r="R213" s="172">
        <v>74872</v>
      </c>
      <c r="S213" s="172">
        <v>169523</v>
      </c>
      <c r="T213" s="148">
        <f t="shared" si="25"/>
        <v>244395</v>
      </c>
    </row>
    <row r="214" spans="1:20">
      <c r="A214" s="130" t="s">
        <v>85</v>
      </c>
      <c r="B214" s="130" t="s">
        <v>172</v>
      </c>
      <c r="C214" s="130" t="s">
        <v>173</v>
      </c>
      <c r="D214" s="130">
        <v>0</v>
      </c>
      <c r="E214" s="130">
        <v>17</v>
      </c>
      <c r="F214" s="130">
        <f t="shared" si="20"/>
        <v>-0.19402105415869503</v>
      </c>
      <c r="G214" s="130">
        <f t="shared" si="21"/>
        <v>12.333863216124113</v>
      </c>
      <c r="H214" s="130">
        <f t="shared" si="22"/>
        <v>1.3075247620598163</v>
      </c>
      <c r="I214" s="130">
        <v>0.49061324099999998</v>
      </c>
      <c r="J214" s="130"/>
      <c r="K214" s="130"/>
      <c r="L214" s="154">
        <v>-42796</v>
      </c>
      <c r="M214" s="130">
        <v>999</v>
      </c>
      <c r="N214" s="148">
        <v>58339</v>
      </c>
      <c r="O214" s="148">
        <v>227263</v>
      </c>
      <c r="P214" s="148">
        <v>220574</v>
      </c>
      <c r="Q214" s="148">
        <v>-69890</v>
      </c>
      <c r="R214" s="148">
        <v>106058</v>
      </c>
      <c r="S214" s="148">
        <v>191094</v>
      </c>
      <c r="T214" s="148">
        <f t="shared" si="25"/>
        <v>297152</v>
      </c>
    </row>
    <row r="215" spans="1:20" ht="17">
      <c r="A215" s="130" t="s">
        <v>87</v>
      </c>
      <c r="B215" s="130" t="s">
        <v>172</v>
      </c>
      <c r="C215" s="130" t="s">
        <v>205</v>
      </c>
      <c r="D215" s="130">
        <v>0</v>
      </c>
      <c r="E215" s="130">
        <v>9</v>
      </c>
      <c r="F215" s="130">
        <f t="shared" si="20"/>
        <v>-5.7713977757091764E-2</v>
      </c>
      <c r="G215" s="130">
        <f t="shared" si="21"/>
        <v>10.971468797650715</v>
      </c>
      <c r="H215" s="130">
        <f t="shared" si="22"/>
        <v>0.31606805293005669</v>
      </c>
      <c r="I215" s="130">
        <f t="shared" si="24"/>
        <v>1.947954647619999E-2</v>
      </c>
      <c r="J215" s="130"/>
      <c r="K215" s="130"/>
      <c r="L215" s="170">
        <v>-1178</v>
      </c>
      <c r="M215" s="171">
        <v>167</v>
      </c>
      <c r="N215" s="172">
        <v>10200</v>
      </c>
      <c r="O215" s="172">
        <f>55521+2669</f>
        <v>58190</v>
      </c>
      <c r="P215" s="172">
        <v>20411</v>
      </c>
      <c r="Q215" s="172">
        <v>35633</v>
      </c>
      <c r="R215" s="172">
        <v>8712</v>
      </c>
      <c r="S215" s="172">
        <v>9680</v>
      </c>
      <c r="T215" s="148">
        <f t="shared" si="25"/>
        <v>18392</v>
      </c>
    </row>
    <row r="216" spans="1:20" ht="17">
      <c r="A216" s="130" t="s">
        <v>87</v>
      </c>
      <c r="B216" s="130" t="s">
        <v>172</v>
      </c>
      <c r="C216" s="130" t="s">
        <v>203</v>
      </c>
      <c r="D216" s="130">
        <v>0</v>
      </c>
      <c r="E216" s="130">
        <v>9</v>
      </c>
      <c r="F216" s="130">
        <f t="shared" si="20"/>
        <v>0.19769242295589631</v>
      </c>
      <c r="G216" s="130">
        <f t="shared" si="21"/>
        <v>11.28640120549654</v>
      </c>
      <c r="H216" s="130">
        <f t="shared" si="22"/>
        <v>0.35709268782139719</v>
      </c>
      <c r="I216" s="130">
        <f t="shared" si="24"/>
        <v>0.16320009295840113</v>
      </c>
      <c r="J216" s="130"/>
      <c r="K216" s="130"/>
      <c r="L216" s="170">
        <v>3958</v>
      </c>
      <c r="M216" s="171">
        <v>171</v>
      </c>
      <c r="N216" s="172">
        <v>9195</v>
      </c>
      <c r="O216" s="172">
        <v>79730</v>
      </c>
      <c r="P216" s="172">
        <v>20021</v>
      </c>
      <c r="Q216" s="172">
        <v>44990</v>
      </c>
      <c r="R216" s="172">
        <v>17136</v>
      </c>
      <c r="S216" s="172">
        <v>11335</v>
      </c>
      <c r="T216" s="148">
        <f t="shared" si="25"/>
        <v>28471</v>
      </c>
    </row>
    <row r="217" spans="1:20" ht="17">
      <c r="A217" s="130" t="s">
        <v>87</v>
      </c>
      <c r="B217" s="130" t="s">
        <v>172</v>
      </c>
      <c r="C217" s="130" t="s">
        <v>202</v>
      </c>
      <c r="D217" s="130">
        <v>0</v>
      </c>
      <c r="E217" s="130">
        <v>5</v>
      </c>
      <c r="F217" s="130">
        <f t="shared" si="20"/>
        <v>-0.15709969788519637</v>
      </c>
      <c r="G217" s="130">
        <f t="shared" si="21"/>
        <v>11.234771191873529</v>
      </c>
      <c r="H217" s="130">
        <f t="shared" si="22"/>
        <v>0.36202752317810827</v>
      </c>
      <c r="I217" s="130">
        <f t="shared" si="24"/>
        <v>-0.93427373469683894</v>
      </c>
      <c r="J217" s="130"/>
      <c r="K217" s="130"/>
      <c r="L217" s="170">
        <v>-2704</v>
      </c>
      <c r="M217" s="171">
        <v>178</v>
      </c>
      <c r="N217" s="172">
        <v>1327</v>
      </c>
      <c r="O217" s="172">
        <v>75718</v>
      </c>
      <c r="P217" s="172">
        <v>17212</v>
      </c>
      <c r="Q217" s="172">
        <v>41817</v>
      </c>
      <c r="R217" s="172">
        <v>13802</v>
      </c>
      <c r="S217" s="172">
        <v>13610</v>
      </c>
      <c r="T217" s="172">
        <f t="shared" si="25"/>
        <v>27412</v>
      </c>
    </row>
    <row r="218" spans="1:20" ht="17">
      <c r="A218" s="130" t="s">
        <v>87</v>
      </c>
      <c r="B218" s="130" t="s">
        <v>172</v>
      </c>
      <c r="C218" s="130" t="s">
        <v>201</v>
      </c>
      <c r="D218" s="130">
        <v>0</v>
      </c>
      <c r="E218" s="130">
        <v>5</v>
      </c>
      <c r="F218" s="130">
        <f t="shared" si="20"/>
        <v>-0.13795183943423173</v>
      </c>
      <c r="G218" s="130">
        <f t="shared" si="21"/>
        <v>13.203838289752181</v>
      </c>
      <c r="H218" s="130">
        <f t="shared" si="22"/>
        <v>0.91576442133090485</v>
      </c>
      <c r="I218" s="130">
        <f t="shared" si="24"/>
        <v>3.8490212873957041E-2</v>
      </c>
      <c r="J218" s="130"/>
      <c r="K218" s="130"/>
      <c r="L218" s="170">
        <v>-36126</v>
      </c>
      <c r="M218" s="171">
        <v>435</v>
      </c>
      <c r="N218" s="172">
        <v>124514</v>
      </c>
      <c r="O218" s="172">
        <v>542443</v>
      </c>
      <c r="P218" s="172">
        <v>261874</v>
      </c>
      <c r="Q218" s="172">
        <v>45693</v>
      </c>
      <c r="R218" s="172">
        <v>250590</v>
      </c>
      <c r="S218" s="172">
        <v>246160</v>
      </c>
      <c r="T218" s="148">
        <f t="shared" si="25"/>
        <v>496750</v>
      </c>
    </row>
    <row r="219" spans="1:20">
      <c r="A219" s="130" t="s">
        <v>87</v>
      </c>
      <c r="B219" s="130" t="s">
        <v>172</v>
      </c>
      <c r="C219" s="130" t="s">
        <v>173</v>
      </c>
      <c r="D219" s="130">
        <v>0</v>
      </c>
      <c r="E219" s="130">
        <v>8</v>
      </c>
      <c r="F219" s="130">
        <f t="shared" si="20"/>
        <v>-0.43103407252307985</v>
      </c>
      <c r="G219" s="130">
        <f t="shared" si="21"/>
        <v>13.161407151827953</v>
      </c>
      <c r="H219" s="130">
        <f t="shared" si="22"/>
        <v>1.1013890919162621</v>
      </c>
      <c r="I219" s="130">
        <v>-0.1782759705970702</v>
      </c>
      <c r="J219" s="130"/>
      <c r="K219" s="130"/>
      <c r="L219" s="154">
        <v>-108693</v>
      </c>
      <c r="M219" s="130">
        <v>467</v>
      </c>
      <c r="N219" s="148">
        <v>60426</v>
      </c>
      <c r="O219" s="148">
        <v>519908</v>
      </c>
      <c r="P219" s="148">
        <v>252168</v>
      </c>
      <c r="Q219" s="148">
        <v>-52713</v>
      </c>
      <c r="R219" s="148">
        <v>403931</v>
      </c>
      <c r="S219" s="148">
        <v>168690</v>
      </c>
      <c r="T219" s="148">
        <f t="shared" si="25"/>
        <v>572621</v>
      </c>
    </row>
    <row r="220" spans="1:20" ht="17">
      <c r="A220" s="134" t="s">
        <v>89</v>
      </c>
      <c r="B220" s="134" t="s">
        <v>200</v>
      </c>
      <c r="C220" s="134" t="s">
        <v>205</v>
      </c>
      <c r="D220" s="134">
        <v>0</v>
      </c>
      <c r="E220" s="134">
        <v>12</v>
      </c>
      <c r="F220" s="130">
        <f t="shared" si="20"/>
        <v>-2.6318835203561162</v>
      </c>
      <c r="G220" s="130">
        <f t="shared" si="21"/>
        <v>12.267280626571289</v>
      </c>
      <c r="H220" s="130">
        <f t="shared" si="22"/>
        <v>1.6672341786439913</v>
      </c>
      <c r="I220" s="130">
        <f t="shared" si="24"/>
        <v>-0.16066007628240056</v>
      </c>
      <c r="J220" s="130"/>
      <c r="K220" s="130"/>
      <c r="L220" s="176">
        <v>-141898</v>
      </c>
      <c r="M220" s="169" t="s">
        <v>197</v>
      </c>
      <c r="N220" s="175" t="s">
        <v>197</v>
      </c>
      <c r="O220" s="175">
        <v>212624</v>
      </c>
      <c r="P220" s="175">
        <v>53915</v>
      </c>
      <c r="Q220" s="175">
        <v>-141870</v>
      </c>
      <c r="R220" s="175" t="s">
        <v>197</v>
      </c>
      <c r="S220" s="175" t="s">
        <v>197</v>
      </c>
      <c r="T220" s="52">
        <v>354494</v>
      </c>
    </row>
    <row r="221" spans="1:20" ht="17">
      <c r="A221" s="134" t="s">
        <v>89</v>
      </c>
      <c r="B221" s="134" t="s">
        <v>200</v>
      </c>
      <c r="C221" s="134" t="s">
        <v>203</v>
      </c>
      <c r="D221" s="134">
        <v>0</v>
      </c>
      <c r="E221" s="134">
        <v>2</v>
      </c>
      <c r="F221" s="130">
        <f t="shared" si="20"/>
        <v>-1.0366155522690121</v>
      </c>
      <c r="G221" s="130">
        <f t="shared" si="21"/>
        <v>11.947651596360352</v>
      </c>
      <c r="H221" s="130">
        <f t="shared" si="22"/>
        <v>1.447129889805379</v>
      </c>
      <c r="I221" s="130">
        <f t="shared" si="24"/>
        <v>-0.32713559943434767</v>
      </c>
      <c r="J221" s="130"/>
      <c r="K221" s="130"/>
      <c r="L221" s="176">
        <v>-66587</v>
      </c>
      <c r="M221" s="169" t="s">
        <v>197</v>
      </c>
      <c r="N221" s="175" t="s">
        <v>197</v>
      </c>
      <c r="O221" s="175">
        <v>154454</v>
      </c>
      <c r="P221" s="175">
        <v>64235</v>
      </c>
      <c r="Q221" s="175">
        <v>-69061</v>
      </c>
      <c r="R221" s="175" t="s">
        <v>197</v>
      </c>
      <c r="S221" s="175" t="s">
        <v>197</v>
      </c>
      <c r="T221" s="52">
        <v>223515</v>
      </c>
    </row>
    <row r="222" spans="1:20" ht="17">
      <c r="A222" s="134" t="s">
        <v>89</v>
      </c>
      <c r="B222" s="134" t="s">
        <v>200</v>
      </c>
      <c r="C222" s="134" t="s">
        <v>202</v>
      </c>
      <c r="D222" s="134">
        <v>1</v>
      </c>
      <c r="E222" s="134">
        <v>4</v>
      </c>
      <c r="F222" s="130">
        <f t="shared" si="20"/>
        <v>0.23306971141255958</v>
      </c>
      <c r="G222" s="130">
        <f t="shared" si="21"/>
        <v>12.122935571907316</v>
      </c>
      <c r="H222" s="130">
        <f t="shared" si="22"/>
        <v>1.2543508381102448</v>
      </c>
      <c r="I222" s="130">
        <f t="shared" si="24"/>
        <v>9.1902093103053875E-2</v>
      </c>
      <c r="J222" s="130"/>
      <c r="K222" s="130"/>
      <c r="L222" s="176">
        <v>22250</v>
      </c>
      <c r="M222" s="169" t="s">
        <v>197</v>
      </c>
      <c r="N222" s="175" t="s">
        <v>197</v>
      </c>
      <c r="O222" s="175">
        <v>184045</v>
      </c>
      <c r="P222" s="175">
        <v>95465</v>
      </c>
      <c r="Q222" s="175">
        <v>-46812</v>
      </c>
      <c r="R222" s="175" t="s">
        <v>197</v>
      </c>
      <c r="S222" s="175" t="s">
        <v>197</v>
      </c>
      <c r="T222" s="52">
        <v>230857</v>
      </c>
    </row>
    <row r="223" spans="1:20" ht="17">
      <c r="A223" s="134" t="s">
        <v>89</v>
      </c>
      <c r="B223" s="134" t="s">
        <v>200</v>
      </c>
      <c r="C223" s="134" t="s">
        <v>201</v>
      </c>
      <c r="D223" s="134">
        <v>1</v>
      </c>
      <c r="E223" s="134">
        <v>1</v>
      </c>
      <c r="F223" s="130">
        <f t="shared" si="20"/>
        <v>-0.26903808761294751</v>
      </c>
      <c r="G223" s="130">
        <f t="shared" si="21"/>
        <v>12.131645391642232</v>
      </c>
      <c r="H223" s="130">
        <f t="shared" si="22"/>
        <v>1.448380059788317</v>
      </c>
      <c r="I223" s="130">
        <f t="shared" si="24"/>
        <v>-0.47033949644994788</v>
      </c>
      <c r="J223" s="130"/>
      <c r="K223" s="130"/>
      <c r="L223" s="176">
        <v>-23522</v>
      </c>
      <c r="M223" s="169">
        <v>210</v>
      </c>
      <c r="N223" s="175">
        <v>2387</v>
      </c>
      <c r="O223" s="175">
        <v>185655</v>
      </c>
      <c r="P223" s="175">
        <v>87430</v>
      </c>
      <c r="Q223" s="175">
        <v>-83244</v>
      </c>
      <c r="R223" s="175">
        <v>133608</v>
      </c>
      <c r="S223" s="175">
        <v>135291</v>
      </c>
      <c r="T223" s="52">
        <v>268899</v>
      </c>
    </row>
    <row r="224" spans="1:20" ht="17">
      <c r="A224" s="134" t="s">
        <v>89</v>
      </c>
      <c r="B224" s="134" t="s">
        <v>200</v>
      </c>
      <c r="C224" s="134" t="s">
        <v>173</v>
      </c>
      <c r="D224" s="134">
        <v>0</v>
      </c>
      <c r="E224" s="134">
        <v>10</v>
      </c>
      <c r="F224" s="130">
        <f t="shared" si="20"/>
        <v>0.13332081324060388</v>
      </c>
      <c r="G224" s="130">
        <f t="shared" si="21"/>
        <v>12.00928495698491</v>
      </c>
      <c r="H224" s="130">
        <f t="shared" si="22"/>
        <v>1.3727758061276047</v>
      </c>
      <c r="I224" s="130">
        <v>-0.21655826976591055</v>
      </c>
      <c r="J224" s="130"/>
      <c r="K224" s="130"/>
      <c r="L224" s="176">
        <v>22007</v>
      </c>
      <c r="M224" s="169">
        <v>164</v>
      </c>
      <c r="N224" s="175">
        <v>15975</v>
      </c>
      <c r="O224" s="175">
        <v>164273</v>
      </c>
      <c r="P224" s="175">
        <v>165068</v>
      </c>
      <c r="Q224" s="175">
        <v>-61237</v>
      </c>
      <c r="R224" s="175">
        <v>54015</v>
      </c>
      <c r="S224" s="175">
        <v>171494</v>
      </c>
      <c r="T224" s="52">
        <v>225510</v>
      </c>
    </row>
    <row r="225" spans="1:20" ht="17">
      <c r="A225" s="130" t="s">
        <v>90</v>
      </c>
      <c r="B225" s="130" t="s">
        <v>172</v>
      </c>
      <c r="C225" s="130" t="s">
        <v>205</v>
      </c>
      <c r="D225" s="130">
        <v>0</v>
      </c>
      <c r="E225" s="130">
        <v>4</v>
      </c>
      <c r="F225" s="130">
        <f t="shared" si="20"/>
        <v>0.23293381869250104</v>
      </c>
      <c r="G225" s="130">
        <f t="shared" si="21"/>
        <v>13.539655601956079</v>
      </c>
      <c r="H225" s="130">
        <f t="shared" si="22"/>
        <v>0.68749003522096441</v>
      </c>
      <c r="I225" s="130">
        <f t="shared" si="24"/>
        <v>-0.13797885767594076</v>
      </c>
      <c r="J225" s="130"/>
      <c r="K225" s="130"/>
      <c r="L225" s="170">
        <v>120748</v>
      </c>
      <c r="M225" s="171">
        <v>837</v>
      </c>
      <c r="N225" s="172">
        <v>113815</v>
      </c>
      <c r="O225" s="172">
        <v>758923</v>
      </c>
      <c r="P225" s="172">
        <v>518379</v>
      </c>
      <c r="Q225" s="172">
        <v>237172</v>
      </c>
      <c r="R225" s="172">
        <v>140346</v>
      </c>
      <c r="S225" s="172">
        <v>381406</v>
      </c>
      <c r="T225" s="148">
        <f>R225+S225</f>
        <v>521752</v>
      </c>
    </row>
    <row r="226" spans="1:20" ht="17">
      <c r="A226" s="130" t="s">
        <v>90</v>
      </c>
      <c r="B226" s="130" t="s">
        <v>172</v>
      </c>
      <c r="C226" s="130" t="s">
        <v>203</v>
      </c>
      <c r="D226" s="130">
        <v>0</v>
      </c>
      <c r="E226" s="130">
        <v>2</v>
      </c>
      <c r="F226" s="130">
        <f t="shared" si="20"/>
        <v>6.2647064203554315E-2</v>
      </c>
      <c r="G226" s="130">
        <f t="shared" si="21"/>
        <v>13.641139313517199</v>
      </c>
      <c r="H226" s="130">
        <f t="shared" si="22"/>
        <v>0.66660357030185058</v>
      </c>
      <c r="I226" s="130">
        <f t="shared" si="24"/>
        <v>0.10926383321743012</v>
      </c>
      <c r="J226" s="130"/>
      <c r="K226" s="130"/>
      <c r="L226" s="170">
        <v>37673</v>
      </c>
      <c r="M226" s="171">
        <v>853</v>
      </c>
      <c r="N226" s="172">
        <v>89466</v>
      </c>
      <c r="O226" s="172">
        <v>839985</v>
      </c>
      <c r="P226" s="172">
        <v>601353</v>
      </c>
      <c r="Q226" s="172">
        <v>280049</v>
      </c>
      <c r="R226" s="172">
        <v>148748</v>
      </c>
      <c r="S226" s="172">
        <v>411189</v>
      </c>
      <c r="T226" s="148">
        <f>R226+S226</f>
        <v>559937</v>
      </c>
    </row>
    <row r="227" spans="1:20" ht="17">
      <c r="A227" s="130" t="s">
        <v>90</v>
      </c>
      <c r="B227" s="130" t="s">
        <v>172</v>
      </c>
      <c r="C227" s="130" t="s">
        <v>202</v>
      </c>
      <c r="D227" s="130">
        <v>0</v>
      </c>
      <c r="E227" s="130">
        <v>1</v>
      </c>
      <c r="F227" s="130">
        <f t="shared" si="20"/>
        <v>-8.0537667928997136E-2</v>
      </c>
      <c r="G227" s="130">
        <f t="shared" si="21"/>
        <v>13.627821019301024</v>
      </c>
      <c r="H227" s="130">
        <f t="shared" si="22"/>
        <v>0.80720424866565643</v>
      </c>
      <c r="I227" s="130">
        <f t="shared" si="24"/>
        <v>-3.9167484908315578E-2</v>
      </c>
      <c r="J227" s="130"/>
      <c r="K227" s="130"/>
      <c r="L227" s="170">
        <v>-43661</v>
      </c>
      <c r="M227" s="171">
        <v>880</v>
      </c>
      <c r="N227" s="172">
        <v>79017</v>
      </c>
      <c r="O227" s="172">
        <v>828872</v>
      </c>
      <c r="P227" s="172">
        <v>542119</v>
      </c>
      <c r="Q227" s="172">
        <v>231047</v>
      </c>
      <c r="R227" s="172">
        <v>249593</v>
      </c>
      <c r="S227" s="172">
        <v>419476</v>
      </c>
      <c r="T227" s="172">
        <f>R227+S227</f>
        <v>669069</v>
      </c>
    </row>
    <row r="228" spans="1:20" ht="17">
      <c r="A228" s="130" t="s">
        <v>90</v>
      </c>
      <c r="B228" s="130" t="s">
        <v>172</v>
      </c>
      <c r="C228" s="130" t="s">
        <v>201</v>
      </c>
      <c r="D228" s="130">
        <v>0</v>
      </c>
      <c r="E228" s="130">
        <v>3</v>
      </c>
      <c r="F228" s="130">
        <f t="shared" si="20"/>
        <v>-1.9565132626041707E-2</v>
      </c>
      <c r="G228" s="130">
        <f t="shared" si="21"/>
        <v>13.595849685079147</v>
      </c>
      <c r="H228" s="130">
        <f t="shared" si="22"/>
        <v>0.71267864238637457</v>
      </c>
      <c r="I228" s="130">
        <f t="shared" si="24"/>
        <v>-0.19205368189524813</v>
      </c>
      <c r="J228" s="130"/>
      <c r="K228" s="130"/>
      <c r="L228" s="170">
        <v>-11039</v>
      </c>
      <c r="M228" s="171">
        <v>964</v>
      </c>
      <c r="N228" s="172">
        <v>82659</v>
      </c>
      <c r="O228" s="172">
        <v>802791</v>
      </c>
      <c r="P228" s="172">
        <v>564218</v>
      </c>
      <c r="Q228" s="172">
        <v>230658</v>
      </c>
      <c r="R228" s="172">
        <v>253384</v>
      </c>
      <c r="S228" s="172">
        <v>318748</v>
      </c>
      <c r="T228" s="148">
        <f>R228+S228</f>
        <v>572132</v>
      </c>
    </row>
    <row r="229" spans="1:20">
      <c r="A229" s="130" t="s">
        <v>90</v>
      </c>
      <c r="B229" s="130" t="s">
        <v>172</v>
      </c>
      <c r="C229" s="130" t="s">
        <v>173</v>
      </c>
      <c r="D229" s="130">
        <v>0</v>
      </c>
      <c r="E229" s="130">
        <v>2</v>
      </c>
      <c r="F229" s="130">
        <f t="shared" si="20"/>
        <v>4.0997456811620765E-3</v>
      </c>
      <c r="G229" s="130">
        <f t="shared" si="21"/>
        <v>13.58697499585235</v>
      </c>
      <c r="H229" s="130">
        <f t="shared" si="22"/>
        <v>0.70216841062815294</v>
      </c>
      <c r="I229" s="130">
        <v>-6.4984047815518586E-2</v>
      </c>
      <c r="J229" s="130"/>
      <c r="K229" s="130"/>
      <c r="L229" s="154">
        <v>2863</v>
      </c>
      <c r="M229" s="130">
        <v>1005</v>
      </c>
      <c r="N229" s="148">
        <v>83903</v>
      </c>
      <c r="O229" s="148">
        <v>795698</v>
      </c>
      <c r="P229" s="148">
        <v>698336</v>
      </c>
      <c r="Q229" s="148">
        <v>236984</v>
      </c>
      <c r="R229" s="148">
        <v>174231</v>
      </c>
      <c r="S229" s="148">
        <v>384483</v>
      </c>
      <c r="T229" s="148">
        <f>R229+S229</f>
        <v>558714</v>
      </c>
    </row>
    <row r="230" spans="1:20" ht="17">
      <c r="A230" s="134" t="s">
        <v>91</v>
      </c>
      <c r="B230" s="134" t="s">
        <v>200</v>
      </c>
      <c r="C230" s="134" t="s">
        <v>201</v>
      </c>
      <c r="D230" s="134">
        <v>0</v>
      </c>
      <c r="E230" s="134">
        <v>16</v>
      </c>
      <c r="F230" s="130">
        <f t="shared" si="20"/>
        <v>-0.12100494691790339</v>
      </c>
      <c r="G230" s="130">
        <f t="shared" si="21"/>
        <v>12.733814381672477</v>
      </c>
      <c r="H230" s="130">
        <f t="shared" si="22"/>
        <v>0.93671759778184183</v>
      </c>
      <c r="I230" s="130">
        <f t="shared" si="24"/>
        <v>-0.46429847546450692</v>
      </c>
      <c r="J230" s="130"/>
      <c r="K230" s="130"/>
      <c r="L230" s="176">
        <v>-2177</v>
      </c>
      <c r="M230" s="169">
        <v>14</v>
      </c>
      <c r="N230" s="175">
        <v>3730</v>
      </c>
      <c r="O230" s="175">
        <v>339020</v>
      </c>
      <c r="P230" s="175">
        <v>17991</v>
      </c>
      <c r="Q230" s="175">
        <v>21454</v>
      </c>
      <c r="R230" s="175">
        <v>285057</v>
      </c>
      <c r="S230" s="175">
        <v>32509</v>
      </c>
      <c r="T230" s="52">
        <v>317566</v>
      </c>
    </row>
    <row r="231" spans="1:20">
      <c r="A231" s="134" t="s">
        <v>91</v>
      </c>
      <c r="B231" s="134" t="s">
        <v>200</v>
      </c>
      <c r="C231" s="134" t="s">
        <v>173</v>
      </c>
      <c r="D231" s="134">
        <v>0</v>
      </c>
      <c r="E231" s="134">
        <v>16</v>
      </c>
      <c r="F231" s="130">
        <f t="shared" si="20"/>
        <v>-8.4593854216293479E-2</v>
      </c>
      <c r="G231" s="130">
        <f t="shared" si="21"/>
        <v>10.742875641568942</v>
      </c>
      <c r="H231" s="130">
        <f t="shared" si="22"/>
        <v>0.8553964448476209</v>
      </c>
      <c r="I231" s="130">
        <v>1.25383215E-2</v>
      </c>
      <c r="J231" s="130"/>
      <c r="K231" s="130"/>
      <c r="L231" s="152">
        <v>-2841</v>
      </c>
      <c r="M231" s="196"/>
      <c r="N231" s="52"/>
      <c r="O231" s="52">
        <v>46299</v>
      </c>
      <c r="P231" s="52">
        <v>33584</v>
      </c>
      <c r="Q231" s="52">
        <v>6695</v>
      </c>
      <c r="R231" s="52"/>
      <c r="S231" s="52"/>
      <c r="T231" s="52">
        <v>39604</v>
      </c>
    </row>
    <row r="232" spans="1:20">
      <c r="A232" s="131" t="s">
        <v>93</v>
      </c>
      <c r="B232" s="131" t="s">
        <v>193</v>
      </c>
      <c r="C232" s="131" t="s">
        <v>202</v>
      </c>
      <c r="D232" s="131">
        <v>0</v>
      </c>
      <c r="E232" s="131">
        <v>19</v>
      </c>
      <c r="F232" s="130">
        <f t="shared" si="20"/>
        <v>0.28605002518045997</v>
      </c>
      <c r="G232" s="130">
        <f t="shared" si="21"/>
        <v>11.605978554006001</v>
      </c>
      <c r="H232" s="130">
        <f t="shared" si="22"/>
        <v>1.4241289452584007</v>
      </c>
      <c r="I232" s="130">
        <f t="shared" si="24"/>
        <v>0.74130371236480563</v>
      </c>
      <c r="J232" s="130"/>
      <c r="K232" s="130"/>
      <c r="L232" s="145">
        <v>17040</v>
      </c>
      <c r="M232" s="131">
        <v>134</v>
      </c>
      <c r="N232" s="139">
        <v>67488</v>
      </c>
      <c r="O232" s="139">
        <v>109752</v>
      </c>
      <c r="P232" s="139">
        <v>59570</v>
      </c>
      <c r="Q232" s="139">
        <f>O232-T232</f>
        <v>-46549</v>
      </c>
      <c r="R232" s="139">
        <v>88766</v>
      </c>
      <c r="S232" s="139">
        <v>67535</v>
      </c>
      <c r="T232" s="139">
        <f t="shared" ref="T232:T243" si="26">R232+S232</f>
        <v>156301</v>
      </c>
    </row>
    <row r="233" spans="1:20">
      <c r="A233" s="131" t="s">
        <v>93</v>
      </c>
      <c r="B233" s="131" t="s">
        <v>193</v>
      </c>
      <c r="C233" s="131" t="s">
        <v>173</v>
      </c>
      <c r="D233" s="131">
        <v>0</v>
      </c>
      <c r="E233" s="131">
        <v>16</v>
      </c>
      <c r="F233" s="130">
        <f t="shared" si="20"/>
        <v>-2.6892721426483485E-2</v>
      </c>
      <c r="G233" s="130">
        <f t="shared" si="21"/>
        <v>5.1873858058407549</v>
      </c>
      <c r="H233" s="130">
        <f t="shared" si="22"/>
        <v>8.3854748603351954</v>
      </c>
      <c r="I233" s="130">
        <v>0.15234132</v>
      </c>
      <c r="J233" s="130"/>
      <c r="K233" s="130"/>
      <c r="L233" s="145">
        <v>-920</v>
      </c>
      <c r="M233" s="131">
        <v>173</v>
      </c>
      <c r="N233" s="139">
        <v>674</v>
      </c>
      <c r="O233" s="139">
        <v>179</v>
      </c>
      <c r="P233" s="139">
        <v>34210</v>
      </c>
      <c r="Q233" s="139">
        <f>O233-T233</f>
        <v>-1322</v>
      </c>
      <c r="R233" s="139">
        <v>645</v>
      </c>
      <c r="S233" s="139">
        <v>856</v>
      </c>
      <c r="T233" s="139">
        <f t="shared" si="26"/>
        <v>1501</v>
      </c>
    </row>
    <row r="234" spans="1:20" ht="17">
      <c r="A234" s="130" t="s">
        <v>94</v>
      </c>
      <c r="B234" s="130" t="s">
        <v>172</v>
      </c>
      <c r="C234" s="130" t="s">
        <v>205</v>
      </c>
      <c r="D234" s="130">
        <v>1</v>
      </c>
      <c r="E234" s="130">
        <v>1</v>
      </c>
      <c r="F234" s="130">
        <f t="shared" si="20"/>
        <v>2.0856159162066044E-2</v>
      </c>
      <c r="G234" s="130">
        <f t="shared" si="21"/>
        <v>14.123001140047874</v>
      </c>
      <c r="H234" s="130">
        <f t="shared" si="22"/>
        <v>0.38123525743966213</v>
      </c>
      <c r="I234" s="130">
        <f t="shared" si="24"/>
        <v>-5.4644369136088007E-2</v>
      </c>
      <c r="J234" s="130"/>
      <c r="K234" s="130"/>
      <c r="L234" s="170">
        <v>11764</v>
      </c>
      <c r="M234" s="171">
        <v>449</v>
      </c>
      <c r="N234" s="172">
        <v>14797</v>
      </c>
      <c r="O234" s="172">
        <v>1360008</v>
      </c>
      <c r="P234" s="172">
        <v>564054</v>
      </c>
      <c r="Q234" s="172">
        <v>841525</v>
      </c>
      <c r="R234" s="172">
        <v>125666</v>
      </c>
      <c r="S234" s="172">
        <v>392817</v>
      </c>
      <c r="T234" s="148">
        <f t="shared" si="26"/>
        <v>518483</v>
      </c>
    </row>
    <row r="235" spans="1:20" ht="17">
      <c r="A235" s="130" t="s">
        <v>94</v>
      </c>
      <c r="B235" s="130" t="s">
        <v>172</v>
      </c>
      <c r="C235" s="130" t="s">
        <v>203</v>
      </c>
      <c r="D235" s="130">
        <v>1</v>
      </c>
      <c r="E235" s="130">
        <v>1</v>
      </c>
      <c r="F235" s="130">
        <f t="shared" si="20"/>
        <v>1.8833234449215464E-2</v>
      </c>
      <c r="G235" s="130">
        <f t="shared" si="21"/>
        <v>14.091654825191942</v>
      </c>
      <c r="H235" s="130">
        <f t="shared" si="22"/>
        <v>0.35990843966562419</v>
      </c>
      <c r="I235" s="130">
        <f t="shared" si="24"/>
        <v>0.13828232609782248</v>
      </c>
      <c r="J235" s="130"/>
      <c r="K235" s="130"/>
      <c r="L235" s="170">
        <v>11237</v>
      </c>
      <c r="M235" s="171">
        <v>463</v>
      </c>
      <c r="N235" s="172">
        <v>10966</v>
      </c>
      <c r="O235" s="172">
        <v>1318038</v>
      </c>
      <c r="P235" s="172">
        <v>596658</v>
      </c>
      <c r="Q235" s="172">
        <v>843665</v>
      </c>
      <c r="R235" s="172">
        <v>96437</v>
      </c>
      <c r="S235" s="172">
        <v>377936</v>
      </c>
      <c r="T235" s="148">
        <f t="shared" si="26"/>
        <v>474373</v>
      </c>
    </row>
    <row r="236" spans="1:20" ht="17">
      <c r="A236" s="130" t="s">
        <v>94</v>
      </c>
      <c r="B236" s="130" t="s">
        <v>172</v>
      </c>
      <c r="C236" s="130" t="s">
        <v>202</v>
      </c>
      <c r="D236" s="130">
        <v>0</v>
      </c>
      <c r="E236" s="130">
        <v>2</v>
      </c>
      <c r="F236" s="130">
        <f t="shared" si="20"/>
        <v>-0.26342970082453537</v>
      </c>
      <c r="G236" s="130">
        <f t="shared" si="21"/>
        <v>14.001924562591755</v>
      </c>
      <c r="H236" s="130">
        <f t="shared" si="22"/>
        <v>0.4405492144298257</v>
      </c>
      <c r="I236" s="130">
        <f t="shared" si="24"/>
        <v>-0.21146486466970743</v>
      </c>
      <c r="J236" s="130"/>
      <c r="K236" s="130"/>
      <c r="L236" s="170">
        <v>-138083</v>
      </c>
      <c r="M236" s="171">
        <v>477</v>
      </c>
      <c r="N236" s="172">
        <v>33643</v>
      </c>
      <c r="O236" s="172">
        <v>1204921</v>
      </c>
      <c r="P236" s="172">
        <v>524174</v>
      </c>
      <c r="Q236" s="172">
        <v>691114</v>
      </c>
      <c r="R236" s="172">
        <v>94331</v>
      </c>
      <c r="S236" s="172">
        <v>436496</v>
      </c>
      <c r="T236" s="172">
        <f t="shared" si="26"/>
        <v>530827</v>
      </c>
    </row>
    <row r="237" spans="1:20" ht="17">
      <c r="A237" s="130" t="s">
        <v>94</v>
      </c>
      <c r="B237" s="130" t="s">
        <v>172</v>
      </c>
      <c r="C237" s="130" t="s">
        <v>201</v>
      </c>
      <c r="D237" s="130">
        <v>0</v>
      </c>
      <c r="E237" s="130">
        <v>1</v>
      </c>
      <c r="F237" s="130">
        <f t="shared" si="20"/>
        <v>4.1534786323757719E-3</v>
      </c>
      <c r="G237" s="130">
        <f t="shared" si="21"/>
        <v>14.133332817019014</v>
      </c>
      <c r="H237" s="130">
        <f t="shared" si="22"/>
        <v>0.44285192397819134</v>
      </c>
      <c r="I237" s="130">
        <f t="shared" si="24"/>
        <v>-6.9822372600546842E-2</v>
      </c>
      <c r="J237" s="130"/>
      <c r="K237" s="130"/>
      <c r="L237" s="170">
        <v>2761</v>
      </c>
      <c r="M237" s="171">
        <v>509</v>
      </c>
      <c r="N237" s="172">
        <v>34502</v>
      </c>
      <c r="O237" s="172">
        <v>1374132</v>
      </c>
      <c r="P237" s="172">
        <v>664744</v>
      </c>
      <c r="Q237" s="172">
        <v>765595</v>
      </c>
      <c r="R237" s="172">
        <v>150098</v>
      </c>
      <c r="S237" s="172">
        <v>458439</v>
      </c>
      <c r="T237" s="148">
        <f t="shared" si="26"/>
        <v>608537</v>
      </c>
    </row>
    <row r="238" spans="1:20">
      <c r="A238" s="130" t="s">
        <v>94</v>
      </c>
      <c r="B238" s="130" t="s">
        <v>172</v>
      </c>
      <c r="C238" s="130" t="s">
        <v>173</v>
      </c>
      <c r="D238" s="130">
        <v>0</v>
      </c>
      <c r="E238" s="130">
        <v>1</v>
      </c>
      <c r="F238" s="130">
        <f t="shared" si="20"/>
        <v>6.8067647857248809E-2</v>
      </c>
      <c r="G238" s="130">
        <f t="shared" si="21"/>
        <v>14.221589477651561</v>
      </c>
      <c r="H238" s="130">
        <f t="shared" si="22"/>
        <v>0.45783155808999942</v>
      </c>
      <c r="I238" s="130">
        <v>-4.9412320077129951E-2</v>
      </c>
      <c r="J238" s="130"/>
      <c r="K238" s="130"/>
      <c r="L238" s="154">
        <v>48644</v>
      </c>
      <c r="M238" s="130">
        <v>549</v>
      </c>
      <c r="N238" s="148">
        <v>57831</v>
      </c>
      <c r="O238" s="148">
        <v>1500921</v>
      </c>
      <c r="P238" s="148">
        <v>714642</v>
      </c>
      <c r="Q238" s="148">
        <v>813751</v>
      </c>
      <c r="R238" s="148">
        <v>152122</v>
      </c>
      <c r="S238" s="148">
        <v>535047</v>
      </c>
      <c r="T238" s="148">
        <f t="shared" si="26"/>
        <v>687169</v>
      </c>
    </row>
    <row r="239" spans="1:20" ht="17">
      <c r="A239" s="130" t="s">
        <v>95</v>
      </c>
      <c r="B239" s="130" t="s">
        <v>172</v>
      </c>
      <c r="C239" s="130" t="s">
        <v>205</v>
      </c>
      <c r="D239" s="130">
        <v>0</v>
      </c>
      <c r="E239" s="130">
        <v>2</v>
      </c>
      <c r="F239" s="130">
        <f t="shared" si="20"/>
        <v>-6.3804339976891972E-2</v>
      </c>
      <c r="G239" s="130">
        <f t="shared" si="21"/>
        <v>14.370646038580784</v>
      </c>
      <c r="H239" s="130">
        <f t="shared" si="22"/>
        <v>0.72369053201827371</v>
      </c>
      <c r="I239" s="130">
        <f t="shared" si="24"/>
        <v>-4.9302392104980872E-2</v>
      </c>
      <c r="J239" s="130"/>
      <c r="K239" s="130"/>
      <c r="L239" s="170">
        <v>-42411</v>
      </c>
      <c r="M239" s="171">
        <v>922</v>
      </c>
      <c r="N239" s="172">
        <v>4227</v>
      </c>
      <c r="O239" s="172">
        <v>1742177</v>
      </c>
      <c r="P239" s="172">
        <v>664704</v>
      </c>
      <c r="Q239" s="172">
        <v>481380</v>
      </c>
      <c r="R239" s="172">
        <v>740699</v>
      </c>
      <c r="S239" s="172">
        <v>520098</v>
      </c>
      <c r="T239" s="148">
        <f t="shared" si="26"/>
        <v>1260797</v>
      </c>
    </row>
    <row r="240" spans="1:20" ht="17">
      <c r="A240" s="130" t="s">
        <v>95</v>
      </c>
      <c r="B240" s="130" t="s">
        <v>172</v>
      </c>
      <c r="C240" s="130" t="s">
        <v>203</v>
      </c>
      <c r="D240" s="130">
        <v>0</v>
      </c>
      <c r="E240" s="130">
        <v>6</v>
      </c>
      <c r="F240" s="130">
        <f t="shared" si="20"/>
        <v>3.01069117173812E-2</v>
      </c>
      <c r="G240" s="130">
        <f t="shared" si="21"/>
        <v>14.327416997438482</v>
      </c>
      <c r="H240" s="130">
        <f t="shared" si="22"/>
        <v>0.722555828127463</v>
      </c>
      <c r="I240" s="130">
        <f t="shared" si="24"/>
        <v>0.25346229349492194</v>
      </c>
      <c r="J240" s="130"/>
      <c r="K240" s="130"/>
      <c r="L240" s="170">
        <v>21050</v>
      </c>
      <c r="M240" s="171">
        <v>940</v>
      </c>
      <c r="N240" s="172">
        <v>0</v>
      </c>
      <c r="O240" s="172">
        <v>1668469</v>
      </c>
      <c r="P240" s="172">
        <v>699175</v>
      </c>
      <c r="Q240" s="172">
        <v>462907</v>
      </c>
      <c r="R240" s="172">
        <v>727446</v>
      </c>
      <c r="S240" s="172">
        <v>478116</v>
      </c>
      <c r="T240" s="148">
        <f t="shared" si="26"/>
        <v>1205562</v>
      </c>
    </row>
    <row r="241" spans="1:20" ht="17">
      <c r="A241" s="130" t="s">
        <v>95</v>
      </c>
      <c r="B241" s="130" t="s">
        <v>172</v>
      </c>
      <c r="C241" s="130" t="s">
        <v>202</v>
      </c>
      <c r="D241" s="130">
        <v>0</v>
      </c>
      <c r="E241" s="130">
        <v>3</v>
      </c>
      <c r="F241" s="130">
        <f t="shared" si="20"/>
        <v>-4.5640423453060713E-2</v>
      </c>
      <c r="G241" s="130">
        <f t="shared" si="21"/>
        <v>14.231565396426568</v>
      </c>
      <c r="H241" s="130">
        <f t="shared" si="22"/>
        <v>0.61190763135657789</v>
      </c>
      <c r="I241" s="130">
        <f t="shared" si="24"/>
        <v>-3.2279610895886719E-2</v>
      </c>
      <c r="J241" s="130"/>
      <c r="K241" s="130"/>
      <c r="L241" s="170">
        <v>-25458</v>
      </c>
      <c r="M241" s="171">
        <v>992</v>
      </c>
      <c r="N241" s="172">
        <v>0</v>
      </c>
      <c r="O241" s="172">
        <v>1515969</v>
      </c>
      <c r="P241" s="172">
        <v>557795</v>
      </c>
      <c r="Q241" s="172">
        <v>384872</v>
      </c>
      <c r="R241" s="172">
        <v>694602</v>
      </c>
      <c r="S241" s="172">
        <v>233031</v>
      </c>
      <c r="T241" s="172">
        <f t="shared" si="26"/>
        <v>927633</v>
      </c>
    </row>
    <row r="242" spans="1:20" ht="17">
      <c r="A242" s="130" t="s">
        <v>95</v>
      </c>
      <c r="B242" s="130" t="s">
        <v>172</v>
      </c>
      <c r="C242" s="130" t="s">
        <v>201</v>
      </c>
      <c r="D242" s="130">
        <v>0</v>
      </c>
      <c r="E242" s="130">
        <v>2</v>
      </c>
      <c r="F242" s="130">
        <f t="shared" si="20"/>
        <v>-0.18662701834313264</v>
      </c>
      <c r="G242" s="130">
        <f t="shared" si="21"/>
        <v>14.200898801176566</v>
      </c>
      <c r="H242" s="130">
        <f t="shared" si="22"/>
        <v>0.78377347068566205</v>
      </c>
      <c r="I242" s="130">
        <f t="shared" si="24"/>
        <v>-0.15221058793593642</v>
      </c>
      <c r="J242" s="130"/>
      <c r="K242" s="130"/>
      <c r="L242" s="170">
        <v>-107572</v>
      </c>
      <c r="M242" s="171">
        <v>983</v>
      </c>
      <c r="N242" s="172">
        <v>0</v>
      </c>
      <c r="O242" s="172">
        <v>1470185</v>
      </c>
      <c r="P242" s="172">
        <v>576401</v>
      </c>
      <c r="Q242" s="172">
        <v>317892</v>
      </c>
      <c r="R242" s="172">
        <v>704309</v>
      </c>
      <c r="S242" s="172">
        <v>447983</v>
      </c>
      <c r="T242" s="148">
        <f t="shared" si="26"/>
        <v>1152292</v>
      </c>
    </row>
    <row r="243" spans="1:20">
      <c r="A243" s="130" t="s">
        <v>95</v>
      </c>
      <c r="B243" s="130" t="s">
        <v>172</v>
      </c>
      <c r="C243" s="130" t="s">
        <v>173</v>
      </c>
      <c r="D243" s="130">
        <v>1</v>
      </c>
      <c r="E243" s="130">
        <v>6</v>
      </c>
      <c r="F243" s="130">
        <f t="shared" si="20"/>
        <v>-0.19806232506284133</v>
      </c>
      <c r="G243" s="130">
        <f t="shared" si="21"/>
        <v>14.226383683018719</v>
      </c>
      <c r="H243" s="130">
        <f t="shared" si="22"/>
        <v>0.90143714020106969</v>
      </c>
      <c r="I243" s="130">
        <v>4.917425639529481E-3</v>
      </c>
      <c r="J243" s="130"/>
      <c r="K243" s="130"/>
      <c r="L243" s="154">
        <v>-134660</v>
      </c>
      <c r="M243" s="130">
        <v>1035</v>
      </c>
      <c r="N243" s="148">
        <v>0</v>
      </c>
      <c r="O243" s="148">
        <v>1508134</v>
      </c>
      <c r="P243" s="148">
        <v>679887</v>
      </c>
      <c r="Q243" s="148">
        <v>148647</v>
      </c>
      <c r="R243" s="148">
        <v>782609</v>
      </c>
      <c r="S243" s="148">
        <v>576879</v>
      </c>
      <c r="T243" s="148">
        <f t="shared" si="26"/>
        <v>1359488</v>
      </c>
    </row>
    <row r="244" spans="1:20">
      <c r="A244" s="134" t="s">
        <v>96</v>
      </c>
      <c r="B244" s="134" t="s">
        <v>200</v>
      </c>
      <c r="C244" s="134" t="s">
        <v>205</v>
      </c>
      <c r="D244" s="134">
        <v>0</v>
      </c>
      <c r="E244" s="134">
        <v>20</v>
      </c>
      <c r="F244" s="130">
        <f t="shared" si="20"/>
        <v>1.4996107105378964E-2</v>
      </c>
      <c r="G244" s="130">
        <f t="shared" si="21"/>
        <v>10.314835323802448</v>
      </c>
      <c r="H244" s="130">
        <f t="shared" si="22"/>
        <v>0.56884382145342482</v>
      </c>
      <c r="I244" s="130">
        <f t="shared" si="24"/>
        <v>6.6077228437387225E-2</v>
      </c>
      <c r="J244" s="130"/>
      <c r="K244" s="130"/>
      <c r="L244" s="152">
        <v>443</v>
      </c>
      <c r="M244" s="196"/>
      <c r="N244" s="153"/>
      <c r="O244" s="52">
        <v>30177</v>
      </c>
      <c r="P244" s="52">
        <v>29541</v>
      </c>
      <c r="Q244" s="52">
        <v>13011</v>
      </c>
      <c r="R244" s="52"/>
      <c r="S244" s="52"/>
      <c r="T244" s="52">
        <v>17166</v>
      </c>
    </row>
    <row r="245" spans="1:20">
      <c r="A245" s="134" t="s">
        <v>96</v>
      </c>
      <c r="B245" s="134" t="s">
        <v>200</v>
      </c>
      <c r="C245" s="134" t="s">
        <v>202</v>
      </c>
      <c r="D245" s="134">
        <v>0</v>
      </c>
      <c r="E245" s="134">
        <v>15</v>
      </c>
      <c r="F245" s="130">
        <f t="shared" si="20"/>
        <v>-0.37080476362324072</v>
      </c>
      <c r="G245" s="130">
        <f t="shared" si="21"/>
        <v>10.782263315647524</v>
      </c>
      <c r="H245" s="130">
        <f t="shared" si="22"/>
        <v>0.5451940447268423</v>
      </c>
      <c r="I245" s="130">
        <f t="shared" si="24"/>
        <v>-0.2423165263042765</v>
      </c>
      <c r="J245" s="130"/>
      <c r="K245" s="130"/>
      <c r="L245" s="152">
        <v>-10275</v>
      </c>
      <c r="M245" s="196"/>
      <c r="N245" s="153"/>
      <c r="O245" s="52">
        <v>48159</v>
      </c>
      <c r="P245" s="52">
        <v>27710</v>
      </c>
      <c r="Q245" s="52">
        <v>21903</v>
      </c>
      <c r="R245" s="52"/>
      <c r="S245" s="52"/>
      <c r="T245" s="52">
        <v>26256</v>
      </c>
    </row>
    <row r="246" spans="1:20">
      <c r="A246" s="134" t="s">
        <v>96</v>
      </c>
      <c r="B246" s="134" t="s">
        <v>200</v>
      </c>
      <c r="C246" s="134" t="s">
        <v>201</v>
      </c>
      <c r="D246" s="134">
        <v>0</v>
      </c>
      <c r="E246" s="134">
        <v>10</v>
      </c>
      <c r="F246" s="130">
        <f t="shared" si="20"/>
        <v>-0.28404243683692443</v>
      </c>
      <c r="G246" s="130">
        <f t="shared" si="21"/>
        <v>11.099937128211959</v>
      </c>
      <c r="H246" s="130">
        <f t="shared" si="22"/>
        <v>0.58213308749074311</v>
      </c>
      <c r="I246" s="130">
        <f t="shared" si="24"/>
        <v>2.7216807572395585E-2</v>
      </c>
      <c r="J246" s="130"/>
      <c r="K246" s="130"/>
      <c r="L246" s="140">
        <v>-10388</v>
      </c>
      <c r="M246" s="138"/>
      <c r="N246" s="52"/>
      <c r="O246" s="52">
        <v>66167</v>
      </c>
      <c r="P246" s="52">
        <v>36572</v>
      </c>
      <c r="Q246" s="52">
        <v>27649</v>
      </c>
      <c r="R246" s="52"/>
      <c r="S246" s="52"/>
      <c r="T246" s="52">
        <v>38518</v>
      </c>
    </row>
    <row r="247" spans="1:20">
      <c r="A247" s="134" t="s">
        <v>96</v>
      </c>
      <c r="B247" s="134" t="s">
        <v>200</v>
      </c>
      <c r="C247" s="134" t="s">
        <v>173</v>
      </c>
      <c r="D247" s="134">
        <v>0</v>
      </c>
      <c r="E247" s="134">
        <v>19</v>
      </c>
      <c r="F247" s="130">
        <f t="shared" si="20"/>
        <v>-0.35645872538830997</v>
      </c>
      <c r="G247" s="130">
        <f t="shared" si="21"/>
        <v>10.94787242191776</v>
      </c>
      <c r="H247" s="130">
        <f t="shared" si="22"/>
        <v>0.6677810427040628</v>
      </c>
      <c r="I247" s="130">
        <v>-4.9674163431497893E-2</v>
      </c>
      <c r="J247" s="130"/>
      <c r="K247" s="130"/>
      <c r="L247" s="140">
        <v>-12691</v>
      </c>
      <c r="M247" s="138"/>
      <c r="N247" s="52"/>
      <c r="O247" s="52">
        <v>56833</v>
      </c>
      <c r="P247" s="52">
        <v>35603</v>
      </c>
      <c r="Q247" s="52">
        <v>18881</v>
      </c>
      <c r="R247" s="52"/>
      <c r="S247" s="52"/>
      <c r="T247" s="52">
        <v>37952</v>
      </c>
    </row>
    <row r="248" spans="1:20">
      <c r="A248" s="134" t="s">
        <v>98</v>
      </c>
      <c r="B248" s="134" t="s">
        <v>200</v>
      </c>
      <c r="C248" s="134" t="s">
        <v>205</v>
      </c>
      <c r="D248" s="134">
        <v>0</v>
      </c>
      <c r="E248" s="134">
        <v>10</v>
      </c>
      <c r="F248" s="130">
        <f t="shared" si="20"/>
        <v>0.13266626611822341</v>
      </c>
      <c r="G248" s="130">
        <f t="shared" si="21"/>
        <v>10.685972568448268</v>
      </c>
      <c r="H248" s="130">
        <f t="shared" si="22"/>
        <v>0.53507247702226901</v>
      </c>
      <c r="I248" s="130">
        <f t="shared" si="24"/>
        <v>-0.15278593523630526</v>
      </c>
      <c r="J248" s="130"/>
      <c r="K248" s="130"/>
      <c r="L248" s="152">
        <v>5741</v>
      </c>
      <c r="M248" s="196"/>
      <c r="N248" s="153"/>
      <c r="O248" s="52">
        <v>43738</v>
      </c>
      <c r="P248" s="52">
        <v>43274</v>
      </c>
      <c r="Q248" s="52">
        <v>20335</v>
      </c>
      <c r="R248" s="52"/>
      <c r="S248" s="52"/>
      <c r="T248" s="52">
        <v>23403</v>
      </c>
    </row>
    <row r="249" spans="1:20">
      <c r="A249" s="134" t="s">
        <v>98</v>
      </c>
      <c r="B249" s="134" t="s">
        <v>200</v>
      </c>
      <c r="C249" s="134" t="s">
        <v>203</v>
      </c>
      <c r="D249" s="134">
        <v>0</v>
      </c>
      <c r="E249" s="134">
        <v>6</v>
      </c>
      <c r="F249" s="130">
        <f t="shared" si="20"/>
        <v>6.7974470417792393E-2</v>
      </c>
      <c r="G249" s="130">
        <f t="shared" si="21"/>
        <v>10.865439749778165</v>
      </c>
      <c r="H249" s="130">
        <f t="shared" si="22"/>
        <v>0.54660272088046469</v>
      </c>
      <c r="I249" s="130">
        <f t="shared" si="24"/>
        <v>0.42532648733117534</v>
      </c>
      <c r="J249" s="130"/>
      <c r="K249" s="130"/>
      <c r="L249" s="152">
        <v>3472</v>
      </c>
      <c r="M249" s="196"/>
      <c r="N249" s="153"/>
      <c r="O249" s="52">
        <v>52336</v>
      </c>
      <c r="P249" s="52">
        <v>51078</v>
      </c>
      <c r="Q249" s="52">
        <v>23729</v>
      </c>
      <c r="R249" s="52"/>
      <c r="S249" s="52"/>
      <c r="T249" s="52">
        <v>28607</v>
      </c>
    </row>
    <row r="250" spans="1:20">
      <c r="A250" s="134" t="s">
        <v>98</v>
      </c>
      <c r="B250" s="134" t="s">
        <v>200</v>
      </c>
      <c r="C250" s="134" t="s">
        <v>202</v>
      </c>
      <c r="D250" s="134">
        <v>0</v>
      </c>
      <c r="E250" s="134">
        <v>8</v>
      </c>
      <c r="F250" s="130">
        <f t="shared" si="20"/>
        <v>7.7129143877664924E-2</v>
      </c>
      <c r="G250" s="130">
        <f t="shared" si="21"/>
        <v>11.053188948080271</v>
      </c>
      <c r="H250" s="130">
        <f t="shared" si="22"/>
        <v>0.58074273497505746</v>
      </c>
      <c r="I250" s="130">
        <f t="shared" si="24"/>
        <v>-0.19711430747860376</v>
      </c>
      <c r="J250" s="130"/>
      <c r="K250" s="130"/>
      <c r="L250" s="152">
        <v>2764</v>
      </c>
      <c r="M250" s="196"/>
      <c r="N250" s="153"/>
      <c r="O250" s="52">
        <v>63145</v>
      </c>
      <c r="P250" s="52">
        <v>35836</v>
      </c>
      <c r="Q250" s="52">
        <v>26474</v>
      </c>
      <c r="R250" s="52"/>
      <c r="S250" s="52"/>
      <c r="T250" s="52">
        <v>36671</v>
      </c>
    </row>
    <row r="251" spans="1:20">
      <c r="A251" s="134" t="s">
        <v>98</v>
      </c>
      <c r="B251" s="134" t="s">
        <v>200</v>
      </c>
      <c r="C251" s="134" t="s">
        <v>201</v>
      </c>
      <c r="D251" s="134">
        <v>0</v>
      </c>
      <c r="E251" s="134">
        <v>8</v>
      </c>
      <c r="F251" s="130">
        <f t="shared" si="20"/>
        <v>-0.34018909351615362</v>
      </c>
      <c r="G251" s="130">
        <f t="shared" si="21"/>
        <v>10.98320580101775</v>
      </c>
      <c r="H251" s="130">
        <f t="shared" si="22"/>
        <v>0.80967100905277101</v>
      </c>
      <c r="I251" s="130">
        <f t="shared" si="24"/>
        <v>0.15737067288992609</v>
      </c>
      <c r="J251" s="130"/>
      <c r="K251" s="130"/>
      <c r="L251" s="152">
        <v>-15184</v>
      </c>
      <c r="M251" s="134"/>
      <c r="N251" s="197"/>
      <c r="O251" s="52">
        <v>58877</v>
      </c>
      <c r="P251" s="52">
        <v>44634</v>
      </c>
      <c r="Q251" s="52">
        <v>11206</v>
      </c>
      <c r="R251" s="52"/>
      <c r="S251" s="52"/>
      <c r="T251" s="52">
        <v>47671</v>
      </c>
    </row>
    <row r="252" spans="1:20">
      <c r="A252" s="134" t="s">
        <v>98</v>
      </c>
      <c r="B252" s="134" t="s">
        <v>200</v>
      </c>
      <c r="C252" s="134" t="s">
        <v>173</v>
      </c>
      <c r="D252" s="134">
        <v>0</v>
      </c>
      <c r="E252" s="134">
        <v>13</v>
      </c>
      <c r="F252" s="130">
        <f t="shared" si="20"/>
        <v>7.8931673797484767E-2</v>
      </c>
      <c r="G252" s="130">
        <f t="shared" si="21"/>
        <v>10.887324777062158</v>
      </c>
      <c r="H252" s="130">
        <f t="shared" si="22"/>
        <v>0.73526002916214905</v>
      </c>
      <c r="I252" s="130">
        <v>5.8199229376548096E-2</v>
      </c>
      <c r="J252" s="130"/>
      <c r="K252" s="130"/>
      <c r="L252" s="152">
        <v>3044</v>
      </c>
      <c r="M252" s="196"/>
      <c r="N252" s="52"/>
      <c r="O252" s="52">
        <v>53494</v>
      </c>
      <c r="P252" s="52">
        <v>38565</v>
      </c>
      <c r="Q252" s="52">
        <v>14162</v>
      </c>
      <c r="R252" s="52"/>
      <c r="S252" s="52"/>
      <c r="T252" s="52">
        <v>39332</v>
      </c>
    </row>
    <row r="253" spans="1:20">
      <c r="A253" s="134" t="s">
        <v>100</v>
      </c>
      <c r="B253" s="134" t="s">
        <v>200</v>
      </c>
      <c r="C253" s="134" t="s">
        <v>205</v>
      </c>
      <c r="D253" s="134">
        <v>0</v>
      </c>
      <c r="E253" s="134">
        <v>9</v>
      </c>
      <c r="F253" s="130">
        <f t="shared" si="20"/>
        <v>-2.9922073449003316E-3</v>
      </c>
      <c r="G253" s="130">
        <f t="shared" si="21"/>
        <v>10.326596095816887</v>
      </c>
      <c r="H253" s="130">
        <f t="shared" si="22"/>
        <v>0.9306019519224471</v>
      </c>
      <c r="I253" s="130">
        <f t="shared" si="24"/>
        <v>-9.0848598716142162E-2</v>
      </c>
      <c r="J253" s="130"/>
      <c r="K253" s="130"/>
      <c r="L253" s="152">
        <v>-139</v>
      </c>
      <c r="M253" s="196"/>
      <c r="N253" s="153"/>
      <c r="O253" s="52">
        <v>30534</v>
      </c>
      <c r="P253" s="52">
        <v>46454</v>
      </c>
      <c r="Q253" s="52">
        <v>2119</v>
      </c>
      <c r="R253" s="52"/>
      <c r="S253" s="52"/>
      <c r="T253" s="52">
        <v>28415</v>
      </c>
    </row>
    <row r="254" spans="1:20">
      <c r="A254" s="134" t="s">
        <v>100</v>
      </c>
      <c r="B254" s="134" t="s">
        <v>200</v>
      </c>
      <c r="C254" s="134" t="s">
        <v>204</v>
      </c>
      <c r="D254" s="134">
        <v>0</v>
      </c>
      <c r="E254" s="134">
        <v>12</v>
      </c>
      <c r="F254" s="130">
        <f t="shared" si="20"/>
        <v>1.0098637858149366E-2</v>
      </c>
      <c r="G254" s="130">
        <f t="shared" si="21"/>
        <v>11.008777495957478</v>
      </c>
      <c r="H254" s="130">
        <f t="shared" si="22"/>
        <v>0.95692195622661502</v>
      </c>
      <c r="I254" s="130">
        <f t="shared" si="24"/>
        <v>0.39161696217011194</v>
      </c>
      <c r="J254" s="130"/>
      <c r="K254" s="130"/>
      <c r="L254" s="152">
        <v>516</v>
      </c>
      <c r="M254" s="196"/>
      <c r="N254" s="153"/>
      <c r="O254" s="52">
        <v>60402</v>
      </c>
      <c r="P254" s="52">
        <v>51096</v>
      </c>
      <c r="Q254" s="52">
        <v>2602</v>
      </c>
      <c r="R254" s="52"/>
      <c r="S254" s="52"/>
      <c r="T254" s="52">
        <v>57800</v>
      </c>
    </row>
    <row r="255" spans="1:20">
      <c r="A255" s="134" t="s">
        <v>100</v>
      </c>
      <c r="B255" s="134" t="s">
        <v>200</v>
      </c>
      <c r="C255" s="134" t="s">
        <v>202</v>
      </c>
      <c r="D255" s="134">
        <v>0</v>
      </c>
      <c r="E255" s="134">
        <v>13</v>
      </c>
      <c r="F255" s="130">
        <f t="shared" si="20"/>
        <v>-3.1511289048669552E-2</v>
      </c>
      <c r="G255" s="130">
        <f t="shared" si="21"/>
        <v>11.170857601991855</v>
      </c>
      <c r="H255" s="130">
        <f t="shared" si="22"/>
        <v>0.98013515416021402</v>
      </c>
      <c r="I255" s="130">
        <f t="shared" si="24"/>
        <v>-6.6485304586596156E-2</v>
      </c>
      <c r="J255" s="130"/>
      <c r="K255" s="130"/>
      <c r="L255" s="152">
        <v>-1157</v>
      </c>
      <c r="M255" s="196"/>
      <c r="N255" s="153"/>
      <c r="O255" s="52">
        <v>71030</v>
      </c>
      <c r="P255" s="52">
        <v>36717</v>
      </c>
      <c r="Q255" s="52">
        <v>1411</v>
      </c>
      <c r="R255" s="52"/>
      <c r="S255" s="52"/>
      <c r="T255" s="52">
        <v>69619</v>
      </c>
    </row>
    <row r="256" spans="1:20">
      <c r="A256" s="134" t="s">
        <v>100</v>
      </c>
      <c r="B256" s="134" t="s">
        <v>200</v>
      </c>
      <c r="C256" s="134" t="s">
        <v>201</v>
      </c>
      <c r="D256" s="134">
        <v>0</v>
      </c>
      <c r="E256" s="134">
        <v>18</v>
      </c>
      <c r="F256" s="130">
        <f t="shared" si="20"/>
        <v>-2.6543272653310281E-2</v>
      </c>
      <c r="G256" s="130">
        <f t="shared" si="21"/>
        <v>11.402552407488859</v>
      </c>
      <c r="H256" s="130">
        <f t="shared" si="22"/>
        <v>0.22333891680625348</v>
      </c>
      <c r="I256" s="130">
        <f t="shared" si="24"/>
        <v>-0.2366868498680329</v>
      </c>
      <c r="J256" s="130"/>
      <c r="K256" s="130"/>
      <c r="L256" s="152">
        <v>-1044</v>
      </c>
      <c r="M256" s="134"/>
      <c r="N256" s="197"/>
      <c r="O256" s="52">
        <v>89550</v>
      </c>
      <c r="P256" s="52">
        <v>39332</v>
      </c>
      <c r="Q256" s="52">
        <v>69550</v>
      </c>
      <c r="R256" s="52"/>
      <c r="S256" s="52"/>
      <c r="T256" s="52">
        <v>20000</v>
      </c>
    </row>
    <row r="257" spans="1:20">
      <c r="A257" s="134" t="s">
        <v>100</v>
      </c>
      <c r="B257" s="134" t="s">
        <v>200</v>
      </c>
      <c r="C257" s="134" t="s">
        <v>173</v>
      </c>
      <c r="D257" s="134">
        <v>0</v>
      </c>
      <c r="E257" s="134">
        <v>9</v>
      </c>
      <c r="F257" s="130">
        <f t="shared" si="20"/>
        <v>2.328830926874709E-3</v>
      </c>
      <c r="G257" s="130">
        <f t="shared" si="21"/>
        <v>11.093006399891914</v>
      </c>
      <c r="H257" s="130">
        <f t="shared" si="22"/>
        <v>0.99319738243798505</v>
      </c>
      <c r="I257" s="130">
        <v>-6.0094775016481666E-4</v>
      </c>
      <c r="J257" s="130"/>
      <c r="K257" s="130"/>
      <c r="L257" s="140">
        <v>120</v>
      </c>
      <c r="M257" s="138"/>
      <c r="N257" s="52"/>
      <c r="O257" s="52">
        <v>65710</v>
      </c>
      <c r="P257" s="52">
        <v>51528</v>
      </c>
      <c r="Q257" s="52">
        <v>447</v>
      </c>
      <c r="R257" s="52"/>
      <c r="S257" s="52"/>
      <c r="T257" s="52">
        <v>65263</v>
      </c>
    </row>
    <row r="258" spans="1:20" ht="17">
      <c r="A258" s="132" t="s">
        <v>101</v>
      </c>
      <c r="B258" s="132" t="s">
        <v>198</v>
      </c>
      <c r="C258" s="132" t="s">
        <v>205</v>
      </c>
      <c r="D258" s="132">
        <v>0</v>
      </c>
      <c r="E258" s="132">
        <v>2</v>
      </c>
      <c r="F258" s="130">
        <f t="shared" ref="F258:F321" si="27">L258/P258</f>
        <v>-3.4373954973517008E-2</v>
      </c>
      <c r="G258" s="130">
        <f t="shared" ref="G258:G321" si="28">LN(O258)</f>
        <v>12.555090851319905</v>
      </c>
      <c r="H258" s="130">
        <f t="shared" ref="H258:H321" si="29">T258/O258</f>
        <v>0.58996596540109691</v>
      </c>
      <c r="I258" s="130">
        <f t="shared" si="24"/>
        <v>-0.381708919436274</v>
      </c>
      <c r="J258" s="130"/>
      <c r="K258" s="130"/>
      <c r="L258" s="166">
        <v>-6373</v>
      </c>
      <c r="M258" s="167">
        <v>105</v>
      </c>
      <c r="N258" s="168">
        <v>0</v>
      </c>
      <c r="O258" s="168">
        <v>283535</v>
      </c>
      <c r="P258" s="168">
        <v>185402</v>
      </c>
      <c r="Q258" s="168">
        <v>116259</v>
      </c>
      <c r="R258" s="168">
        <v>55567</v>
      </c>
      <c r="S258" s="168">
        <v>111709</v>
      </c>
      <c r="T258" s="156">
        <f t="shared" ref="T258:T267" si="30">R258+S258</f>
        <v>167276</v>
      </c>
    </row>
    <row r="259" spans="1:20" ht="17">
      <c r="A259" s="132" t="s">
        <v>101</v>
      </c>
      <c r="B259" s="132" t="s">
        <v>198</v>
      </c>
      <c r="C259" s="132" t="s">
        <v>203</v>
      </c>
      <c r="D259" s="132">
        <v>0</v>
      </c>
      <c r="E259" s="132">
        <v>2</v>
      </c>
      <c r="F259" s="130">
        <f t="shared" si="27"/>
        <v>9.7258072046474714E-2</v>
      </c>
      <c r="G259" s="130">
        <f t="shared" si="28"/>
        <v>12.73655971015542</v>
      </c>
      <c r="H259" s="130">
        <f t="shared" si="29"/>
        <v>0.5722249023391538</v>
      </c>
      <c r="I259" s="130">
        <f t="shared" ref="I259:I322" si="31">IF(A259=A260, (P259-P260)/P260, "")</f>
        <v>0.10266084193804607</v>
      </c>
      <c r="J259" s="130"/>
      <c r="K259" s="130"/>
      <c r="L259" s="166">
        <v>29164</v>
      </c>
      <c r="M259" s="167">
        <v>110</v>
      </c>
      <c r="N259" s="168">
        <v>0</v>
      </c>
      <c r="O259" s="168">
        <v>339952</v>
      </c>
      <c r="P259" s="168">
        <v>299862</v>
      </c>
      <c r="Q259" s="168">
        <v>145423</v>
      </c>
      <c r="R259" s="168">
        <v>95980</v>
      </c>
      <c r="S259" s="168">
        <v>98549</v>
      </c>
      <c r="T259" s="156">
        <f t="shared" si="30"/>
        <v>194529</v>
      </c>
    </row>
    <row r="260" spans="1:20" ht="17">
      <c r="A260" s="132" t="s">
        <v>101</v>
      </c>
      <c r="B260" s="132" t="s">
        <v>198</v>
      </c>
      <c r="C260" s="132" t="s">
        <v>202</v>
      </c>
      <c r="D260" s="132">
        <v>0</v>
      </c>
      <c r="E260" s="132">
        <v>7</v>
      </c>
      <c r="F260" s="130">
        <f t="shared" si="27"/>
        <v>-6.9764363251257608E-2</v>
      </c>
      <c r="G260" s="130">
        <f t="shared" si="28"/>
        <v>12.987482503210433</v>
      </c>
      <c r="H260" s="130">
        <f t="shared" si="29"/>
        <v>0.71057883774690445</v>
      </c>
      <c r="I260" s="130">
        <f t="shared" si="31"/>
        <v>0.21985726525247723</v>
      </c>
      <c r="J260" s="130"/>
      <c r="K260" s="130"/>
      <c r="L260" s="166">
        <v>-18972</v>
      </c>
      <c r="M260" s="167">
        <v>112</v>
      </c>
      <c r="N260" s="168">
        <v>0</v>
      </c>
      <c r="O260" s="168">
        <v>436910</v>
      </c>
      <c r="P260" s="168">
        <v>271944</v>
      </c>
      <c r="Q260" s="168">
        <v>126451</v>
      </c>
      <c r="R260" s="168">
        <v>106054</v>
      </c>
      <c r="S260" s="168">
        <v>204405</v>
      </c>
      <c r="T260" s="156">
        <f t="shared" si="30"/>
        <v>310459</v>
      </c>
    </row>
    <row r="261" spans="1:20" ht="17">
      <c r="A261" s="132" t="s">
        <v>101</v>
      </c>
      <c r="B261" s="132" t="s">
        <v>198</v>
      </c>
      <c r="C261" s="132" t="s">
        <v>201</v>
      </c>
      <c r="D261" s="132">
        <v>0</v>
      </c>
      <c r="E261" s="132">
        <v>5</v>
      </c>
      <c r="F261" s="130">
        <f t="shared" si="27"/>
        <v>-0.26439570988332711</v>
      </c>
      <c r="G261" s="130">
        <f t="shared" si="28"/>
        <v>12.942707863557493</v>
      </c>
      <c r="H261" s="130">
        <f t="shared" si="29"/>
        <v>0.664274652387985</v>
      </c>
      <c r="I261" s="130">
        <f t="shared" si="31"/>
        <v>0.26668939458507346</v>
      </c>
      <c r="J261" s="130"/>
      <c r="K261" s="130"/>
      <c r="L261" s="166">
        <v>-58942</v>
      </c>
      <c r="M261" s="167">
        <v>110</v>
      </c>
      <c r="N261" s="168">
        <v>0</v>
      </c>
      <c r="O261" s="168">
        <v>417779</v>
      </c>
      <c r="P261" s="168">
        <v>222931</v>
      </c>
      <c r="Q261" s="168">
        <v>140259</v>
      </c>
      <c r="R261" s="168">
        <v>82783</v>
      </c>
      <c r="S261" s="168">
        <v>194737</v>
      </c>
      <c r="T261" s="156">
        <f t="shared" si="30"/>
        <v>277520</v>
      </c>
    </row>
    <row r="262" spans="1:20" ht="17">
      <c r="A262" s="132" t="s">
        <v>101</v>
      </c>
      <c r="B262" s="132" t="s">
        <v>198</v>
      </c>
      <c r="C262" s="132" t="s">
        <v>173</v>
      </c>
      <c r="D262" s="132">
        <v>0</v>
      </c>
      <c r="E262" s="132">
        <v>3</v>
      </c>
      <c r="F262" s="130">
        <f t="shared" si="27"/>
        <v>-0.29518452228756498</v>
      </c>
      <c r="G262" s="130">
        <f t="shared" si="28"/>
        <v>12.780382797678467</v>
      </c>
      <c r="H262" s="130">
        <f t="shared" si="29"/>
        <v>0.80621148090691785</v>
      </c>
      <c r="I262" s="130">
        <v>5.1874645584830695E-2</v>
      </c>
      <c r="J262" s="130"/>
      <c r="K262" s="130"/>
      <c r="L262" s="166">
        <v>-51951</v>
      </c>
      <c r="M262" s="167">
        <v>113</v>
      </c>
      <c r="N262" s="168">
        <v>356</v>
      </c>
      <c r="O262" s="168">
        <v>355181</v>
      </c>
      <c r="P262" s="168">
        <v>175995</v>
      </c>
      <c r="Q262" s="168">
        <v>68831</v>
      </c>
      <c r="R262" s="168">
        <v>125968</v>
      </c>
      <c r="S262" s="168">
        <v>160383</v>
      </c>
      <c r="T262" s="156">
        <f t="shared" si="30"/>
        <v>286351</v>
      </c>
    </row>
    <row r="263" spans="1:20" ht="17">
      <c r="A263" s="130" t="s">
        <v>102</v>
      </c>
      <c r="B263" s="130" t="s">
        <v>172</v>
      </c>
      <c r="C263" s="130" t="s">
        <v>205</v>
      </c>
      <c r="D263" s="130">
        <v>0</v>
      </c>
      <c r="E263" s="130">
        <v>10</v>
      </c>
      <c r="F263" s="130">
        <f t="shared" si="27"/>
        <v>0.10445476145502987</v>
      </c>
      <c r="G263" s="130">
        <f t="shared" si="28"/>
        <v>12.551755901591676</v>
      </c>
      <c r="H263" s="130">
        <f t="shared" si="29"/>
        <v>1.0047453740564987</v>
      </c>
      <c r="I263" s="130">
        <f t="shared" si="31"/>
        <v>2.2656452539383188E-2</v>
      </c>
      <c r="J263" s="130"/>
      <c r="K263" s="130"/>
      <c r="L263" s="170">
        <v>21014</v>
      </c>
      <c r="M263" s="171">
        <v>271</v>
      </c>
      <c r="N263" s="172">
        <v>39386</v>
      </c>
      <c r="O263" s="172">
        <v>282591</v>
      </c>
      <c r="P263" s="172">
        <v>201178</v>
      </c>
      <c r="Q263" s="172">
        <v>-1341</v>
      </c>
      <c r="R263" s="172">
        <v>169957</v>
      </c>
      <c r="S263" s="172">
        <v>113975</v>
      </c>
      <c r="T263" s="148">
        <f t="shared" si="30"/>
        <v>283932</v>
      </c>
    </row>
    <row r="264" spans="1:20" ht="17">
      <c r="A264" s="130" t="s">
        <v>102</v>
      </c>
      <c r="B264" s="130" t="s">
        <v>172</v>
      </c>
      <c r="C264" s="130" t="s">
        <v>203</v>
      </c>
      <c r="D264" s="130">
        <v>0</v>
      </c>
      <c r="E264" s="130">
        <v>13</v>
      </c>
      <c r="F264" s="130">
        <f t="shared" si="27"/>
        <v>0.19687272838181993</v>
      </c>
      <c r="G264" s="130">
        <f t="shared" si="28"/>
        <v>12.394471531227319</v>
      </c>
      <c r="H264" s="130">
        <f t="shared" si="29"/>
        <v>0.84510256229732916</v>
      </c>
      <c r="I264" s="130">
        <f t="shared" si="31"/>
        <v>0.16235139798161236</v>
      </c>
      <c r="J264" s="130"/>
      <c r="K264" s="130"/>
      <c r="L264" s="170">
        <v>38729</v>
      </c>
      <c r="M264" s="171">
        <v>274</v>
      </c>
      <c r="N264" s="172">
        <v>2092</v>
      </c>
      <c r="O264" s="172">
        <v>241463</v>
      </c>
      <c r="P264" s="172">
        <v>196721</v>
      </c>
      <c r="Q264" s="172">
        <v>37403</v>
      </c>
      <c r="R264" s="172">
        <v>161592</v>
      </c>
      <c r="S264" s="172">
        <v>42469</v>
      </c>
      <c r="T264" s="148">
        <f t="shared" si="30"/>
        <v>204061</v>
      </c>
    </row>
    <row r="265" spans="1:20" ht="17">
      <c r="A265" s="130" t="s">
        <v>102</v>
      </c>
      <c r="B265" s="130" t="s">
        <v>172</v>
      </c>
      <c r="C265" s="130" t="s">
        <v>202</v>
      </c>
      <c r="D265" s="130">
        <v>0</v>
      </c>
      <c r="E265" s="130">
        <v>13</v>
      </c>
      <c r="F265" s="130">
        <f t="shared" si="27"/>
        <v>-0.14772754130131643</v>
      </c>
      <c r="G265" s="130">
        <f t="shared" si="28"/>
        <v>12.472551510330852</v>
      </c>
      <c r="H265" s="130">
        <f t="shared" si="29"/>
        <v>0.45955521848378994</v>
      </c>
      <c r="I265" s="130">
        <f t="shared" si="31"/>
        <v>3.4890973351759225E-2</v>
      </c>
      <c r="J265" s="130"/>
      <c r="K265" s="130"/>
      <c r="L265" s="170">
        <v>-25002</v>
      </c>
      <c r="M265" s="171">
        <v>292</v>
      </c>
      <c r="N265" s="172">
        <v>125233</v>
      </c>
      <c r="O265" s="172">
        <v>261072</v>
      </c>
      <c r="P265" s="172">
        <v>169244</v>
      </c>
      <c r="Q265" s="172">
        <v>12199</v>
      </c>
      <c r="R265" s="172">
        <v>15843</v>
      </c>
      <c r="S265" s="172">
        <v>104134</v>
      </c>
      <c r="T265" s="172">
        <f t="shared" si="30"/>
        <v>119977</v>
      </c>
    </row>
    <row r="266" spans="1:20" ht="17">
      <c r="A266" s="130" t="s">
        <v>102</v>
      </c>
      <c r="B266" s="130" t="s">
        <v>172</v>
      </c>
      <c r="C266" s="130" t="s">
        <v>201</v>
      </c>
      <c r="D266" s="130">
        <v>0</v>
      </c>
      <c r="E266" s="130">
        <v>12</v>
      </c>
      <c r="F266" s="130">
        <f t="shared" si="27"/>
        <v>-8.6964497547970504E-2</v>
      </c>
      <c r="G266" s="130">
        <f t="shared" si="28"/>
        <v>12.284259786550393</v>
      </c>
      <c r="H266" s="130">
        <f t="shared" si="29"/>
        <v>1.0064226758837538</v>
      </c>
      <c r="I266" s="130">
        <f t="shared" si="31"/>
        <v>-0.22059811747885141</v>
      </c>
      <c r="J266" s="130"/>
      <c r="K266" s="130"/>
      <c r="L266" s="170">
        <v>-14222</v>
      </c>
      <c r="M266" s="171">
        <v>291</v>
      </c>
      <c r="N266" s="172">
        <v>137287</v>
      </c>
      <c r="O266" s="172">
        <v>216265</v>
      </c>
      <c r="P266" s="172">
        <v>163538</v>
      </c>
      <c r="Q266" s="172">
        <v>-1389</v>
      </c>
      <c r="R266" s="172">
        <v>11122</v>
      </c>
      <c r="S266" s="172">
        <v>206532</v>
      </c>
      <c r="T266" s="148">
        <f t="shared" si="30"/>
        <v>217654</v>
      </c>
    </row>
    <row r="267" spans="1:20">
      <c r="A267" s="130" t="s">
        <v>102</v>
      </c>
      <c r="B267" s="130" t="s">
        <v>172</v>
      </c>
      <c r="C267" s="130" t="s">
        <v>173</v>
      </c>
      <c r="D267" s="130">
        <v>0</v>
      </c>
      <c r="E267" s="130">
        <v>11</v>
      </c>
      <c r="F267" s="130">
        <f t="shared" si="27"/>
        <v>-0.39253187179792687</v>
      </c>
      <c r="G267" s="130">
        <f t="shared" si="28"/>
        <v>12.735532567302572</v>
      </c>
      <c r="H267" s="130">
        <f t="shared" si="29"/>
        <v>0.66788868178431871</v>
      </c>
      <c r="I267" s="130">
        <v>-1.7482340152415871E-4</v>
      </c>
      <c r="J267" s="130"/>
      <c r="K267" s="130"/>
      <c r="L267" s="154">
        <v>-82363</v>
      </c>
      <c r="M267" s="130">
        <v>289</v>
      </c>
      <c r="N267" s="148">
        <v>11335</v>
      </c>
      <c r="O267" s="148">
        <v>339603</v>
      </c>
      <c r="P267" s="148">
        <v>209825</v>
      </c>
      <c r="Q267" s="148">
        <v>112786</v>
      </c>
      <c r="R267" s="148">
        <v>56670</v>
      </c>
      <c r="S267" s="148">
        <v>170147</v>
      </c>
      <c r="T267" s="148">
        <f t="shared" si="30"/>
        <v>226817</v>
      </c>
    </row>
    <row r="268" spans="1:20">
      <c r="A268" s="134" t="s">
        <v>103</v>
      </c>
      <c r="B268" s="134" t="s">
        <v>200</v>
      </c>
      <c r="C268" s="134" t="s">
        <v>203</v>
      </c>
      <c r="D268" s="134">
        <v>0</v>
      </c>
      <c r="E268" s="134">
        <v>9</v>
      </c>
      <c r="F268" s="130">
        <f t="shared" si="27"/>
        <v>9.936771634019341E-2</v>
      </c>
      <c r="G268" s="130">
        <f t="shared" si="28"/>
        <v>10.028356534581997</v>
      </c>
      <c r="H268" s="130">
        <f t="shared" si="29"/>
        <v>0.97060900264783756</v>
      </c>
      <c r="I268" s="130">
        <f t="shared" si="31"/>
        <v>0.54373205741626796</v>
      </c>
      <c r="J268" s="130"/>
      <c r="K268" s="130"/>
      <c r="L268" s="152">
        <v>3206</v>
      </c>
      <c r="M268" s="134"/>
      <c r="N268" s="153"/>
      <c r="O268" s="52">
        <v>22660</v>
      </c>
      <c r="P268" s="52">
        <v>32264</v>
      </c>
      <c r="Q268" s="52">
        <v>666</v>
      </c>
      <c r="R268" s="52"/>
      <c r="S268" s="52"/>
      <c r="T268" s="52">
        <v>21994</v>
      </c>
    </row>
    <row r="269" spans="1:20">
      <c r="A269" s="134" t="s">
        <v>103</v>
      </c>
      <c r="B269" s="134" t="s">
        <v>200</v>
      </c>
      <c r="C269" s="134" t="s">
        <v>202</v>
      </c>
      <c r="D269" s="134">
        <v>0</v>
      </c>
      <c r="E269" s="134">
        <v>18</v>
      </c>
      <c r="F269" s="130">
        <f t="shared" si="27"/>
        <v>0.40488038277511962</v>
      </c>
      <c r="G269" s="130">
        <f t="shared" si="28"/>
        <v>10.656647403002244</v>
      </c>
      <c r="H269" s="130">
        <f t="shared" si="29"/>
        <v>0.78165465932099643</v>
      </c>
      <c r="I269" s="130">
        <f t="shared" si="31"/>
        <v>-0.145473873579197</v>
      </c>
      <c r="J269" s="130"/>
      <c r="K269" s="130"/>
      <c r="L269" s="152">
        <v>8462</v>
      </c>
      <c r="M269" s="134"/>
      <c r="N269" s="153"/>
      <c r="O269" s="52">
        <v>42474</v>
      </c>
      <c r="P269" s="52">
        <v>20900</v>
      </c>
      <c r="Q269" s="52">
        <v>9274</v>
      </c>
      <c r="R269" s="52"/>
      <c r="S269" s="52"/>
      <c r="T269" s="52">
        <v>33200</v>
      </c>
    </row>
    <row r="270" spans="1:20">
      <c r="A270" s="134" t="s">
        <v>103</v>
      </c>
      <c r="B270" s="134" t="s">
        <v>200</v>
      </c>
      <c r="C270" s="134" t="s">
        <v>201</v>
      </c>
      <c r="D270" s="134">
        <v>0</v>
      </c>
      <c r="E270" s="134">
        <v>19</v>
      </c>
      <c r="F270" s="130">
        <f t="shared" si="27"/>
        <v>-0.31727860004906372</v>
      </c>
      <c r="G270" s="130">
        <f t="shared" si="28"/>
        <v>10.444415520118563</v>
      </c>
      <c r="H270" s="130">
        <f t="shared" si="29"/>
        <v>0.9603516534699581</v>
      </c>
      <c r="I270" s="130">
        <v>0.19912909191853548</v>
      </c>
      <c r="J270" s="130"/>
      <c r="K270" s="130"/>
      <c r="L270" s="152">
        <v>-7760</v>
      </c>
      <c r="M270" s="134"/>
      <c r="N270" s="197"/>
      <c r="O270" s="52">
        <v>34352</v>
      </c>
      <c r="P270" s="52">
        <v>24458</v>
      </c>
      <c r="Q270" s="52">
        <v>1362</v>
      </c>
      <c r="R270" s="52"/>
      <c r="S270" s="52"/>
      <c r="T270" s="52">
        <v>32990</v>
      </c>
    </row>
    <row r="271" spans="1:20" ht="17">
      <c r="A271" s="130" t="s">
        <v>104</v>
      </c>
      <c r="B271" s="130" t="s">
        <v>172</v>
      </c>
      <c r="C271" s="130" t="s">
        <v>202</v>
      </c>
      <c r="D271" s="130">
        <v>0</v>
      </c>
      <c r="E271" s="130">
        <v>20</v>
      </c>
      <c r="F271" s="130">
        <f t="shared" si="27"/>
        <v>1.6471850514178637E-2</v>
      </c>
      <c r="G271" s="130">
        <f t="shared" si="28"/>
        <v>11.750878807937918</v>
      </c>
      <c r="H271" s="130">
        <f t="shared" si="29"/>
        <v>1.8442596460804792</v>
      </c>
      <c r="I271" s="130">
        <f t="shared" si="31"/>
        <v>-0.15195883687252501</v>
      </c>
      <c r="J271" s="130"/>
      <c r="K271" s="130"/>
      <c r="L271" s="170">
        <v>2180</v>
      </c>
      <c r="M271" s="171">
        <v>327</v>
      </c>
      <c r="N271" s="172">
        <v>12187</v>
      </c>
      <c r="O271" s="172">
        <v>126865</v>
      </c>
      <c r="P271" s="172">
        <v>132347</v>
      </c>
      <c r="Q271" s="172">
        <v>5368</v>
      </c>
      <c r="R271" s="172">
        <v>17363</v>
      </c>
      <c r="S271" s="172">
        <v>216609</v>
      </c>
      <c r="T271" s="172">
        <f>R271+S271</f>
        <v>233972</v>
      </c>
    </row>
    <row r="272" spans="1:20">
      <c r="A272" s="130" t="s">
        <v>104</v>
      </c>
      <c r="B272" s="130" t="s">
        <v>172</v>
      </c>
      <c r="C272" s="130" t="s">
        <v>173</v>
      </c>
      <c r="D272" s="130">
        <v>0</v>
      </c>
      <c r="E272" s="130">
        <v>20</v>
      </c>
      <c r="F272" s="130">
        <f t="shared" si="27"/>
        <v>-0.13342774025707732</v>
      </c>
      <c r="G272" s="130">
        <f t="shared" si="28"/>
        <v>12.000093440385545</v>
      </c>
      <c r="H272" s="130">
        <f t="shared" si="29"/>
        <v>0.98061067764330034</v>
      </c>
      <c r="I272" s="130">
        <v>0.19504364599999999</v>
      </c>
      <c r="J272" s="130"/>
      <c r="K272" s="130"/>
      <c r="L272" s="154">
        <v>-20823</v>
      </c>
      <c r="M272" s="130">
        <v>354</v>
      </c>
      <c r="N272" s="148">
        <v>27370</v>
      </c>
      <c r="O272" s="148">
        <v>162770</v>
      </c>
      <c r="P272" s="148">
        <v>156062</v>
      </c>
      <c r="Q272" s="148">
        <v>3156</v>
      </c>
      <c r="R272" s="148">
        <v>62341</v>
      </c>
      <c r="S272" s="148">
        <v>97273</v>
      </c>
      <c r="T272" s="148">
        <f>R272+S272</f>
        <v>159614</v>
      </c>
    </row>
    <row r="273" spans="1:20" ht="17">
      <c r="A273" s="134" t="s">
        <v>105</v>
      </c>
      <c r="B273" s="134" t="s">
        <v>200</v>
      </c>
      <c r="C273" s="134" t="s">
        <v>205</v>
      </c>
      <c r="D273" s="134">
        <v>0</v>
      </c>
      <c r="E273" s="134">
        <v>8</v>
      </c>
      <c r="F273" s="130">
        <f t="shared" si="27"/>
        <v>-8.8828936850519583E-2</v>
      </c>
      <c r="G273" s="130">
        <f t="shared" si="28"/>
        <v>12.835800678220464</v>
      </c>
      <c r="H273" s="130">
        <f t="shared" si="29"/>
        <v>0.90965052474561825</v>
      </c>
      <c r="I273" s="130">
        <f t="shared" si="31"/>
        <v>-3.8016052290094679E-2</v>
      </c>
      <c r="J273" s="130"/>
      <c r="K273" s="130"/>
      <c r="L273" s="176">
        <v>-1778</v>
      </c>
      <c r="M273" s="169" t="s">
        <v>197</v>
      </c>
      <c r="N273" s="175">
        <v>0</v>
      </c>
      <c r="O273" s="175">
        <v>375420</v>
      </c>
      <c r="P273" s="175">
        <v>20016</v>
      </c>
      <c r="Q273" s="175">
        <v>33919</v>
      </c>
      <c r="R273" s="175">
        <v>129640</v>
      </c>
      <c r="S273" s="175">
        <v>211861</v>
      </c>
      <c r="T273" s="52">
        <v>341501</v>
      </c>
    </row>
    <row r="274" spans="1:20" ht="17">
      <c r="A274" s="134" t="s">
        <v>105</v>
      </c>
      <c r="B274" s="134" t="s">
        <v>200</v>
      </c>
      <c r="C274" s="134" t="s">
        <v>203</v>
      </c>
      <c r="D274" s="134">
        <v>0</v>
      </c>
      <c r="E274" s="134">
        <v>7</v>
      </c>
      <c r="F274" s="130">
        <f t="shared" si="27"/>
        <v>-7.2812034411496127E-2</v>
      </c>
      <c r="G274" s="130">
        <f t="shared" si="28"/>
        <v>12.790826939661995</v>
      </c>
      <c r="H274" s="130">
        <f t="shared" si="29"/>
        <v>0.91580897718090881</v>
      </c>
      <c r="I274" s="130">
        <f t="shared" si="31"/>
        <v>0.17946828411087806</v>
      </c>
      <c r="J274" s="130"/>
      <c r="K274" s="130"/>
      <c r="L274" s="176">
        <v>-1515</v>
      </c>
      <c r="M274" s="169">
        <v>15</v>
      </c>
      <c r="N274" s="175">
        <v>4356</v>
      </c>
      <c r="O274" s="175">
        <v>358910</v>
      </c>
      <c r="P274" s="175">
        <v>20807</v>
      </c>
      <c r="Q274" s="175">
        <v>30217</v>
      </c>
      <c r="R274" s="175">
        <v>301995</v>
      </c>
      <c r="S274" s="175">
        <v>26698</v>
      </c>
      <c r="T274" s="52">
        <v>328693</v>
      </c>
    </row>
    <row r="275" spans="1:20" ht="17">
      <c r="A275" s="134" t="s">
        <v>105</v>
      </c>
      <c r="B275" s="134" t="s">
        <v>200</v>
      </c>
      <c r="C275" s="134" t="s">
        <v>202</v>
      </c>
      <c r="D275" s="134">
        <v>0</v>
      </c>
      <c r="E275" s="134">
        <v>5</v>
      </c>
      <c r="F275" s="130">
        <f t="shared" si="27"/>
        <v>-0.12510628649169547</v>
      </c>
      <c r="G275" s="130">
        <f t="shared" si="28"/>
        <v>12.730141193411955</v>
      </c>
      <c r="H275" s="130">
        <f t="shared" si="29"/>
        <v>0.92356791611033318</v>
      </c>
      <c r="I275" s="130">
        <f t="shared" si="31"/>
        <v>-0.73933152077545949</v>
      </c>
      <c r="J275" s="130"/>
      <c r="K275" s="130"/>
      <c r="L275" s="176">
        <v>-2207</v>
      </c>
      <c r="M275" s="169" t="s">
        <v>197</v>
      </c>
      <c r="N275" s="175">
        <v>0</v>
      </c>
      <c r="O275" s="175">
        <v>337777</v>
      </c>
      <c r="P275" s="175">
        <v>17641</v>
      </c>
      <c r="Q275" s="175">
        <v>25817</v>
      </c>
      <c r="R275" s="175">
        <v>122129</v>
      </c>
      <c r="S275" s="175">
        <v>189831</v>
      </c>
      <c r="T275" s="52">
        <v>311960</v>
      </c>
    </row>
    <row r="276" spans="1:20">
      <c r="A276" s="134" t="s">
        <v>105</v>
      </c>
      <c r="B276" s="134" t="s">
        <v>200</v>
      </c>
      <c r="C276" s="134" t="s">
        <v>201</v>
      </c>
      <c r="D276" s="134">
        <v>0</v>
      </c>
      <c r="E276" s="134">
        <v>9</v>
      </c>
      <c r="F276" s="130">
        <f t="shared" si="27"/>
        <v>-0.44566759264731959</v>
      </c>
      <c r="G276" s="130">
        <f t="shared" si="28"/>
        <v>11.846916053419703</v>
      </c>
      <c r="H276" s="130">
        <f t="shared" si="29"/>
        <v>0.48280380657773198</v>
      </c>
      <c r="I276" s="130">
        <f t="shared" si="31"/>
        <v>-0.13715990514317769</v>
      </c>
      <c r="J276" s="130"/>
      <c r="K276" s="130"/>
      <c r="L276" s="152">
        <v>-30161</v>
      </c>
      <c r="M276" s="134"/>
      <c r="N276" s="197"/>
      <c r="O276" s="52">
        <v>139653</v>
      </c>
      <c r="P276" s="52">
        <v>67676</v>
      </c>
      <c r="Q276" s="52">
        <v>72228</v>
      </c>
      <c r="R276" s="52"/>
      <c r="S276" s="52"/>
      <c r="T276" s="52">
        <v>67425</v>
      </c>
    </row>
    <row r="277" spans="1:20" ht="17">
      <c r="A277" s="134" t="s">
        <v>105</v>
      </c>
      <c r="B277" s="134" t="s">
        <v>200</v>
      </c>
      <c r="C277" s="134" t="s">
        <v>173</v>
      </c>
      <c r="D277" s="134">
        <v>0</v>
      </c>
      <c r="E277" s="134">
        <v>5</v>
      </c>
      <c r="F277" s="130">
        <f t="shared" si="27"/>
        <v>-0.76042277583700946</v>
      </c>
      <c r="G277" s="130">
        <f t="shared" si="28"/>
        <v>11.121156139991051</v>
      </c>
      <c r="H277" s="130">
        <f t="shared" si="29"/>
        <v>0.79121415677803097</v>
      </c>
      <c r="I277" s="130">
        <v>-0.18375979852446345</v>
      </c>
      <c r="J277" s="130"/>
      <c r="K277" s="130"/>
      <c r="L277" s="176">
        <v>-59643</v>
      </c>
      <c r="M277" s="169" t="s">
        <v>197</v>
      </c>
      <c r="N277" s="175" t="s">
        <v>197</v>
      </c>
      <c r="O277" s="175">
        <v>67586</v>
      </c>
      <c r="P277" s="175">
        <v>78434</v>
      </c>
      <c r="Q277" s="175">
        <v>14111</v>
      </c>
      <c r="R277" s="175" t="s">
        <v>197</v>
      </c>
      <c r="S277" s="175" t="s">
        <v>197</v>
      </c>
      <c r="T277" s="52">
        <v>53475</v>
      </c>
    </row>
    <row r="278" spans="1:20" ht="17">
      <c r="A278" s="134" t="s">
        <v>106</v>
      </c>
      <c r="B278" s="134" t="s">
        <v>200</v>
      </c>
      <c r="C278" s="134" t="s">
        <v>205</v>
      </c>
      <c r="D278" s="134">
        <v>1</v>
      </c>
      <c r="E278" s="134">
        <v>4</v>
      </c>
      <c r="F278" s="130">
        <f t="shared" si="27"/>
        <v>-0.54966530737862584</v>
      </c>
      <c r="G278" s="130">
        <f t="shared" si="28"/>
        <v>12.09332379208818</v>
      </c>
      <c r="H278" s="130">
        <f t="shared" si="29"/>
        <v>0.85044354274520773</v>
      </c>
      <c r="I278" s="130">
        <f t="shared" si="31"/>
        <v>0.10336178554339605</v>
      </c>
      <c r="J278" s="130"/>
      <c r="K278" s="130"/>
      <c r="L278" s="176">
        <v>-78584</v>
      </c>
      <c r="M278" s="169" t="s">
        <v>197</v>
      </c>
      <c r="N278" s="175" t="s">
        <v>197</v>
      </c>
      <c r="O278" s="175">
        <v>178675</v>
      </c>
      <c r="P278" s="175">
        <v>142967</v>
      </c>
      <c r="Q278" s="175">
        <v>26722</v>
      </c>
      <c r="R278" s="175" t="s">
        <v>197</v>
      </c>
      <c r="S278" s="175" t="s">
        <v>197</v>
      </c>
      <c r="T278" s="52">
        <v>151953</v>
      </c>
    </row>
    <row r="279" spans="1:20" ht="17">
      <c r="A279" s="134" t="s">
        <v>106</v>
      </c>
      <c r="B279" s="134" t="s">
        <v>200</v>
      </c>
      <c r="C279" s="134" t="s">
        <v>203</v>
      </c>
      <c r="D279" s="134">
        <v>1</v>
      </c>
      <c r="E279" s="134">
        <v>5</v>
      </c>
      <c r="F279" s="130">
        <f t="shared" si="27"/>
        <v>-0.7055273434485313</v>
      </c>
      <c r="G279" s="130">
        <f t="shared" si="28"/>
        <v>12.351267628263496</v>
      </c>
      <c r="H279" s="130">
        <f t="shared" si="29"/>
        <v>0.8153105040799471</v>
      </c>
      <c r="I279" s="130">
        <f t="shared" si="31"/>
        <v>8.9937921636580806E-2</v>
      </c>
      <c r="J279" s="130"/>
      <c r="K279" s="130"/>
      <c r="L279" s="176">
        <v>-91418</v>
      </c>
      <c r="M279" s="169" t="s">
        <v>197</v>
      </c>
      <c r="N279" s="175" t="s">
        <v>197</v>
      </c>
      <c r="O279" s="175">
        <v>231253</v>
      </c>
      <c r="P279" s="175">
        <v>129574</v>
      </c>
      <c r="Q279" s="175">
        <v>42710</v>
      </c>
      <c r="R279" s="175" t="s">
        <v>197</v>
      </c>
      <c r="S279" s="175" t="s">
        <v>197</v>
      </c>
      <c r="T279" s="52">
        <v>188543</v>
      </c>
    </row>
    <row r="280" spans="1:20" ht="17">
      <c r="A280" s="134" t="s">
        <v>106</v>
      </c>
      <c r="B280" s="134" t="s">
        <v>200</v>
      </c>
      <c r="C280" s="134" t="s">
        <v>202</v>
      </c>
      <c r="D280" s="134">
        <v>1</v>
      </c>
      <c r="E280" s="134">
        <v>2</v>
      </c>
      <c r="F280" s="130">
        <f t="shared" si="27"/>
        <v>-0.82302619404115007</v>
      </c>
      <c r="G280" s="130">
        <f t="shared" si="28"/>
        <v>12.327741455112179</v>
      </c>
      <c r="H280" s="130">
        <f t="shared" si="29"/>
        <v>1.2440852503143318</v>
      </c>
      <c r="I280" s="130">
        <f t="shared" si="31"/>
        <v>-0.18383907730330909</v>
      </c>
      <c r="J280" s="130"/>
      <c r="K280" s="130"/>
      <c r="L280" s="176">
        <v>-97843</v>
      </c>
      <c r="M280" s="169" t="s">
        <v>197</v>
      </c>
      <c r="N280" s="175" t="s">
        <v>197</v>
      </c>
      <c r="O280" s="175">
        <v>225876</v>
      </c>
      <c r="P280" s="175">
        <v>118882</v>
      </c>
      <c r="Q280" s="175">
        <v>-55133</v>
      </c>
      <c r="R280" s="175" t="s">
        <v>197</v>
      </c>
      <c r="S280" s="175" t="s">
        <v>197</v>
      </c>
      <c r="T280" s="52">
        <v>281009</v>
      </c>
    </row>
    <row r="281" spans="1:20" ht="17">
      <c r="A281" s="134" t="s">
        <v>106</v>
      </c>
      <c r="B281" s="134" t="s">
        <v>200</v>
      </c>
      <c r="C281" s="134" t="s">
        <v>201</v>
      </c>
      <c r="D281" s="134">
        <v>1</v>
      </c>
      <c r="E281" s="134">
        <v>5</v>
      </c>
      <c r="F281" s="130">
        <f t="shared" si="27"/>
        <v>-0.52445420843059176</v>
      </c>
      <c r="G281" s="130">
        <f t="shared" si="28"/>
        <v>12.002376266188522</v>
      </c>
      <c r="H281" s="130">
        <f t="shared" si="29"/>
        <v>1.0267313138247662</v>
      </c>
      <c r="I281" s="130">
        <f t="shared" si="31"/>
        <v>-0.38682124530096951</v>
      </c>
      <c r="J281" s="130"/>
      <c r="K281" s="130"/>
      <c r="L281" s="176">
        <v>-76392</v>
      </c>
      <c r="M281" s="169" t="s">
        <v>197</v>
      </c>
      <c r="N281" s="175" t="s">
        <v>197</v>
      </c>
      <c r="O281" s="175">
        <v>163142</v>
      </c>
      <c r="P281" s="175">
        <v>145660</v>
      </c>
      <c r="Q281" s="175">
        <v>-4361</v>
      </c>
      <c r="R281" s="175" t="s">
        <v>197</v>
      </c>
      <c r="S281" s="175" t="s">
        <v>197</v>
      </c>
      <c r="T281" s="52">
        <v>167503</v>
      </c>
    </row>
    <row r="282" spans="1:20" ht="17">
      <c r="A282" s="134" t="s">
        <v>106</v>
      </c>
      <c r="B282" s="134" t="s">
        <v>200</v>
      </c>
      <c r="C282" s="134" t="s">
        <v>173</v>
      </c>
      <c r="D282" s="134">
        <v>1</v>
      </c>
      <c r="E282" s="134">
        <v>2</v>
      </c>
      <c r="F282" s="130">
        <f t="shared" si="27"/>
        <v>-0.13049939170444835</v>
      </c>
      <c r="G282" s="130">
        <f t="shared" si="28"/>
        <v>12.407587984180815</v>
      </c>
      <c r="H282" s="130">
        <f t="shared" si="29"/>
        <v>0.89928919154223774</v>
      </c>
      <c r="I282" s="130">
        <v>-9.4340153856075443E-2</v>
      </c>
      <c r="J282" s="130"/>
      <c r="K282" s="130"/>
      <c r="L282" s="176">
        <v>-31000</v>
      </c>
      <c r="M282" s="169" t="s">
        <v>197</v>
      </c>
      <c r="N282" s="175" t="s">
        <v>197</v>
      </c>
      <c r="O282" s="175">
        <v>244651</v>
      </c>
      <c r="P282" s="175">
        <v>237549</v>
      </c>
      <c r="Q282" s="175">
        <v>24639</v>
      </c>
      <c r="R282" s="175" t="s">
        <v>197</v>
      </c>
      <c r="S282" s="175" t="s">
        <v>197</v>
      </c>
      <c r="T282" s="52">
        <v>220012</v>
      </c>
    </row>
    <row r="283" spans="1:20" ht="17">
      <c r="A283" s="134" t="s">
        <v>107</v>
      </c>
      <c r="B283" s="134" t="s">
        <v>200</v>
      </c>
      <c r="C283" s="134" t="s">
        <v>205</v>
      </c>
      <c r="D283" s="134">
        <v>0</v>
      </c>
      <c r="E283" s="134">
        <v>3</v>
      </c>
      <c r="F283" s="130">
        <f t="shared" si="27"/>
        <v>9.9618435659724006E-3</v>
      </c>
      <c r="G283" s="130">
        <f t="shared" si="28"/>
        <v>13.299506549477837</v>
      </c>
      <c r="H283" s="130">
        <f t="shared" si="29"/>
        <v>0.68972241628008668</v>
      </c>
      <c r="I283" s="130">
        <f t="shared" si="31"/>
        <v>8.3492980185203625E-2</v>
      </c>
      <c r="J283" s="130"/>
      <c r="K283" s="130"/>
      <c r="L283" s="176">
        <v>2710</v>
      </c>
      <c r="M283" s="169">
        <v>153</v>
      </c>
      <c r="N283" s="175">
        <v>8987</v>
      </c>
      <c r="O283" s="175">
        <v>596901</v>
      </c>
      <c r="P283" s="175">
        <v>272038</v>
      </c>
      <c r="Q283" s="175">
        <v>185205</v>
      </c>
      <c r="R283" s="175">
        <v>301641</v>
      </c>
      <c r="S283" s="175">
        <v>110055</v>
      </c>
      <c r="T283" s="52">
        <v>411696</v>
      </c>
    </row>
    <row r="284" spans="1:20" ht="17">
      <c r="A284" s="134" t="s">
        <v>107</v>
      </c>
      <c r="B284" s="134" t="s">
        <v>200</v>
      </c>
      <c r="C284" s="134" t="s">
        <v>203</v>
      </c>
      <c r="D284" s="134">
        <v>0</v>
      </c>
      <c r="E284" s="134">
        <v>3</v>
      </c>
      <c r="F284" s="130">
        <f t="shared" si="27"/>
        <v>1.1618042417604302E-2</v>
      </c>
      <c r="G284" s="130">
        <f t="shared" si="28"/>
        <v>13.331787648289493</v>
      </c>
      <c r="H284" s="130">
        <f t="shared" si="29"/>
        <v>0.69484690600242671</v>
      </c>
      <c r="I284" s="130">
        <f t="shared" si="31"/>
        <v>0.1945826870557337</v>
      </c>
      <c r="J284" s="130"/>
      <c r="K284" s="130"/>
      <c r="L284" s="176">
        <v>2917</v>
      </c>
      <c r="M284" s="169">
        <v>171</v>
      </c>
      <c r="N284" s="175">
        <v>8983</v>
      </c>
      <c r="O284" s="175">
        <v>616484</v>
      </c>
      <c r="P284" s="175">
        <v>251075</v>
      </c>
      <c r="Q284" s="175">
        <v>188122</v>
      </c>
      <c r="R284" s="175">
        <v>311671</v>
      </c>
      <c r="S284" s="175">
        <v>116692</v>
      </c>
      <c r="T284" s="52">
        <v>428362</v>
      </c>
    </row>
    <row r="285" spans="1:20" ht="17">
      <c r="A285" s="134" t="s">
        <v>107</v>
      </c>
      <c r="B285" s="134" t="s">
        <v>200</v>
      </c>
      <c r="C285" s="134" t="s">
        <v>202</v>
      </c>
      <c r="D285" s="134">
        <v>0</v>
      </c>
      <c r="E285" s="134">
        <v>7</v>
      </c>
      <c r="F285" s="130">
        <f t="shared" si="27"/>
        <v>-0.18714613327750765</v>
      </c>
      <c r="G285" s="130">
        <f t="shared" si="28"/>
        <v>13.410446369477096</v>
      </c>
      <c r="H285" s="130">
        <f t="shared" si="29"/>
        <v>0.77690746010849654</v>
      </c>
      <c r="I285" s="130">
        <f t="shared" si="31"/>
        <v>0.29947261362301458</v>
      </c>
      <c r="J285" s="130"/>
      <c r="K285" s="130"/>
      <c r="L285" s="176">
        <v>-39334</v>
      </c>
      <c r="M285" s="169" t="s">
        <v>197</v>
      </c>
      <c r="N285" s="175">
        <v>16689</v>
      </c>
      <c r="O285" s="175">
        <v>666934</v>
      </c>
      <c r="P285" s="175">
        <v>210178</v>
      </c>
      <c r="Q285" s="175">
        <v>148788</v>
      </c>
      <c r="R285" s="175">
        <v>346812</v>
      </c>
      <c r="S285" s="175">
        <v>171334</v>
      </c>
      <c r="T285" s="52">
        <v>518146</v>
      </c>
    </row>
    <row r="286" spans="1:20" ht="17">
      <c r="A286" s="134" t="s">
        <v>107</v>
      </c>
      <c r="B286" s="134" t="s">
        <v>200</v>
      </c>
      <c r="C286" s="134" t="s">
        <v>201</v>
      </c>
      <c r="D286" s="134">
        <v>0</v>
      </c>
      <c r="E286" s="134">
        <v>4</v>
      </c>
      <c r="F286" s="130">
        <f t="shared" si="27"/>
        <v>-0.62145034345033112</v>
      </c>
      <c r="G286" s="130">
        <f t="shared" si="28"/>
        <v>13.400561620174347</v>
      </c>
      <c r="H286" s="130">
        <f t="shared" si="29"/>
        <v>0.92689899965776967</v>
      </c>
      <c r="I286" s="130">
        <f t="shared" si="31"/>
        <v>-0.15321508224872518</v>
      </c>
      <c r="J286" s="130"/>
      <c r="K286" s="130"/>
      <c r="L286" s="176">
        <v>-100514</v>
      </c>
      <c r="M286" s="169" t="s">
        <v>197</v>
      </c>
      <c r="N286" s="175">
        <v>9062</v>
      </c>
      <c r="O286" s="175">
        <v>660374</v>
      </c>
      <c r="P286" s="175">
        <v>161741</v>
      </c>
      <c r="Q286" s="175">
        <v>48274</v>
      </c>
      <c r="R286" s="175">
        <v>446853</v>
      </c>
      <c r="S286" s="175">
        <v>165247</v>
      </c>
      <c r="T286" s="52">
        <v>612100</v>
      </c>
    </row>
    <row r="287" spans="1:20" ht="17">
      <c r="A287" s="134" t="s">
        <v>107</v>
      </c>
      <c r="B287" s="134" t="s">
        <v>200</v>
      </c>
      <c r="C287" s="134" t="s">
        <v>173</v>
      </c>
      <c r="D287" s="134">
        <v>0</v>
      </c>
      <c r="E287" s="134">
        <v>8</v>
      </c>
      <c r="F287" s="130">
        <f t="shared" si="27"/>
        <v>-0.24097148780666575</v>
      </c>
      <c r="G287" s="130">
        <f t="shared" si="28"/>
        <v>13.21605952809143</v>
      </c>
      <c r="H287" s="130">
        <f t="shared" si="29"/>
        <v>0.99590976720638558</v>
      </c>
      <c r="I287" s="130">
        <v>0.1060832996538067</v>
      </c>
      <c r="J287" s="130"/>
      <c r="K287" s="130"/>
      <c r="L287" s="176">
        <v>-46027</v>
      </c>
      <c r="M287" s="169" t="s">
        <v>197</v>
      </c>
      <c r="N287" s="175">
        <v>30132</v>
      </c>
      <c r="O287" s="175">
        <v>549113</v>
      </c>
      <c r="P287" s="175">
        <v>191006</v>
      </c>
      <c r="Q287" s="175">
        <v>2246</v>
      </c>
      <c r="R287" s="175">
        <v>394875</v>
      </c>
      <c r="S287" s="175">
        <v>151991</v>
      </c>
      <c r="T287" s="52">
        <v>546867</v>
      </c>
    </row>
    <row r="288" spans="1:20">
      <c r="A288" s="131" t="s">
        <v>108</v>
      </c>
      <c r="B288" s="131" t="s">
        <v>193</v>
      </c>
      <c r="C288" s="131" t="s">
        <v>202</v>
      </c>
      <c r="D288" s="131">
        <v>0</v>
      </c>
      <c r="E288" s="131">
        <v>10</v>
      </c>
      <c r="F288" s="130">
        <f t="shared" si="27"/>
        <v>3.7712895377128956E-2</v>
      </c>
      <c r="G288" s="130">
        <f t="shared" si="28"/>
        <v>12.578890587306093</v>
      </c>
      <c r="H288" s="130">
        <f t="shared" si="29"/>
        <v>0.84593820170544554</v>
      </c>
      <c r="I288" s="130">
        <f t="shared" si="31"/>
        <v>-9.8401754935756813E-2</v>
      </c>
      <c r="J288" s="130"/>
      <c r="K288" s="130"/>
      <c r="L288" s="145">
        <v>2170</v>
      </c>
      <c r="M288" s="131">
        <v>185</v>
      </c>
      <c r="N288" s="139">
        <v>83467</v>
      </c>
      <c r="O288" s="139">
        <v>290364</v>
      </c>
      <c r="P288" s="139">
        <v>57540</v>
      </c>
      <c r="Q288" s="139">
        <f>O288-T288</f>
        <v>44734</v>
      </c>
      <c r="R288" s="139">
        <v>98753</v>
      </c>
      <c r="S288" s="139">
        <v>146877</v>
      </c>
      <c r="T288" s="139">
        <f>R288+S288</f>
        <v>245630</v>
      </c>
    </row>
    <row r="289" spans="1:20">
      <c r="A289" s="131" t="s">
        <v>108</v>
      </c>
      <c r="B289" s="131" t="s">
        <v>193</v>
      </c>
      <c r="C289" s="131" t="s">
        <v>201</v>
      </c>
      <c r="D289" s="131">
        <v>0</v>
      </c>
      <c r="E289" s="131">
        <v>11</v>
      </c>
      <c r="F289" s="130">
        <f t="shared" si="27"/>
        <v>-1.6452522720150423E-2</v>
      </c>
      <c r="G289" s="130">
        <f t="shared" si="28"/>
        <v>11.468733214177846</v>
      </c>
      <c r="H289" s="130">
        <f t="shared" si="29"/>
        <v>0.98468806505220685</v>
      </c>
      <c r="I289" s="130">
        <f t="shared" si="31"/>
        <v>-0.87405844777332886</v>
      </c>
      <c r="J289" s="130"/>
      <c r="K289" s="130"/>
      <c r="L289" s="145">
        <v>-1050</v>
      </c>
      <c r="M289" s="131">
        <v>354</v>
      </c>
      <c r="N289" s="145">
        <v>54761</v>
      </c>
      <c r="O289" s="139">
        <v>95677</v>
      </c>
      <c r="P289" s="139">
        <v>63820</v>
      </c>
      <c r="Q289" s="139">
        <f>O289-T289</f>
        <v>1465</v>
      </c>
      <c r="R289" s="139">
        <v>56644</v>
      </c>
      <c r="S289" s="139">
        <v>37568</v>
      </c>
      <c r="T289" s="139">
        <f>R289+S289</f>
        <v>94212</v>
      </c>
    </row>
    <row r="290" spans="1:20">
      <c r="A290" s="131" t="s">
        <v>108</v>
      </c>
      <c r="B290" s="131" t="s">
        <v>193</v>
      </c>
      <c r="C290" s="131" t="s">
        <v>173</v>
      </c>
      <c r="D290" s="131">
        <v>0</v>
      </c>
      <c r="E290" s="131">
        <v>10</v>
      </c>
      <c r="F290" s="130">
        <f t="shared" si="27"/>
        <v>2.6443384516411672E-3</v>
      </c>
      <c r="G290" s="130">
        <f t="shared" si="28"/>
        <v>7.8030266436322169</v>
      </c>
      <c r="H290" s="130">
        <f t="shared" si="29"/>
        <v>0.67075163398692805</v>
      </c>
      <c r="I290" s="130">
        <v>6.3411534000000006E-2</v>
      </c>
      <c r="J290" s="130"/>
      <c r="K290" s="130"/>
      <c r="L290" s="145">
        <v>1340</v>
      </c>
      <c r="M290" s="131">
        <v>323</v>
      </c>
      <c r="N290" s="139">
        <v>886</v>
      </c>
      <c r="O290" s="139">
        <v>2448</v>
      </c>
      <c r="P290" s="139">
        <v>506743</v>
      </c>
      <c r="Q290" s="139">
        <f>O290-T290</f>
        <v>806</v>
      </c>
      <c r="R290" s="139">
        <v>1178</v>
      </c>
      <c r="S290" s="139">
        <v>464</v>
      </c>
      <c r="T290" s="139">
        <f>R290+S290</f>
        <v>1642</v>
      </c>
    </row>
    <row r="291" spans="1:20" ht="18">
      <c r="A291" s="133" t="s">
        <v>109</v>
      </c>
      <c r="B291" s="133" t="s">
        <v>199</v>
      </c>
      <c r="C291" s="133" t="s">
        <v>205</v>
      </c>
      <c r="D291" s="133">
        <v>0</v>
      </c>
      <c r="E291" s="133">
        <v>16</v>
      </c>
      <c r="F291" s="130">
        <f t="shared" si="27"/>
        <v>-0.54648514549484517</v>
      </c>
      <c r="G291" s="130">
        <f t="shared" si="28"/>
        <v>11.36828112305642</v>
      </c>
      <c r="H291" s="130">
        <f t="shared" si="29"/>
        <v>2.2457790669455582</v>
      </c>
      <c r="I291" s="130">
        <v>-0.48913641000000002</v>
      </c>
      <c r="J291" s="130"/>
      <c r="K291" s="130"/>
      <c r="L291" s="158">
        <v>-53749</v>
      </c>
      <c r="M291" s="189"/>
      <c r="N291" s="190">
        <v>22345</v>
      </c>
      <c r="O291" s="52">
        <v>86533</v>
      </c>
      <c r="P291" s="175">
        <v>98354</v>
      </c>
      <c r="Q291" s="175">
        <f>O291-T291</f>
        <v>-107801</v>
      </c>
      <c r="R291" s="175"/>
      <c r="S291" s="52"/>
      <c r="T291" s="52">
        <v>194334</v>
      </c>
    </row>
    <row r="292" spans="1:20" ht="17">
      <c r="A292" s="134" t="s">
        <v>111</v>
      </c>
      <c r="B292" s="134" t="s">
        <v>200</v>
      </c>
      <c r="C292" s="134" t="s">
        <v>205</v>
      </c>
      <c r="D292" s="134">
        <v>1</v>
      </c>
      <c r="E292" s="134">
        <v>1</v>
      </c>
      <c r="F292" s="130">
        <f t="shared" si="27"/>
        <v>6.763322606881432E-2</v>
      </c>
      <c r="G292" s="130">
        <f t="shared" si="28"/>
        <v>13.889179147889475</v>
      </c>
      <c r="H292" s="130">
        <f t="shared" si="29"/>
        <v>0.55477356124297461</v>
      </c>
      <c r="I292" s="130">
        <f t="shared" si="31"/>
        <v>7.3325772723201205E-2</v>
      </c>
      <c r="J292" s="130"/>
      <c r="K292" s="130"/>
      <c r="L292" s="176">
        <v>47815</v>
      </c>
      <c r="M292" s="169">
        <v>632</v>
      </c>
      <c r="N292" s="175">
        <v>103885</v>
      </c>
      <c r="O292" s="175">
        <v>1076450</v>
      </c>
      <c r="P292" s="175">
        <v>706975</v>
      </c>
      <c r="Q292" s="175">
        <v>479264</v>
      </c>
      <c r="R292" s="175">
        <v>81730</v>
      </c>
      <c r="S292" s="175">
        <v>515456</v>
      </c>
      <c r="T292" s="52">
        <v>597186</v>
      </c>
    </row>
    <row r="293" spans="1:20" ht="17">
      <c r="A293" s="134" t="s">
        <v>111</v>
      </c>
      <c r="B293" s="134" t="s">
        <v>200</v>
      </c>
      <c r="C293" s="134" t="s">
        <v>203</v>
      </c>
      <c r="D293" s="134">
        <v>1</v>
      </c>
      <c r="E293" s="134">
        <v>1</v>
      </c>
      <c r="F293" s="130">
        <f t="shared" si="27"/>
        <v>4.194316789564536E-2</v>
      </c>
      <c r="G293" s="130">
        <f t="shared" si="28"/>
        <v>13.800543102362488</v>
      </c>
      <c r="H293" s="130">
        <f t="shared" si="29"/>
        <v>0.52538004596282373</v>
      </c>
      <c r="I293" s="130">
        <f t="shared" si="31"/>
        <v>0.26973389982110912</v>
      </c>
      <c r="J293" s="130"/>
      <c r="K293" s="130"/>
      <c r="L293" s="176">
        <v>27627</v>
      </c>
      <c r="M293" s="169" t="s">
        <v>197</v>
      </c>
      <c r="N293" s="175" t="s">
        <v>197</v>
      </c>
      <c r="O293" s="175">
        <v>985144</v>
      </c>
      <c r="P293" s="175">
        <v>658677</v>
      </c>
      <c r="Q293" s="175">
        <v>467569</v>
      </c>
      <c r="R293" s="175" t="s">
        <v>197</v>
      </c>
      <c r="S293" s="175" t="s">
        <v>197</v>
      </c>
      <c r="T293" s="52">
        <v>517575</v>
      </c>
    </row>
    <row r="294" spans="1:20" ht="17">
      <c r="A294" s="134" t="s">
        <v>111</v>
      </c>
      <c r="B294" s="134" t="s">
        <v>200</v>
      </c>
      <c r="C294" s="134" t="s">
        <v>202</v>
      </c>
      <c r="D294" s="134">
        <v>0</v>
      </c>
      <c r="E294" s="134">
        <v>1</v>
      </c>
      <c r="F294" s="130">
        <f t="shared" si="27"/>
        <v>-0.33729219357226575</v>
      </c>
      <c r="G294" s="130">
        <f t="shared" si="28"/>
        <v>13.89929088740374</v>
      </c>
      <c r="H294" s="130">
        <f t="shared" si="29"/>
        <v>0.70216665593761207</v>
      </c>
      <c r="I294" s="130">
        <f t="shared" si="31"/>
        <v>-4.7939611615917838E-2</v>
      </c>
      <c r="J294" s="130"/>
      <c r="K294" s="130"/>
      <c r="L294" s="176">
        <v>-174971</v>
      </c>
      <c r="M294" s="169" t="s">
        <v>197</v>
      </c>
      <c r="N294" s="175">
        <v>197494</v>
      </c>
      <c r="O294" s="175">
        <v>1087390</v>
      </c>
      <c r="P294" s="175">
        <v>518752</v>
      </c>
      <c r="Q294" s="175">
        <v>323861</v>
      </c>
      <c r="R294" s="175">
        <v>97947</v>
      </c>
      <c r="S294" s="175">
        <v>665582</v>
      </c>
      <c r="T294" s="52">
        <v>763529</v>
      </c>
    </row>
    <row r="295" spans="1:20" ht="17">
      <c r="A295" s="134" t="s">
        <v>111</v>
      </c>
      <c r="B295" s="134" t="s">
        <v>200</v>
      </c>
      <c r="C295" s="134" t="s">
        <v>201</v>
      </c>
      <c r="D295" s="134">
        <v>0</v>
      </c>
      <c r="E295" s="134">
        <v>2</v>
      </c>
      <c r="F295" s="130">
        <f t="shared" si="27"/>
        <v>-0.32601358481701243</v>
      </c>
      <c r="G295" s="130">
        <f t="shared" si="28"/>
        <v>13.787617128219823</v>
      </c>
      <c r="H295" s="130">
        <f t="shared" si="29"/>
        <v>0.67580093203851543</v>
      </c>
      <c r="I295" s="130">
        <f t="shared" si="31"/>
        <v>-0.18629035148503023</v>
      </c>
      <c r="J295" s="130"/>
      <c r="K295" s="130"/>
      <c r="L295" s="176">
        <v>-177636</v>
      </c>
      <c r="M295" s="169">
        <v>643</v>
      </c>
      <c r="N295" s="175">
        <v>68444</v>
      </c>
      <c r="O295" s="175">
        <v>972492</v>
      </c>
      <c r="P295" s="175">
        <v>544873</v>
      </c>
      <c r="Q295" s="175">
        <v>315281</v>
      </c>
      <c r="R295" s="175">
        <v>151626</v>
      </c>
      <c r="S295" s="175">
        <v>505585</v>
      </c>
      <c r="T295" s="52">
        <v>657211</v>
      </c>
    </row>
    <row r="296" spans="1:20" ht="17">
      <c r="A296" s="134" t="s">
        <v>111</v>
      </c>
      <c r="B296" s="134" t="s">
        <v>200</v>
      </c>
      <c r="C296" s="134" t="s">
        <v>173</v>
      </c>
      <c r="D296" s="134">
        <v>1</v>
      </c>
      <c r="E296" s="134">
        <v>1</v>
      </c>
      <c r="F296" s="130">
        <f t="shared" si="27"/>
        <v>-0.53825326754438363</v>
      </c>
      <c r="G296" s="130">
        <f t="shared" si="28"/>
        <v>13.838715234858867</v>
      </c>
      <c r="H296" s="130">
        <f t="shared" si="29"/>
        <v>0.85158030085707925</v>
      </c>
      <c r="I296" s="130">
        <v>2.7207427360840565E-2</v>
      </c>
      <c r="J296" s="130"/>
      <c r="K296" s="130"/>
      <c r="L296" s="176">
        <v>-360423</v>
      </c>
      <c r="M296" s="169" t="s">
        <v>197</v>
      </c>
      <c r="N296" s="175" t="s">
        <v>197</v>
      </c>
      <c r="O296" s="175">
        <v>1023476</v>
      </c>
      <c r="P296" s="175">
        <v>669616</v>
      </c>
      <c r="Q296" s="175">
        <v>151904</v>
      </c>
      <c r="R296" s="175" t="s">
        <v>197</v>
      </c>
      <c r="S296" s="175" t="s">
        <v>197</v>
      </c>
      <c r="T296" s="52">
        <v>871572</v>
      </c>
    </row>
    <row r="297" spans="1:20">
      <c r="A297" s="131" t="s">
        <v>114</v>
      </c>
      <c r="B297" s="131" t="s">
        <v>193</v>
      </c>
      <c r="C297" s="131" t="s">
        <v>203</v>
      </c>
      <c r="D297" s="131">
        <v>0</v>
      </c>
      <c r="E297" s="131">
        <v>20</v>
      </c>
      <c r="F297" s="130">
        <f t="shared" si="27"/>
        <v>1.3435013262599469</v>
      </c>
      <c r="G297" s="130">
        <f t="shared" si="28"/>
        <v>8.8254129150855665</v>
      </c>
      <c r="H297" s="130">
        <f t="shared" si="29"/>
        <v>1.0385011021307862</v>
      </c>
      <c r="I297" s="130">
        <f t="shared" si="31"/>
        <v>-0.27708533077660596</v>
      </c>
      <c r="J297" s="130"/>
      <c r="K297" s="130"/>
      <c r="L297" s="145">
        <v>10130</v>
      </c>
      <c r="M297" s="131">
        <v>156</v>
      </c>
      <c r="N297" s="139">
        <v>785</v>
      </c>
      <c r="O297" s="139">
        <v>6805</v>
      </c>
      <c r="P297" s="139">
        <v>7540</v>
      </c>
      <c r="Q297" s="139">
        <f>O297-T297</f>
        <v>-262</v>
      </c>
      <c r="R297" s="139">
        <v>6809</v>
      </c>
      <c r="S297" s="139">
        <v>258</v>
      </c>
      <c r="T297" s="139">
        <f>R297+S297</f>
        <v>7067</v>
      </c>
    </row>
    <row r="298" spans="1:20">
      <c r="A298" s="131" t="s">
        <v>114</v>
      </c>
      <c r="B298" s="131" t="s">
        <v>193</v>
      </c>
      <c r="C298" s="131" t="s">
        <v>173</v>
      </c>
      <c r="D298" s="131">
        <v>0</v>
      </c>
      <c r="E298" s="131">
        <v>12</v>
      </c>
      <c r="F298" s="130">
        <f t="shared" si="27"/>
        <v>-0.67785234899328861</v>
      </c>
      <c r="G298" s="130">
        <f t="shared" si="28"/>
        <v>4.9126548857360524</v>
      </c>
      <c r="H298" s="130">
        <f t="shared" si="29"/>
        <v>10.272058823529411</v>
      </c>
      <c r="I298" s="130">
        <v>-0.39015435999999998</v>
      </c>
      <c r="J298" s="130"/>
      <c r="K298" s="130"/>
      <c r="L298" s="145">
        <v>-7070</v>
      </c>
      <c r="M298" s="131">
        <v>98</v>
      </c>
      <c r="N298" s="139">
        <v>476</v>
      </c>
      <c r="O298" s="139">
        <v>136</v>
      </c>
      <c r="P298" s="139">
        <v>10430</v>
      </c>
      <c r="Q298" s="139">
        <f>O298-T298</f>
        <v>-1261</v>
      </c>
      <c r="R298" s="139">
        <v>689</v>
      </c>
      <c r="S298" s="139">
        <v>708</v>
      </c>
      <c r="T298" s="139">
        <f>R298+S298</f>
        <v>1397</v>
      </c>
    </row>
    <row r="299" spans="1:20">
      <c r="A299" s="134" t="s">
        <v>115</v>
      </c>
      <c r="B299" s="134" t="s">
        <v>200</v>
      </c>
      <c r="C299" s="134" t="s">
        <v>201</v>
      </c>
      <c r="D299" s="134">
        <v>0</v>
      </c>
      <c r="E299" s="134">
        <v>7</v>
      </c>
      <c r="F299" s="130">
        <f t="shared" si="27"/>
        <v>-0.71510252956144293</v>
      </c>
      <c r="G299" s="130">
        <f t="shared" si="28"/>
        <v>11.552155793461898</v>
      </c>
      <c r="H299" s="130">
        <f t="shared" si="29"/>
        <v>0.62030172786800131</v>
      </c>
      <c r="I299" s="130">
        <f t="shared" si="31"/>
        <v>-0.2963220424671385</v>
      </c>
      <c r="J299" s="130"/>
      <c r="K299" s="130"/>
      <c r="L299" s="152">
        <v>-23888</v>
      </c>
      <c r="M299" s="134"/>
      <c r="N299" s="197"/>
      <c r="O299" s="52">
        <v>104001</v>
      </c>
      <c r="P299" s="52">
        <v>33405</v>
      </c>
      <c r="Q299" s="52">
        <v>39489</v>
      </c>
      <c r="R299" s="52"/>
      <c r="S299" s="52"/>
      <c r="T299" s="52">
        <v>64512</v>
      </c>
    </row>
    <row r="300" spans="1:20">
      <c r="A300" s="134" t="s">
        <v>115</v>
      </c>
      <c r="B300" s="134" t="s">
        <v>200</v>
      </c>
      <c r="C300" s="134" t="s">
        <v>173</v>
      </c>
      <c r="D300" s="134">
        <v>0</v>
      </c>
      <c r="E300" s="134">
        <v>7</v>
      </c>
      <c r="F300" s="130">
        <f t="shared" si="27"/>
        <v>3.4546680148297947E-2</v>
      </c>
      <c r="G300" s="130">
        <f t="shared" si="28"/>
        <v>11.93165553647575</v>
      </c>
      <c r="H300" s="130">
        <f t="shared" si="29"/>
        <v>0.74924837009795864</v>
      </c>
      <c r="I300" s="130">
        <v>5.4213341999999998E-2</v>
      </c>
      <c r="J300" s="130"/>
      <c r="K300" s="130"/>
      <c r="L300" s="152">
        <v>1640</v>
      </c>
      <c r="M300" s="196"/>
      <c r="N300" s="52"/>
      <c r="O300" s="52">
        <v>152003</v>
      </c>
      <c r="P300" s="52">
        <v>47472</v>
      </c>
      <c r="Q300" s="52">
        <v>38115</v>
      </c>
      <c r="R300" s="52"/>
      <c r="S300" s="52"/>
      <c r="T300" s="52">
        <v>113888</v>
      </c>
    </row>
    <row r="301" spans="1:20">
      <c r="A301" s="134" t="s">
        <v>116</v>
      </c>
      <c r="B301" s="134" t="s">
        <v>200</v>
      </c>
      <c r="C301" s="134" t="s">
        <v>205</v>
      </c>
      <c r="D301" s="134">
        <v>0</v>
      </c>
      <c r="E301" s="134">
        <v>15</v>
      </c>
      <c r="F301" s="130">
        <f t="shared" si="27"/>
        <v>0.14341826450979378</v>
      </c>
      <c r="G301" s="130">
        <f t="shared" si="28"/>
        <v>10.292857153479407</v>
      </c>
      <c r="H301" s="130">
        <f t="shared" si="29"/>
        <v>0.7197926899495275</v>
      </c>
      <c r="I301" s="130">
        <f t="shared" si="31"/>
        <v>-0.20484106273244704</v>
      </c>
      <c r="J301" s="130"/>
      <c r="K301" s="130"/>
      <c r="L301" s="152">
        <v>5550</v>
      </c>
      <c r="M301" s="196"/>
      <c r="N301" s="153"/>
      <c r="O301" s="52">
        <v>29521</v>
      </c>
      <c r="P301" s="52">
        <v>38698</v>
      </c>
      <c r="Q301" s="52">
        <v>8272</v>
      </c>
      <c r="R301" s="52"/>
      <c r="S301" s="52"/>
      <c r="T301" s="52">
        <v>21249</v>
      </c>
    </row>
    <row r="302" spans="1:20">
      <c r="A302" s="134" t="s">
        <v>116</v>
      </c>
      <c r="B302" s="134" t="s">
        <v>200</v>
      </c>
      <c r="C302" s="134" t="s">
        <v>203</v>
      </c>
      <c r="D302" s="134">
        <v>0</v>
      </c>
      <c r="E302" s="134">
        <v>11</v>
      </c>
      <c r="F302" s="130">
        <f t="shared" si="27"/>
        <v>0.10123903260936569</v>
      </c>
      <c r="G302" s="130">
        <f t="shared" si="28"/>
        <v>10.596609732783568</v>
      </c>
      <c r="H302" s="130">
        <f t="shared" si="29"/>
        <v>0.67111677791944802</v>
      </c>
      <c r="I302" s="130">
        <f t="shared" si="31"/>
        <v>0.28660180828001902</v>
      </c>
      <c r="J302" s="130"/>
      <c r="K302" s="130"/>
      <c r="L302" s="152">
        <v>4927</v>
      </c>
      <c r="M302" s="196"/>
      <c r="N302" s="153"/>
      <c r="O302" s="52">
        <v>39999</v>
      </c>
      <c r="P302" s="52">
        <v>48667</v>
      </c>
      <c r="Q302" s="52">
        <v>13155</v>
      </c>
      <c r="R302" s="52"/>
      <c r="S302" s="52"/>
      <c r="T302" s="52">
        <v>26844</v>
      </c>
    </row>
    <row r="303" spans="1:20">
      <c r="A303" s="134" t="s">
        <v>116</v>
      </c>
      <c r="B303" s="134" t="s">
        <v>200</v>
      </c>
      <c r="C303" s="134" t="s">
        <v>202</v>
      </c>
      <c r="D303" s="134">
        <v>0</v>
      </c>
      <c r="E303" s="134">
        <v>10</v>
      </c>
      <c r="F303" s="130">
        <f t="shared" si="27"/>
        <v>6.1518532226510866E-2</v>
      </c>
      <c r="G303" s="130">
        <f t="shared" si="28"/>
        <v>11.291642681353503</v>
      </c>
      <c r="H303" s="130">
        <f t="shared" si="29"/>
        <v>0.80733384072165593</v>
      </c>
      <c r="I303" s="130">
        <f t="shared" si="31"/>
        <v>-4.3856323146533205E-2</v>
      </c>
      <c r="J303" s="130"/>
      <c r="K303" s="130"/>
      <c r="L303" s="152">
        <v>2327</v>
      </c>
      <c r="M303" s="196"/>
      <c r="N303" s="153"/>
      <c r="O303" s="52">
        <v>80149</v>
      </c>
      <c r="P303" s="52">
        <v>37826</v>
      </c>
      <c r="Q303" s="52">
        <v>15442</v>
      </c>
      <c r="R303" s="52"/>
      <c r="S303" s="52"/>
      <c r="T303" s="52">
        <v>64707</v>
      </c>
    </row>
    <row r="304" spans="1:20">
      <c r="A304" s="134" t="s">
        <v>116</v>
      </c>
      <c r="B304" s="134" t="s">
        <v>200</v>
      </c>
      <c r="C304" s="134" t="s">
        <v>201</v>
      </c>
      <c r="D304" s="134">
        <v>0</v>
      </c>
      <c r="E304" s="134">
        <v>15</v>
      </c>
      <c r="F304" s="130">
        <f t="shared" si="27"/>
        <v>-0.18791233790854631</v>
      </c>
      <c r="G304" s="130">
        <f t="shared" si="28"/>
        <v>10.966334484757494</v>
      </c>
      <c r="H304" s="130">
        <f t="shared" si="29"/>
        <v>0.86227803496165278</v>
      </c>
      <c r="I304" s="130">
        <f t="shared" si="31"/>
        <v>-0.3116474109131403</v>
      </c>
      <c r="J304" s="130"/>
      <c r="K304" s="130"/>
      <c r="L304" s="152">
        <v>-7434</v>
      </c>
      <c r="M304" s="134"/>
      <c r="N304" s="197"/>
      <c r="O304" s="52">
        <v>57892</v>
      </c>
      <c r="P304" s="52">
        <v>39561</v>
      </c>
      <c r="Q304" s="52">
        <v>7973</v>
      </c>
      <c r="R304" s="52"/>
      <c r="S304" s="52"/>
      <c r="T304" s="52">
        <v>49919</v>
      </c>
    </row>
    <row r="305" spans="1:20">
      <c r="A305" s="134" t="s">
        <v>116</v>
      </c>
      <c r="B305" s="134" t="s">
        <v>200</v>
      </c>
      <c r="C305" s="134" t="s">
        <v>173</v>
      </c>
      <c r="D305" s="134">
        <v>0</v>
      </c>
      <c r="E305" s="134">
        <v>6</v>
      </c>
      <c r="F305" s="130">
        <f t="shared" si="27"/>
        <v>3.6574331848552341E-2</v>
      </c>
      <c r="G305" s="130">
        <f t="shared" si="28"/>
        <v>10.827567866685113</v>
      </c>
      <c r="H305" s="130">
        <f t="shared" si="29"/>
        <v>0.80030164116608127</v>
      </c>
      <c r="I305" s="130">
        <v>-6.8435747128025387E-2</v>
      </c>
      <c r="J305" s="130"/>
      <c r="K305" s="130"/>
      <c r="L305" s="152">
        <v>2102</v>
      </c>
      <c r="M305" s="196"/>
      <c r="N305" s="52"/>
      <c r="O305" s="52">
        <v>50391</v>
      </c>
      <c r="P305" s="52">
        <v>57472</v>
      </c>
      <c r="Q305" s="52">
        <v>10063</v>
      </c>
      <c r="R305" s="52"/>
      <c r="S305" s="52"/>
      <c r="T305" s="52">
        <v>40328</v>
      </c>
    </row>
    <row r="306" spans="1:20" ht="17">
      <c r="A306" s="131" t="s">
        <v>117</v>
      </c>
      <c r="B306" s="131" t="s">
        <v>193</v>
      </c>
      <c r="C306" s="131" t="s">
        <v>205</v>
      </c>
      <c r="D306" s="131">
        <v>0</v>
      </c>
      <c r="E306" s="131">
        <v>6</v>
      </c>
      <c r="F306" s="130">
        <f t="shared" si="27"/>
        <v>6.9533299729879934E-3</v>
      </c>
      <c r="G306" s="130">
        <f t="shared" si="28"/>
        <v>11.729793365516766</v>
      </c>
      <c r="H306" s="130">
        <f t="shared" si="29"/>
        <v>0.95309858474617204</v>
      </c>
      <c r="I306" s="130">
        <f t="shared" si="31"/>
        <v>-0.28945845922143754</v>
      </c>
      <c r="J306" s="130"/>
      <c r="K306" s="130"/>
      <c r="L306" s="184">
        <v>538</v>
      </c>
      <c r="M306" s="178">
        <v>243</v>
      </c>
      <c r="N306" s="179">
        <v>9542</v>
      </c>
      <c r="O306" s="179">
        <v>124218</v>
      </c>
      <c r="P306" s="179">
        <v>77373</v>
      </c>
      <c r="Q306" s="179">
        <v>5826</v>
      </c>
      <c r="R306" s="179">
        <v>38102</v>
      </c>
      <c r="S306" s="179">
        <v>80290</v>
      </c>
      <c r="T306" s="139">
        <f t="shared" ref="T306:T343" si="32">R306+S306</f>
        <v>118392</v>
      </c>
    </row>
    <row r="307" spans="1:20" ht="17">
      <c r="A307" s="131" t="s">
        <v>117</v>
      </c>
      <c r="B307" s="131" t="s">
        <v>193</v>
      </c>
      <c r="C307" s="131" t="s">
        <v>203</v>
      </c>
      <c r="D307" s="131">
        <v>0</v>
      </c>
      <c r="E307" s="131">
        <v>10</v>
      </c>
      <c r="F307" s="130">
        <f t="shared" si="27"/>
        <v>5.6560109465254881E-2</v>
      </c>
      <c r="G307" s="130">
        <f t="shared" si="28"/>
        <v>12.131257500311589</v>
      </c>
      <c r="H307" s="130">
        <f t="shared" si="29"/>
        <v>0.93676144905513969</v>
      </c>
      <c r="I307" s="130">
        <f t="shared" si="31"/>
        <v>6.3428973222133242E-2</v>
      </c>
      <c r="J307" s="130"/>
      <c r="K307" s="130"/>
      <c r="L307" s="184">
        <v>6159</v>
      </c>
      <c r="M307" s="178">
        <v>408</v>
      </c>
      <c r="N307" s="179">
        <v>17508</v>
      </c>
      <c r="O307" s="179">
        <v>185583</v>
      </c>
      <c r="P307" s="179">
        <v>108893</v>
      </c>
      <c r="Q307" s="179">
        <v>11736</v>
      </c>
      <c r="R307" s="179">
        <v>57276</v>
      </c>
      <c r="S307" s="179">
        <v>116571</v>
      </c>
      <c r="T307" s="139">
        <f t="shared" si="32"/>
        <v>173847</v>
      </c>
    </row>
    <row r="308" spans="1:20" ht="17">
      <c r="A308" s="131" t="s">
        <v>117</v>
      </c>
      <c r="B308" s="131" t="s">
        <v>193</v>
      </c>
      <c r="C308" s="131" t="s">
        <v>202</v>
      </c>
      <c r="D308" s="131">
        <v>0</v>
      </c>
      <c r="E308" s="131">
        <v>15</v>
      </c>
      <c r="F308" s="130">
        <f t="shared" si="27"/>
        <v>1.3847926717318697E-2</v>
      </c>
      <c r="G308" s="130">
        <f t="shared" si="28"/>
        <v>12.079465794263994</v>
      </c>
      <c r="H308" s="130">
        <f t="shared" si="29"/>
        <v>0.92546647296499751</v>
      </c>
      <c r="I308" s="130">
        <f t="shared" si="31"/>
        <v>0.16784708203601692</v>
      </c>
      <c r="J308" s="130"/>
      <c r="K308" s="130"/>
      <c r="L308" s="184">
        <v>1418</v>
      </c>
      <c r="M308" s="178">
        <v>400</v>
      </c>
      <c r="N308" s="179">
        <v>13452</v>
      </c>
      <c r="O308" s="179">
        <v>176216</v>
      </c>
      <c r="P308" s="179">
        <v>102398</v>
      </c>
      <c r="Q308" s="179">
        <v>13134</v>
      </c>
      <c r="R308" s="179">
        <v>35768</v>
      </c>
      <c r="S308" s="179">
        <v>127314</v>
      </c>
      <c r="T308" s="139">
        <f t="shared" si="32"/>
        <v>163082</v>
      </c>
    </row>
    <row r="309" spans="1:20" ht="17">
      <c r="A309" s="131" t="s">
        <v>117</v>
      </c>
      <c r="B309" s="131" t="s">
        <v>193</v>
      </c>
      <c r="C309" s="131" t="s">
        <v>201</v>
      </c>
      <c r="D309" s="131">
        <v>0</v>
      </c>
      <c r="E309" s="131">
        <v>6</v>
      </c>
      <c r="F309" s="130">
        <f t="shared" si="27"/>
        <v>-0.41838026482362201</v>
      </c>
      <c r="G309" s="130">
        <f t="shared" si="28"/>
        <v>11.809007161600341</v>
      </c>
      <c r="H309" s="130">
        <f t="shared" si="29"/>
        <v>1.2328905680584272</v>
      </c>
      <c r="I309" s="130">
        <f t="shared" si="31"/>
        <v>-0.28501883653799109</v>
      </c>
      <c r="J309" s="130"/>
      <c r="K309" s="130"/>
      <c r="L309" s="184">
        <v>-36684</v>
      </c>
      <c r="M309" s="178">
        <v>384</v>
      </c>
      <c r="N309" s="179">
        <v>37024</v>
      </c>
      <c r="O309" s="179">
        <v>134458</v>
      </c>
      <c r="P309" s="179">
        <v>87681</v>
      </c>
      <c r="Q309" s="179">
        <v>-31314</v>
      </c>
      <c r="R309" s="179">
        <v>31067</v>
      </c>
      <c r="S309" s="179">
        <v>134705</v>
      </c>
      <c r="T309" s="139">
        <f t="shared" si="32"/>
        <v>165772</v>
      </c>
    </row>
    <row r="310" spans="1:20" ht="17">
      <c r="A310" s="131" t="s">
        <v>117</v>
      </c>
      <c r="B310" s="131" t="s">
        <v>193</v>
      </c>
      <c r="C310" s="131" t="s">
        <v>173</v>
      </c>
      <c r="D310" s="131">
        <v>1</v>
      </c>
      <c r="E310" s="131">
        <v>5</v>
      </c>
      <c r="F310" s="130">
        <f t="shared" si="27"/>
        <v>-0.31181401568896067</v>
      </c>
      <c r="G310" s="130">
        <f t="shared" si="28"/>
        <v>12.031719258385396</v>
      </c>
      <c r="H310" s="130">
        <f t="shared" si="29"/>
        <v>1.41675</v>
      </c>
      <c r="I310" s="130">
        <v>-8.5800310125319607E-2</v>
      </c>
      <c r="J310" s="130"/>
      <c r="K310" s="130"/>
      <c r="L310" s="184">
        <v>-38239</v>
      </c>
      <c r="M310" s="178">
        <v>450</v>
      </c>
      <c r="N310" s="179">
        <v>39946</v>
      </c>
      <c r="O310" s="179">
        <v>168000</v>
      </c>
      <c r="P310" s="179">
        <v>122634</v>
      </c>
      <c r="Q310" s="179">
        <v>-70013</v>
      </c>
      <c r="R310" s="179">
        <v>82885</v>
      </c>
      <c r="S310" s="179">
        <v>155129</v>
      </c>
      <c r="T310" s="139">
        <f t="shared" si="32"/>
        <v>238014</v>
      </c>
    </row>
    <row r="311" spans="1:20" ht="17">
      <c r="A311" s="131" t="s">
        <v>118</v>
      </c>
      <c r="B311" s="131" t="s">
        <v>193</v>
      </c>
      <c r="C311" s="131" t="s">
        <v>205</v>
      </c>
      <c r="D311" s="131">
        <v>0</v>
      </c>
      <c r="E311" s="131">
        <v>3</v>
      </c>
      <c r="F311" s="130">
        <f t="shared" si="27"/>
        <v>4.1674130596945094E-2</v>
      </c>
      <c r="G311" s="130">
        <f t="shared" si="28"/>
        <v>13.900793358492733</v>
      </c>
      <c r="H311" s="130">
        <f t="shared" si="29"/>
        <v>0.49757443584858013</v>
      </c>
      <c r="I311" s="130">
        <f t="shared" si="31"/>
        <v>0.24186441859770169</v>
      </c>
      <c r="J311" s="130"/>
      <c r="K311" s="130"/>
      <c r="L311" s="184">
        <v>31174</v>
      </c>
      <c r="M311" s="178">
        <v>811</v>
      </c>
      <c r="N311" s="179">
        <v>107564</v>
      </c>
      <c r="O311" s="179">
        <v>1089025</v>
      </c>
      <c r="P311" s="179">
        <v>748042</v>
      </c>
      <c r="Q311" s="179">
        <v>494566</v>
      </c>
      <c r="R311" s="179">
        <v>176436</v>
      </c>
      <c r="S311" s="179">
        <v>365435</v>
      </c>
      <c r="T311" s="139">
        <f t="shared" si="32"/>
        <v>541871</v>
      </c>
    </row>
    <row r="312" spans="1:20" ht="17">
      <c r="A312" s="131" t="s">
        <v>118</v>
      </c>
      <c r="B312" s="131" t="s">
        <v>193</v>
      </c>
      <c r="C312" s="131" t="s">
        <v>203</v>
      </c>
      <c r="D312" s="131">
        <v>0</v>
      </c>
      <c r="E312" s="131">
        <v>3</v>
      </c>
      <c r="F312" s="130">
        <f t="shared" si="27"/>
        <v>6.373992701965954E-2</v>
      </c>
      <c r="G312" s="130">
        <f t="shared" si="28"/>
        <v>13.945031544650263</v>
      </c>
      <c r="H312" s="130">
        <f t="shared" si="29"/>
        <v>0.53205310103023584</v>
      </c>
      <c r="I312" s="130">
        <f t="shared" si="31"/>
        <v>-0.12929459381324082</v>
      </c>
      <c r="J312" s="130"/>
      <c r="K312" s="130"/>
      <c r="L312" s="184">
        <v>38394</v>
      </c>
      <c r="M312" s="131">
        <v>817</v>
      </c>
      <c r="N312" s="179">
        <v>27588</v>
      </c>
      <c r="O312" s="179">
        <v>1138283</v>
      </c>
      <c r="P312" s="179">
        <v>602354</v>
      </c>
      <c r="Q312" s="179">
        <v>533676</v>
      </c>
      <c r="R312" s="179">
        <v>132868</v>
      </c>
      <c r="S312" s="179">
        <v>472759</v>
      </c>
      <c r="T312" s="139">
        <f t="shared" si="32"/>
        <v>605627</v>
      </c>
    </row>
    <row r="313" spans="1:20" ht="17">
      <c r="A313" s="131" t="s">
        <v>118</v>
      </c>
      <c r="B313" s="131" t="s">
        <v>193</v>
      </c>
      <c r="C313" s="131" t="s">
        <v>202</v>
      </c>
      <c r="D313" s="131">
        <v>0</v>
      </c>
      <c r="E313" s="131">
        <v>1</v>
      </c>
      <c r="F313" s="130">
        <f t="shared" si="27"/>
        <v>4.5244290257299795E-4</v>
      </c>
      <c r="G313" s="130">
        <f t="shared" si="28"/>
        <v>14.095001928008301</v>
      </c>
      <c r="H313" s="130">
        <f t="shared" si="29"/>
        <v>0.67963873305521461</v>
      </c>
      <c r="I313" s="130">
        <f t="shared" si="31"/>
        <v>7.975651631028563E-2</v>
      </c>
      <c r="J313" s="130"/>
      <c r="K313" s="130"/>
      <c r="L313" s="184">
        <v>313</v>
      </c>
      <c r="M313" s="131">
        <v>777</v>
      </c>
      <c r="N313" s="179">
        <v>511433</v>
      </c>
      <c r="O313" s="179">
        <v>1322457</v>
      </c>
      <c r="P313" s="179">
        <v>691800</v>
      </c>
      <c r="Q313" s="179">
        <f>O313-T313</f>
        <v>423664</v>
      </c>
      <c r="R313" s="179">
        <v>397465</v>
      </c>
      <c r="S313" s="179">
        <v>501328</v>
      </c>
      <c r="T313" s="139">
        <f t="shared" si="32"/>
        <v>898793</v>
      </c>
    </row>
    <row r="314" spans="1:20" ht="17">
      <c r="A314" s="131" t="s">
        <v>118</v>
      </c>
      <c r="B314" s="131" t="s">
        <v>193</v>
      </c>
      <c r="C314" s="131" t="s">
        <v>201</v>
      </c>
      <c r="D314" s="131">
        <v>0</v>
      </c>
      <c r="E314" s="131">
        <v>2</v>
      </c>
      <c r="F314" s="130">
        <f t="shared" si="27"/>
        <v>1.3641329795536132E-3</v>
      </c>
      <c r="G314" s="130">
        <f t="shared" si="28"/>
        <v>14.276452630030484</v>
      </c>
      <c r="H314" s="130">
        <f t="shared" si="29"/>
        <v>0.71165015417197763</v>
      </c>
      <c r="I314" s="130">
        <f t="shared" si="31"/>
        <v>-0.10986443042160221</v>
      </c>
      <c r="J314" s="130"/>
      <c r="K314" s="130"/>
      <c r="L314" s="145">
        <v>874</v>
      </c>
      <c r="M314" s="131">
        <v>861</v>
      </c>
      <c r="N314" s="179">
        <v>237237</v>
      </c>
      <c r="O314" s="179">
        <v>1585567</v>
      </c>
      <c r="P314" s="179">
        <v>640700</v>
      </c>
      <c r="Q314" s="179">
        <v>533655</v>
      </c>
      <c r="R314" s="179">
        <v>456682</v>
      </c>
      <c r="S314" s="179">
        <v>671687</v>
      </c>
      <c r="T314" s="139">
        <f t="shared" si="32"/>
        <v>1128369</v>
      </c>
    </row>
    <row r="315" spans="1:20" ht="17">
      <c r="A315" s="131" t="s">
        <v>118</v>
      </c>
      <c r="B315" s="131" t="s">
        <v>193</v>
      </c>
      <c r="C315" s="131" t="s">
        <v>173</v>
      </c>
      <c r="D315" s="131">
        <v>0</v>
      </c>
      <c r="E315" s="131">
        <v>1</v>
      </c>
      <c r="F315" s="130">
        <f t="shared" si="27"/>
        <v>1.7972208097496729E-2</v>
      </c>
      <c r="G315" s="130">
        <f t="shared" si="28"/>
        <v>14.634948040113837</v>
      </c>
      <c r="H315" s="130">
        <f t="shared" si="29"/>
        <v>0.75919202299641775</v>
      </c>
      <c r="I315" s="130">
        <v>2.0615477668286072E-2</v>
      </c>
      <c r="J315" s="130"/>
      <c r="K315" s="130"/>
      <c r="L315" s="184">
        <v>12936</v>
      </c>
      <c r="M315" s="178">
        <v>894</v>
      </c>
      <c r="N315" s="179">
        <v>38356</v>
      </c>
      <c r="O315" s="179">
        <v>2269223</v>
      </c>
      <c r="P315" s="179">
        <v>719778</v>
      </c>
      <c r="Q315" s="179">
        <v>546447</v>
      </c>
      <c r="R315" s="179">
        <v>1096046</v>
      </c>
      <c r="S315" s="179">
        <v>626730</v>
      </c>
      <c r="T315" s="139">
        <f t="shared" si="32"/>
        <v>1722776</v>
      </c>
    </row>
    <row r="316" spans="1:20" ht="17">
      <c r="A316" s="132" t="s">
        <v>121</v>
      </c>
      <c r="B316" s="132" t="s">
        <v>198</v>
      </c>
      <c r="C316" s="132" t="s">
        <v>205</v>
      </c>
      <c r="D316" s="132">
        <v>1</v>
      </c>
      <c r="E316" s="132">
        <v>3</v>
      </c>
      <c r="F316" s="130">
        <f t="shared" si="27"/>
        <v>-7.9596927005453594E-2</v>
      </c>
      <c r="G316" s="130">
        <f t="shared" si="28"/>
        <v>13.074724450307126</v>
      </c>
      <c r="H316" s="130">
        <f t="shared" si="29"/>
        <v>1.2211356738173298</v>
      </c>
      <c r="I316" s="130">
        <f t="shared" si="31"/>
        <v>-0.1562165807093977</v>
      </c>
      <c r="J316" s="130"/>
      <c r="K316" s="130"/>
      <c r="L316" s="166">
        <v>-25498</v>
      </c>
      <c r="M316" s="167">
        <v>348</v>
      </c>
      <c r="N316" s="168">
        <v>37762</v>
      </c>
      <c r="O316" s="168">
        <v>476739</v>
      </c>
      <c r="P316" s="168">
        <v>320339</v>
      </c>
      <c r="Q316" s="168">
        <v>-105424</v>
      </c>
      <c r="R316" s="168">
        <v>342188</v>
      </c>
      <c r="S316" s="168">
        <v>239975</v>
      </c>
      <c r="T316" s="156">
        <f t="shared" si="32"/>
        <v>582163</v>
      </c>
    </row>
    <row r="317" spans="1:20" ht="17">
      <c r="A317" s="132" t="s">
        <v>121</v>
      </c>
      <c r="B317" s="132" t="s">
        <v>198</v>
      </c>
      <c r="C317" s="132" t="s">
        <v>203</v>
      </c>
      <c r="D317" s="132">
        <v>1</v>
      </c>
      <c r="E317" s="132">
        <v>6</v>
      </c>
      <c r="F317" s="130">
        <f t="shared" si="27"/>
        <v>-6.3991191794461152E-2</v>
      </c>
      <c r="G317" s="130">
        <f t="shared" si="28"/>
        <v>13.001209918246479</v>
      </c>
      <c r="H317" s="130">
        <f t="shared" si="29"/>
        <v>1.2877351568690751</v>
      </c>
      <c r="I317" s="130">
        <f t="shared" si="31"/>
        <v>0.38652574220904201</v>
      </c>
      <c r="J317" s="130"/>
      <c r="K317" s="130"/>
      <c r="L317" s="166">
        <v>-24294</v>
      </c>
      <c r="M317" s="167">
        <v>406</v>
      </c>
      <c r="N317" s="168">
        <v>38952</v>
      </c>
      <c r="O317" s="168">
        <v>442949</v>
      </c>
      <c r="P317" s="168">
        <v>379646</v>
      </c>
      <c r="Q317" s="168">
        <v>-127452</v>
      </c>
      <c r="R317" s="168">
        <v>317098</v>
      </c>
      <c r="S317" s="168">
        <v>253303</v>
      </c>
      <c r="T317" s="156">
        <f t="shared" si="32"/>
        <v>570401</v>
      </c>
    </row>
    <row r="318" spans="1:20" ht="17">
      <c r="A318" s="132" t="s">
        <v>121</v>
      </c>
      <c r="B318" s="132" t="s">
        <v>198</v>
      </c>
      <c r="C318" s="132" t="s">
        <v>202</v>
      </c>
      <c r="D318" s="132">
        <v>0</v>
      </c>
      <c r="E318" s="132">
        <v>5</v>
      </c>
      <c r="F318" s="130">
        <f t="shared" si="27"/>
        <v>-0.74514172184463001</v>
      </c>
      <c r="G318" s="130">
        <f t="shared" si="28"/>
        <v>13.051874387289839</v>
      </c>
      <c r="H318" s="130">
        <f t="shared" si="29"/>
        <v>1.5203135830924375</v>
      </c>
      <c r="I318" s="130">
        <f t="shared" si="31"/>
        <v>0.20868114259480791</v>
      </c>
      <c r="J318" s="130"/>
      <c r="K318" s="130"/>
      <c r="L318" s="166">
        <v>-204028</v>
      </c>
      <c r="M318" s="167">
        <v>424</v>
      </c>
      <c r="N318" s="168">
        <v>22886</v>
      </c>
      <c r="O318" s="168">
        <v>465969</v>
      </c>
      <c r="P318" s="168">
        <v>273811</v>
      </c>
      <c r="Q318" s="168">
        <v>-242450</v>
      </c>
      <c r="R318" s="168">
        <v>386910</v>
      </c>
      <c r="S318" s="168">
        <v>321509</v>
      </c>
      <c r="T318" s="156">
        <f t="shared" si="32"/>
        <v>708419</v>
      </c>
    </row>
    <row r="319" spans="1:20" ht="17">
      <c r="A319" s="132" t="s">
        <v>121</v>
      </c>
      <c r="B319" s="132" t="s">
        <v>198</v>
      </c>
      <c r="C319" s="132" t="s">
        <v>201</v>
      </c>
      <c r="D319" s="132">
        <v>0</v>
      </c>
      <c r="E319" s="132">
        <v>7</v>
      </c>
      <c r="F319" s="130">
        <f t="shared" si="27"/>
        <v>-0.81804296869827009</v>
      </c>
      <c r="G319" s="130">
        <f t="shared" si="28"/>
        <v>12.835478320584524</v>
      </c>
      <c r="H319" s="130">
        <f t="shared" si="29"/>
        <v>1.7280728166075583</v>
      </c>
      <c r="I319" s="130">
        <f t="shared" si="31"/>
        <v>0.10036187006678809</v>
      </c>
      <c r="J319" s="130"/>
      <c r="K319" s="130"/>
      <c r="L319" s="166">
        <v>-185317</v>
      </c>
      <c r="M319" s="167">
        <v>403</v>
      </c>
      <c r="N319" s="168">
        <v>22968</v>
      </c>
      <c r="O319" s="168">
        <v>375299</v>
      </c>
      <c r="P319" s="168">
        <v>226537</v>
      </c>
      <c r="Q319" s="168">
        <v>-273245</v>
      </c>
      <c r="R319" s="168">
        <v>389087</v>
      </c>
      <c r="S319" s="168">
        <v>259457</v>
      </c>
      <c r="T319" s="156">
        <f t="shared" si="32"/>
        <v>648544</v>
      </c>
    </row>
    <row r="320" spans="1:20" ht="17">
      <c r="A320" s="132" t="s">
        <v>121</v>
      </c>
      <c r="B320" s="132" t="s">
        <v>198</v>
      </c>
      <c r="C320" s="132" t="s">
        <v>173</v>
      </c>
      <c r="D320" s="132">
        <v>1</v>
      </c>
      <c r="E320" s="132">
        <v>6</v>
      </c>
      <c r="F320" s="130">
        <f t="shared" si="27"/>
        <v>-1.0651657559198542</v>
      </c>
      <c r="G320" s="130">
        <f t="shared" si="28"/>
        <v>12.80278050905021</v>
      </c>
      <c r="H320" s="130">
        <f t="shared" si="29"/>
        <v>1.9370667298045845</v>
      </c>
      <c r="I320" s="130">
        <v>0.13483804354031009</v>
      </c>
      <c r="J320" s="130"/>
      <c r="K320" s="130"/>
      <c r="L320" s="166">
        <v>-219291</v>
      </c>
      <c r="M320" s="167">
        <v>455</v>
      </c>
      <c r="N320" s="168">
        <v>20531</v>
      </c>
      <c r="O320" s="168">
        <v>363226</v>
      </c>
      <c r="P320" s="168">
        <v>205875</v>
      </c>
      <c r="Q320" s="168">
        <v>-340367</v>
      </c>
      <c r="R320" s="168">
        <v>460299</v>
      </c>
      <c r="S320" s="168">
        <v>243294</v>
      </c>
      <c r="T320" s="156">
        <f t="shared" si="32"/>
        <v>703593</v>
      </c>
    </row>
    <row r="321" spans="1:20" ht="17">
      <c r="A321" s="132" t="s">
        <v>122</v>
      </c>
      <c r="B321" s="132" t="s">
        <v>198</v>
      </c>
      <c r="C321" s="132" t="s">
        <v>173</v>
      </c>
      <c r="D321" s="132">
        <v>0</v>
      </c>
      <c r="E321" s="132">
        <v>17</v>
      </c>
      <c r="F321" s="130">
        <f t="shared" si="27"/>
        <v>-0.29479533748983466</v>
      </c>
      <c r="G321" s="130">
        <f t="shared" si="28"/>
        <v>11.739782114196322</v>
      </c>
      <c r="H321" s="130">
        <f t="shared" si="29"/>
        <v>1.2199099350416451</v>
      </c>
      <c r="I321" s="130">
        <v>0.18906431000000001</v>
      </c>
      <c r="J321" s="130"/>
      <c r="K321" s="130"/>
      <c r="L321" s="155">
        <v>-4350</v>
      </c>
      <c r="M321" s="167">
        <v>103</v>
      </c>
      <c r="N321" s="156">
        <v>587</v>
      </c>
      <c r="O321" s="156">
        <v>125465</v>
      </c>
      <c r="P321" s="156">
        <v>14756</v>
      </c>
      <c r="Q321" s="156">
        <f>O321-T321</f>
        <v>-27591</v>
      </c>
      <c r="R321" s="156">
        <v>90680</v>
      </c>
      <c r="S321" s="156">
        <v>62376</v>
      </c>
      <c r="T321" s="156">
        <f t="shared" si="32"/>
        <v>153056</v>
      </c>
    </row>
    <row r="322" spans="1:20" ht="17">
      <c r="A322" s="132" t="s">
        <v>123</v>
      </c>
      <c r="B322" s="132" t="s">
        <v>198</v>
      </c>
      <c r="C322" s="132" t="s">
        <v>205</v>
      </c>
      <c r="D322" s="132">
        <v>0</v>
      </c>
      <c r="E322" s="132">
        <v>10</v>
      </c>
      <c r="F322" s="130">
        <f t="shared" ref="F322:F385" si="33">L322/P322</f>
        <v>8.6712854049309701E-2</v>
      </c>
      <c r="G322" s="130">
        <f t="shared" ref="G322:G385" si="34">LN(O322)</f>
        <v>12.322476953400276</v>
      </c>
      <c r="H322" s="130">
        <f t="shared" ref="H322:H385" si="35">T322/O322</f>
        <v>0.79970626196092398</v>
      </c>
      <c r="I322" s="130">
        <f t="shared" si="31"/>
        <v>0.11619783343638831</v>
      </c>
      <c r="J322" s="130"/>
      <c r="K322" s="130"/>
      <c r="L322" s="166">
        <v>12053</v>
      </c>
      <c r="M322" s="167">
        <v>158</v>
      </c>
      <c r="N322" s="168">
        <v>13720</v>
      </c>
      <c r="O322" s="168">
        <v>224690</v>
      </c>
      <c r="P322" s="168">
        <v>138999</v>
      </c>
      <c r="Q322" s="168">
        <v>45004</v>
      </c>
      <c r="R322" s="168">
        <v>56529</v>
      </c>
      <c r="S322" s="168">
        <v>123157</v>
      </c>
      <c r="T322" s="156">
        <f t="shared" si="32"/>
        <v>179686</v>
      </c>
    </row>
    <row r="323" spans="1:20" ht="17">
      <c r="A323" s="132" t="s">
        <v>123</v>
      </c>
      <c r="B323" s="132" t="s">
        <v>198</v>
      </c>
      <c r="C323" s="132" t="s">
        <v>203</v>
      </c>
      <c r="D323" s="132">
        <v>0</v>
      </c>
      <c r="E323" s="132">
        <v>9</v>
      </c>
      <c r="F323" s="130">
        <f t="shared" si="33"/>
        <v>-0.10490729067124926</v>
      </c>
      <c r="G323" s="130">
        <f t="shared" si="34"/>
        <v>12.457916378149264</v>
      </c>
      <c r="H323" s="130">
        <f t="shared" si="35"/>
        <v>0.87585461697223632</v>
      </c>
      <c r="I323" s="130">
        <f t="shared" ref="I323:I386" si="36">IF(A323=A324, (P323-P324)/P324, "")</f>
        <v>0.77227638226713158</v>
      </c>
      <c r="J323" s="130"/>
      <c r="K323" s="130"/>
      <c r="L323" s="166">
        <v>-13064</v>
      </c>
      <c r="M323" s="167">
        <v>167</v>
      </c>
      <c r="N323" s="168">
        <v>26410</v>
      </c>
      <c r="O323" s="168">
        <v>257279</v>
      </c>
      <c r="P323" s="168">
        <v>124529</v>
      </c>
      <c r="Q323" s="168">
        <v>31940</v>
      </c>
      <c r="R323" s="168">
        <v>82621</v>
      </c>
      <c r="S323" s="168">
        <v>142718</v>
      </c>
      <c r="T323" s="156">
        <f t="shared" si="32"/>
        <v>225339</v>
      </c>
    </row>
    <row r="324" spans="1:20" ht="17">
      <c r="A324" s="132" t="s">
        <v>123</v>
      </c>
      <c r="B324" s="132" t="s">
        <v>198</v>
      </c>
      <c r="C324" s="132" t="s">
        <v>202</v>
      </c>
      <c r="D324" s="132">
        <v>0</v>
      </c>
      <c r="E324" s="132">
        <v>15</v>
      </c>
      <c r="F324" s="130">
        <f t="shared" si="33"/>
        <v>-0.20926492563865368</v>
      </c>
      <c r="G324" s="130">
        <f t="shared" si="34"/>
        <v>12.628745513909234</v>
      </c>
      <c r="H324" s="130">
        <f t="shared" si="35"/>
        <v>0.75780699656298844</v>
      </c>
      <c r="I324" s="130">
        <f t="shared" si="36"/>
        <v>-7.9264617239300783E-2</v>
      </c>
      <c r="J324" s="130"/>
      <c r="K324" s="130"/>
      <c r="L324" s="166">
        <v>-14704</v>
      </c>
      <c r="M324" s="167">
        <v>169</v>
      </c>
      <c r="N324" s="168">
        <v>21520</v>
      </c>
      <c r="O324" s="168">
        <v>305207</v>
      </c>
      <c r="P324" s="168">
        <v>70265</v>
      </c>
      <c r="Q324" s="168">
        <v>73919</v>
      </c>
      <c r="R324" s="168">
        <v>109859</v>
      </c>
      <c r="S324" s="168">
        <v>121429</v>
      </c>
      <c r="T324" s="156">
        <f t="shared" si="32"/>
        <v>231288</v>
      </c>
    </row>
    <row r="325" spans="1:20" ht="17">
      <c r="A325" s="132" t="s">
        <v>123</v>
      </c>
      <c r="B325" s="132" t="s">
        <v>198</v>
      </c>
      <c r="C325" s="132" t="s">
        <v>201</v>
      </c>
      <c r="D325" s="132">
        <v>0</v>
      </c>
      <c r="E325" s="132">
        <v>9</v>
      </c>
      <c r="F325" s="130">
        <f t="shared" si="33"/>
        <v>-0.32000681395287889</v>
      </c>
      <c r="G325" s="130">
        <f t="shared" si="34"/>
        <v>12.792950564314253</v>
      </c>
      <c r="H325" s="130">
        <f t="shared" si="35"/>
        <v>0.99963856058141698</v>
      </c>
      <c r="I325" s="130">
        <f t="shared" si="36"/>
        <v>-1.8898488120950324E-2</v>
      </c>
      <c r="J325" s="130"/>
      <c r="K325" s="130"/>
      <c r="L325" s="155">
        <v>-24421</v>
      </c>
      <c r="M325" s="167">
        <v>201</v>
      </c>
      <c r="N325" s="156">
        <v>76784</v>
      </c>
      <c r="O325" s="156">
        <v>359673</v>
      </c>
      <c r="P325" s="156">
        <v>76314</v>
      </c>
      <c r="Q325" s="156">
        <f>O325-T325</f>
        <v>130</v>
      </c>
      <c r="R325" s="156">
        <v>254067</v>
      </c>
      <c r="S325" s="156">
        <v>105476</v>
      </c>
      <c r="T325" s="156">
        <f t="shared" si="32"/>
        <v>359543</v>
      </c>
    </row>
    <row r="326" spans="1:20" ht="17">
      <c r="A326" s="132" t="s">
        <v>123</v>
      </c>
      <c r="B326" s="132" t="s">
        <v>198</v>
      </c>
      <c r="C326" s="132" t="s">
        <v>173</v>
      </c>
      <c r="D326" s="132">
        <v>0</v>
      </c>
      <c r="E326" s="132">
        <v>15</v>
      </c>
      <c r="F326" s="130">
        <f t="shared" si="33"/>
        <v>-0.47243649079502209</v>
      </c>
      <c r="G326" s="130">
        <f t="shared" si="34"/>
        <v>12.487703948944798</v>
      </c>
      <c r="H326" s="130">
        <f t="shared" si="35"/>
        <v>0.9518746840314195</v>
      </c>
      <c r="I326" s="130">
        <v>0.19757777758581721</v>
      </c>
      <c r="J326" s="130"/>
      <c r="K326" s="130"/>
      <c r="L326" s="166">
        <v>-36748</v>
      </c>
      <c r="M326" s="167">
        <v>197</v>
      </c>
      <c r="N326" s="168">
        <v>56552</v>
      </c>
      <c r="O326" s="168">
        <v>265058</v>
      </c>
      <c r="P326" s="168">
        <v>77784</v>
      </c>
      <c r="Q326" s="168">
        <v>12756</v>
      </c>
      <c r="R326" s="168">
        <v>91614</v>
      </c>
      <c r="S326" s="168">
        <v>160688</v>
      </c>
      <c r="T326" s="156">
        <f t="shared" si="32"/>
        <v>252302</v>
      </c>
    </row>
    <row r="327" spans="1:20" ht="17">
      <c r="A327" s="132" t="s">
        <v>124</v>
      </c>
      <c r="B327" s="132" t="s">
        <v>198</v>
      </c>
      <c r="C327" s="132" t="s">
        <v>205</v>
      </c>
      <c r="D327" s="132">
        <v>0</v>
      </c>
      <c r="E327" s="132">
        <v>11</v>
      </c>
      <c r="F327" s="130">
        <f t="shared" si="33"/>
        <v>7.7692777290243806E-2</v>
      </c>
      <c r="G327" s="130">
        <f t="shared" si="34"/>
        <v>12.074082921067221</v>
      </c>
      <c r="H327" s="130">
        <f t="shared" si="35"/>
        <v>0.84461687681862274</v>
      </c>
      <c r="I327" s="130">
        <f t="shared" si="36"/>
        <v>0.52035385396272926</v>
      </c>
      <c r="J327" s="130"/>
      <c r="K327" s="130"/>
      <c r="L327" s="166">
        <v>8145</v>
      </c>
      <c r="M327" s="167">
        <v>159</v>
      </c>
      <c r="N327" s="168">
        <v>26649</v>
      </c>
      <c r="O327" s="168">
        <v>175270</v>
      </c>
      <c r="P327" s="168">
        <v>104836</v>
      </c>
      <c r="Q327" s="168">
        <v>27233</v>
      </c>
      <c r="R327" s="168">
        <v>41128</v>
      </c>
      <c r="S327" s="168">
        <v>106908</v>
      </c>
      <c r="T327" s="156">
        <f t="shared" si="32"/>
        <v>148036</v>
      </c>
    </row>
    <row r="328" spans="1:20" ht="17">
      <c r="A328" s="132" t="s">
        <v>124</v>
      </c>
      <c r="B328" s="132" t="s">
        <v>198</v>
      </c>
      <c r="C328" s="132" t="s">
        <v>203</v>
      </c>
      <c r="D328" s="132">
        <v>0</v>
      </c>
      <c r="E328" s="132">
        <v>11</v>
      </c>
      <c r="F328" s="130">
        <f t="shared" si="33"/>
        <v>1.222536436806613E-2</v>
      </c>
      <c r="G328" s="130">
        <f t="shared" si="34"/>
        <v>12.456099578678142</v>
      </c>
      <c r="H328" s="130">
        <f t="shared" si="35"/>
        <v>0.89067489058143701</v>
      </c>
      <c r="I328" s="130">
        <f t="shared" si="36"/>
        <v>-0.43148183264764323</v>
      </c>
      <c r="J328" s="130"/>
      <c r="K328" s="130"/>
      <c r="L328" s="166">
        <v>843</v>
      </c>
      <c r="M328" s="167">
        <v>180</v>
      </c>
      <c r="N328" s="168">
        <v>25930</v>
      </c>
      <c r="O328" s="168">
        <v>256812</v>
      </c>
      <c r="P328" s="168">
        <v>68955</v>
      </c>
      <c r="Q328" s="168">
        <v>28076</v>
      </c>
      <c r="R328" s="168">
        <v>106410</v>
      </c>
      <c r="S328" s="168">
        <v>122326</v>
      </c>
      <c r="T328" s="156">
        <f t="shared" si="32"/>
        <v>228736</v>
      </c>
    </row>
    <row r="329" spans="1:20" ht="17">
      <c r="A329" s="132" t="s">
        <v>124</v>
      </c>
      <c r="B329" s="132" t="s">
        <v>198</v>
      </c>
      <c r="C329" s="132" t="s">
        <v>202</v>
      </c>
      <c r="D329" s="132">
        <v>0</v>
      </c>
      <c r="E329" s="132">
        <v>8</v>
      </c>
      <c r="F329" s="130">
        <f t="shared" si="33"/>
        <v>-1.4395369736744469E-2</v>
      </c>
      <c r="G329" s="130">
        <f t="shared" si="34"/>
        <v>12.404197831202247</v>
      </c>
      <c r="H329" s="130">
        <f t="shared" si="35"/>
        <v>0.89201182825246184</v>
      </c>
      <c r="I329" s="130">
        <f t="shared" si="36"/>
        <v>3.7252101630848432E-2</v>
      </c>
      <c r="J329" s="130"/>
      <c r="K329" s="130"/>
      <c r="L329" s="166">
        <v>-1746</v>
      </c>
      <c r="M329" s="167">
        <v>182</v>
      </c>
      <c r="N329" s="168">
        <v>5893</v>
      </c>
      <c r="O329" s="168">
        <v>243823</v>
      </c>
      <c r="P329" s="168">
        <v>121289</v>
      </c>
      <c r="Q329" s="168">
        <v>26330</v>
      </c>
      <c r="R329" s="168">
        <v>91905</v>
      </c>
      <c r="S329" s="168">
        <v>125588</v>
      </c>
      <c r="T329" s="156">
        <f t="shared" si="32"/>
        <v>217493</v>
      </c>
    </row>
    <row r="330" spans="1:20" ht="17">
      <c r="A330" s="132" t="s">
        <v>124</v>
      </c>
      <c r="B330" s="132" t="s">
        <v>198</v>
      </c>
      <c r="C330" s="132" t="s">
        <v>201</v>
      </c>
      <c r="D330" s="132">
        <v>0</v>
      </c>
      <c r="E330" s="132">
        <v>8</v>
      </c>
      <c r="F330" s="130">
        <f t="shared" si="33"/>
        <v>-0.11845244712784243</v>
      </c>
      <c r="G330" s="130">
        <f t="shared" si="34"/>
        <v>12.31168412969277</v>
      </c>
      <c r="H330" s="130">
        <f t="shared" si="35"/>
        <v>0.94385409262275166</v>
      </c>
      <c r="I330" s="130">
        <f t="shared" si="36"/>
        <v>-0.15868276397962414</v>
      </c>
      <c r="J330" s="130"/>
      <c r="K330" s="130"/>
      <c r="L330" s="166">
        <v>-13851</v>
      </c>
      <c r="M330" s="167">
        <v>181</v>
      </c>
      <c r="N330" s="168">
        <v>40997</v>
      </c>
      <c r="O330" s="168">
        <v>222278</v>
      </c>
      <c r="P330" s="168">
        <v>116933</v>
      </c>
      <c r="Q330" s="168">
        <v>12480</v>
      </c>
      <c r="R330" s="168">
        <v>58908</v>
      </c>
      <c r="S330" s="168">
        <v>150890</v>
      </c>
      <c r="T330" s="156">
        <f t="shared" si="32"/>
        <v>209798</v>
      </c>
    </row>
    <row r="331" spans="1:20" ht="17">
      <c r="A331" s="132" t="s">
        <v>124</v>
      </c>
      <c r="B331" s="132" t="s">
        <v>198</v>
      </c>
      <c r="C331" s="132" t="s">
        <v>173</v>
      </c>
      <c r="D331" s="132">
        <v>0</v>
      </c>
      <c r="E331" s="132">
        <v>11</v>
      </c>
      <c r="F331" s="130">
        <f t="shared" si="33"/>
        <v>9.9576941894264255E-3</v>
      </c>
      <c r="G331" s="130">
        <f t="shared" si="34"/>
        <v>12.388069149500183</v>
      </c>
      <c r="H331" s="130">
        <f t="shared" si="35"/>
        <v>0.88448745842398779</v>
      </c>
      <c r="I331" s="130">
        <v>-8.1396602584224154E-3</v>
      </c>
      <c r="J331" s="130"/>
      <c r="K331" s="130"/>
      <c r="L331" s="166">
        <v>1384</v>
      </c>
      <c r="M331" s="167">
        <v>228</v>
      </c>
      <c r="N331" s="168">
        <v>23893</v>
      </c>
      <c r="O331" s="168">
        <v>239922</v>
      </c>
      <c r="P331" s="168">
        <v>138988</v>
      </c>
      <c r="Q331" s="168">
        <v>27714</v>
      </c>
      <c r="R331" s="168">
        <v>81654</v>
      </c>
      <c r="S331" s="168">
        <v>130554</v>
      </c>
      <c r="T331" s="156">
        <f t="shared" si="32"/>
        <v>212208</v>
      </c>
    </row>
    <row r="332" spans="1:20" ht="17">
      <c r="A332" s="131" t="s">
        <v>126</v>
      </c>
      <c r="B332" s="131" t="s">
        <v>193</v>
      </c>
      <c r="C332" s="131" t="s">
        <v>205</v>
      </c>
      <c r="D332" s="131">
        <v>0</v>
      </c>
      <c r="E332" s="131">
        <v>7</v>
      </c>
      <c r="F332" s="130">
        <f t="shared" si="33"/>
        <v>0.15573110566300433</v>
      </c>
      <c r="G332" s="130">
        <f t="shared" si="34"/>
        <v>12.411215145734831</v>
      </c>
      <c r="H332" s="130">
        <f t="shared" si="35"/>
        <v>0.58880834079986966</v>
      </c>
      <c r="I332" s="130">
        <f t="shared" si="36"/>
        <v>0.15967820061916896</v>
      </c>
      <c r="J332" s="130"/>
      <c r="K332" s="130"/>
      <c r="L332" s="184">
        <v>25726</v>
      </c>
      <c r="M332" s="178">
        <v>432</v>
      </c>
      <c r="N332" s="179">
        <v>1006</v>
      </c>
      <c r="O332" s="179">
        <v>245540</v>
      </c>
      <c r="P332" s="179">
        <v>165195</v>
      </c>
      <c r="Q332" s="179">
        <v>100964</v>
      </c>
      <c r="R332" s="179">
        <v>32212</v>
      </c>
      <c r="S332" s="179">
        <v>112364</v>
      </c>
      <c r="T332" s="139">
        <f t="shared" si="32"/>
        <v>144576</v>
      </c>
    </row>
    <row r="333" spans="1:20" ht="17">
      <c r="A333" s="131" t="s">
        <v>126</v>
      </c>
      <c r="B333" s="131" t="s">
        <v>193</v>
      </c>
      <c r="C333" s="131" t="s">
        <v>203</v>
      </c>
      <c r="D333" s="131">
        <v>0</v>
      </c>
      <c r="E333" s="131">
        <v>6</v>
      </c>
      <c r="F333" s="130">
        <f t="shared" si="33"/>
        <v>1.7381659400908394E-2</v>
      </c>
      <c r="G333" s="130">
        <f t="shared" si="34"/>
        <v>12.481960438099243</v>
      </c>
      <c r="H333" s="130">
        <f t="shared" si="35"/>
        <v>0.61370190483418074</v>
      </c>
      <c r="I333" s="130">
        <f t="shared" si="36"/>
        <v>-6.4927136667979515E-2</v>
      </c>
      <c r="J333" s="130"/>
      <c r="K333" s="130"/>
      <c r="L333" s="184">
        <v>2476</v>
      </c>
      <c r="M333" s="178">
        <v>444</v>
      </c>
      <c r="N333" s="179">
        <v>1141</v>
      </c>
      <c r="O333" s="179">
        <v>263540</v>
      </c>
      <c r="P333" s="179">
        <v>142449</v>
      </c>
      <c r="Q333" s="179">
        <v>101805</v>
      </c>
      <c r="R333" s="179">
        <v>40636</v>
      </c>
      <c r="S333" s="179">
        <v>121099</v>
      </c>
      <c r="T333" s="139">
        <f t="shared" si="32"/>
        <v>161735</v>
      </c>
    </row>
    <row r="334" spans="1:20" ht="17">
      <c r="A334" s="131" t="s">
        <v>126</v>
      </c>
      <c r="B334" s="131" t="s">
        <v>193</v>
      </c>
      <c r="C334" s="131" t="s">
        <v>202</v>
      </c>
      <c r="D334" s="131">
        <v>0</v>
      </c>
      <c r="E334" s="131">
        <v>4</v>
      </c>
      <c r="F334" s="130">
        <f t="shared" si="33"/>
        <v>7.7655244847052649E-3</v>
      </c>
      <c r="G334" s="130">
        <f t="shared" si="34"/>
        <v>12.739051073937297</v>
      </c>
      <c r="H334" s="130">
        <f t="shared" si="35"/>
        <v>0.71140551643192484</v>
      </c>
      <c r="I334" s="130">
        <f t="shared" si="36"/>
        <v>-0.12165083977652086</v>
      </c>
      <c r="J334" s="130"/>
      <c r="K334" s="130"/>
      <c r="L334" s="184">
        <v>1183</v>
      </c>
      <c r="M334" s="178">
        <v>423</v>
      </c>
      <c r="N334" s="179">
        <v>12815</v>
      </c>
      <c r="O334" s="179">
        <v>340800</v>
      </c>
      <c r="P334" s="179">
        <v>152340</v>
      </c>
      <c r="Q334" s="179">
        <v>98353</v>
      </c>
      <c r="R334" s="179">
        <v>78752</v>
      </c>
      <c r="S334" s="179">
        <v>163695</v>
      </c>
      <c r="T334" s="139">
        <f t="shared" si="32"/>
        <v>242447</v>
      </c>
    </row>
    <row r="335" spans="1:20" ht="17">
      <c r="A335" s="131" t="s">
        <v>126</v>
      </c>
      <c r="B335" s="131" t="s">
        <v>193</v>
      </c>
      <c r="C335" s="131" t="s">
        <v>201</v>
      </c>
      <c r="D335" s="131">
        <v>0</v>
      </c>
      <c r="E335" s="131">
        <v>4</v>
      </c>
      <c r="F335" s="130">
        <f t="shared" si="33"/>
        <v>-0.23846424391284543</v>
      </c>
      <c r="G335" s="130">
        <f t="shared" si="34"/>
        <v>12.482582540978704</v>
      </c>
      <c r="H335" s="130">
        <f t="shared" si="35"/>
        <v>0.78573703849770959</v>
      </c>
      <c r="I335" s="130">
        <f t="shared" si="36"/>
        <v>-0.55051663414216967</v>
      </c>
      <c r="J335" s="130"/>
      <c r="K335" s="130"/>
      <c r="L335" s="184">
        <v>-41359</v>
      </c>
      <c r="M335" s="178">
        <v>397</v>
      </c>
      <c r="N335" s="179">
        <v>12949</v>
      </c>
      <c r="O335" s="179">
        <v>263704</v>
      </c>
      <c r="P335" s="179">
        <v>173439</v>
      </c>
      <c r="Q335" s="179">
        <v>56502</v>
      </c>
      <c r="R335" s="179">
        <v>61193</v>
      </c>
      <c r="S335" s="179">
        <v>146009</v>
      </c>
      <c r="T335" s="139">
        <f t="shared" si="32"/>
        <v>207202</v>
      </c>
    </row>
    <row r="336" spans="1:20" ht="17">
      <c r="A336" s="131" t="s">
        <v>126</v>
      </c>
      <c r="B336" s="131" t="s">
        <v>193</v>
      </c>
      <c r="C336" s="131" t="s">
        <v>173</v>
      </c>
      <c r="D336" s="131">
        <v>0</v>
      </c>
      <c r="E336" s="131">
        <v>4</v>
      </c>
      <c r="F336" s="130">
        <f t="shared" si="33"/>
        <v>1.4199340180323069E-2</v>
      </c>
      <c r="G336" s="130">
        <f t="shared" si="34"/>
        <v>13.660918947608103</v>
      </c>
      <c r="H336" s="130">
        <f t="shared" si="35"/>
        <v>0.86124199751390407</v>
      </c>
      <c r="I336" s="130">
        <v>-0.14435410249187527</v>
      </c>
      <c r="J336" s="130"/>
      <c r="K336" s="130"/>
      <c r="L336" s="184">
        <v>5479</v>
      </c>
      <c r="M336" s="178">
        <v>524</v>
      </c>
      <c r="N336" s="179">
        <v>95635</v>
      </c>
      <c r="O336" s="179">
        <v>856765</v>
      </c>
      <c r="P336" s="179">
        <v>385863</v>
      </c>
      <c r="Q336" s="179">
        <f>O336-T336</f>
        <v>118883</v>
      </c>
      <c r="R336" s="179">
        <v>478007</v>
      </c>
      <c r="S336" s="179">
        <v>259875</v>
      </c>
      <c r="T336" s="139">
        <f t="shared" si="32"/>
        <v>737882</v>
      </c>
    </row>
    <row r="337" spans="1:20" ht="17">
      <c r="A337" s="130" t="s">
        <v>129</v>
      </c>
      <c r="B337" s="130" t="s">
        <v>172</v>
      </c>
      <c r="C337" s="130" t="s">
        <v>205</v>
      </c>
      <c r="D337" s="130">
        <v>0</v>
      </c>
      <c r="E337" s="130">
        <v>17</v>
      </c>
      <c r="F337" s="130">
        <f t="shared" si="33"/>
        <v>0.18651180306897727</v>
      </c>
      <c r="G337" s="130">
        <f t="shared" si="34"/>
        <v>12.569437164286198</v>
      </c>
      <c r="H337" s="130">
        <f t="shared" si="35"/>
        <v>0.63194637592479275</v>
      </c>
      <c r="I337" s="130">
        <f t="shared" si="36"/>
        <v>3.7316533245695081E-2</v>
      </c>
      <c r="J337" s="130"/>
      <c r="K337" s="130"/>
      <c r="L337" s="170">
        <v>31201</v>
      </c>
      <c r="M337" s="171">
        <v>385</v>
      </c>
      <c r="N337" s="172">
        <v>46366</v>
      </c>
      <c r="O337" s="172">
        <v>287632</v>
      </c>
      <c r="P337" s="172">
        <v>167287</v>
      </c>
      <c r="Q337" s="172">
        <v>105864</v>
      </c>
      <c r="R337" s="172">
        <v>57193</v>
      </c>
      <c r="S337" s="172">
        <v>124575</v>
      </c>
      <c r="T337" s="148">
        <f t="shared" si="32"/>
        <v>181768</v>
      </c>
    </row>
    <row r="338" spans="1:20" ht="17">
      <c r="A338" s="130" t="s">
        <v>129</v>
      </c>
      <c r="B338" s="130" t="s">
        <v>172</v>
      </c>
      <c r="C338" s="130" t="s">
        <v>203</v>
      </c>
      <c r="D338" s="130">
        <v>0</v>
      </c>
      <c r="E338" s="130">
        <v>16</v>
      </c>
      <c r="F338" s="130">
        <f t="shared" si="33"/>
        <v>-0.23668528979531095</v>
      </c>
      <c r="G338" s="130">
        <f t="shared" si="34"/>
        <v>12.496534600525615</v>
      </c>
      <c r="H338" s="130">
        <f t="shared" si="35"/>
        <v>0.75113029105228324</v>
      </c>
      <c r="I338" s="130">
        <f t="shared" si="36"/>
        <v>0.16359057981471326</v>
      </c>
      <c r="J338" s="130"/>
      <c r="K338" s="130"/>
      <c r="L338" s="170">
        <v>-38170</v>
      </c>
      <c r="M338" s="171">
        <v>385</v>
      </c>
      <c r="N338" s="172">
        <v>48907</v>
      </c>
      <c r="O338" s="172">
        <v>267409</v>
      </c>
      <c r="P338" s="172">
        <v>161269</v>
      </c>
      <c r="Q338" s="172">
        <v>66550</v>
      </c>
      <c r="R338" s="172">
        <v>58405</v>
      </c>
      <c r="S338" s="172">
        <v>142454</v>
      </c>
      <c r="T338" s="148">
        <f t="shared" si="32"/>
        <v>200859</v>
      </c>
    </row>
    <row r="339" spans="1:20" ht="17">
      <c r="A339" s="130" t="s">
        <v>129</v>
      </c>
      <c r="B339" s="130" t="s">
        <v>172</v>
      </c>
      <c r="C339" s="130" t="s">
        <v>202</v>
      </c>
      <c r="D339" s="130">
        <v>0</v>
      </c>
      <c r="E339" s="130">
        <v>11</v>
      </c>
      <c r="F339" s="130">
        <f t="shared" si="33"/>
        <v>-0.49050477647262547</v>
      </c>
      <c r="G339" s="130">
        <f t="shared" si="34"/>
        <v>12.48410581669433</v>
      </c>
      <c r="H339" s="130">
        <f t="shared" si="35"/>
        <v>1.4455445919441436</v>
      </c>
      <c r="I339" s="130">
        <f t="shared" si="36"/>
        <v>-0.2439297150743818</v>
      </c>
      <c r="J339" s="130"/>
      <c r="K339" s="130"/>
      <c r="L339" s="170">
        <v>-67982</v>
      </c>
      <c r="M339" s="171">
        <v>431</v>
      </c>
      <c r="N339" s="172">
        <v>106340</v>
      </c>
      <c r="O339" s="172">
        <v>264106</v>
      </c>
      <c r="P339" s="172">
        <v>138596</v>
      </c>
      <c r="Q339" s="172">
        <v>13953</v>
      </c>
      <c r="R339" s="172">
        <v>33545</v>
      </c>
      <c r="S339" s="172">
        <v>348232</v>
      </c>
      <c r="T339" s="172">
        <f t="shared" si="32"/>
        <v>381777</v>
      </c>
    </row>
    <row r="340" spans="1:20" ht="17">
      <c r="A340" s="130" t="s">
        <v>129</v>
      </c>
      <c r="B340" s="130" t="s">
        <v>172</v>
      </c>
      <c r="C340" s="130" t="s">
        <v>201</v>
      </c>
      <c r="D340" s="130">
        <v>0</v>
      </c>
      <c r="E340" s="130">
        <v>15</v>
      </c>
      <c r="F340" s="130">
        <f t="shared" si="33"/>
        <v>-6.4120538320122628E-2</v>
      </c>
      <c r="G340" s="130">
        <f t="shared" si="34"/>
        <v>12.253714531632998</v>
      </c>
      <c r="H340" s="130">
        <f t="shared" si="35"/>
        <v>0.98522590210670336</v>
      </c>
      <c r="I340" s="130">
        <f t="shared" si="36"/>
        <v>4.3912300683371298E-2</v>
      </c>
      <c r="J340" s="130"/>
      <c r="K340" s="130"/>
      <c r="L340" s="170">
        <v>-11754</v>
      </c>
      <c r="M340" s="171">
        <v>385</v>
      </c>
      <c r="N340" s="172">
        <v>103501</v>
      </c>
      <c r="O340" s="172">
        <v>209759</v>
      </c>
      <c r="P340" s="172">
        <v>183311</v>
      </c>
      <c r="Q340" s="172">
        <v>3099</v>
      </c>
      <c r="R340" s="172">
        <v>31284</v>
      </c>
      <c r="S340" s="172">
        <v>175376</v>
      </c>
      <c r="T340" s="148">
        <f t="shared" si="32"/>
        <v>206660</v>
      </c>
    </row>
    <row r="341" spans="1:20">
      <c r="A341" s="130" t="s">
        <v>129</v>
      </c>
      <c r="B341" s="130" t="s">
        <v>172</v>
      </c>
      <c r="C341" s="130" t="s">
        <v>173</v>
      </c>
      <c r="D341" s="130">
        <v>0</v>
      </c>
      <c r="E341" s="130">
        <v>15</v>
      </c>
      <c r="F341" s="130">
        <f t="shared" si="33"/>
        <v>-2.8929384965831435E-2</v>
      </c>
      <c r="G341" s="130">
        <f t="shared" si="34"/>
        <v>12.212914188710526</v>
      </c>
      <c r="H341" s="130">
        <f t="shared" si="35"/>
        <v>1.0098473976153706</v>
      </c>
      <c r="I341" s="130">
        <v>2.2242466734946099E-4</v>
      </c>
      <c r="J341" s="130"/>
      <c r="K341" s="130"/>
      <c r="L341" s="154">
        <v>-5080</v>
      </c>
      <c r="M341" s="130">
        <v>408</v>
      </c>
      <c r="N341" s="148">
        <v>91980</v>
      </c>
      <c r="O341" s="148">
        <v>201373</v>
      </c>
      <c r="P341" s="148">
        <v>175600</v>
      </c>
      <c r="Q341" s="148">
        <v>-1983</v>
      </c>
      <c r="R341" s="148">
        <v>41669</v>
      </c>
      <c r="S341" s="148">
        <v>161687</v>
      </c>
      <c r="T341" s="148">
        <f t="shared" si="32"/>
        <v>203356</v>
      </c>
    </row>
    <row r="342" spans="1:20" ht="17">
      <c r="A342" s="132" t="s">
        <v>131</v>
      </c>
      <c r="B342" s="132" t="s">
        <v>198</v>
      </c>
      <c r="C342" s="132" t="s">
        <v>201</v>
      </c>
      <c r="D342" s="132">
        <v>0</v>
      </c>
      <c r="E342" s="132">
        <v>15</v>
      </c>
      <c r="F342" s="130">
        <f t="shared" si="33"/>
        <v>-0.42066759250074398</v>
      </c>
      <c r="G342" s="130">
        <f t="shared" si="34"/>
        <v>12.024400877577715</v>
      </c>
      <c r="H342" s="130">
        <f t="shared" si="35"/>
        <v>0.76378354069854593</v>
      </c>
      <c r="I342" s="130">
        <f t="shared" si="36"/>
        <v>3.2096237522395703E-2</v>
      </c>
      <c r="J342" s="130"/>
      <c r="K342" s="130"/>
      <c r="L342" s="155">
        <v>-16963</v>
      </c>
      <c r="M342" s="167">
        <v>94</v>
      </c>
      <c r="N342" s="156">
        <v>124</v>
      </c>
      <c r="O342" s="156">
        <v>166775</v>
      </c>
      <c r="P342" s="156">
        <v>40324</v>
      </c>
      <c r="Q342" s="156">
        <f>O342-T342</f>
        <v>39395</v>
      </c>
      <c r="R342" s="156">
        <v>28890</v>
      </c>
      <c r="S342" s="156">
        <v>98490</v>
      </c>
      <c r="T342" s="156">
        <f t="shared" si="32"/>
        <v>127380</v>
      </c>
    </row>
    <row r="343" spans="1:20" ht="17">
      <c r="A343" s="132" t="s">
        <v>131</v>
      </c>
      <c r="B343" s="132" t="s">
        <v>198</v>
      </c>
      <c r="C343" s="132" t="s">
        <v>173</v>
      </c>
      <c r="D343" s="132">
        <v>0</v>
      </c>
      <c r="E343" s="132">
        <v>16</v>
      </c>
      <c r="F343" s="130">
        <f t="shared" si="33"/>
        <v>-0.45328896851804451</v>
      </c>
      <c r="G343" s="130">
        <f t="shared" si="34"/>
        <v>12.090038704315873</v>
      </c>
      <c r="H343" s="130">
        <f t="shared" si="35"/>
        <v>0.76115874646946191</v>
      </c>
      <c r="I343" s="130">
        <v>9.3264143999999993E-2</v>
      </c>
      <c r="J343" s="130"/>
      <c r="K343" s="130"/>
      <c r="L343" s="155">
        <v>-17710</v>
      </c>
      <c r="M343" s="167">
        <v>134</v>
      </c>
      <c r="N343" s="156">
        <v>10344</v>
      </c>
      <c r="O343" s="156">
        <v>178089</v>
      </c>
      <c r="P343" s="156">
        <v>39070</v>
      </c>
      <c r="Q343" s="156">
        <f>O343-T343</f>
        <v>42535</v>
      </c>
      <c r="R343" s="156">
        <v>97889</v>
      </c>
      <c r="S343" s="156">
        <v>37665</v>
      </c>
      <c r="T343" s="156">
        <f t="shared" si="32"/>
        <v>135554</v>
      </c>
    </row>
    <row r="344" spans="1:20">
      <c r="A344" s="134" t="s">
        <v>133</v>
      </c>
      <c r="B344" s="134" t="s">
        <v>200</v>
      </c>
      <c r="C344" s="134" t="s">
        <v>202</v>
      </c>
      <c r="D344" s="134">
        <v>0</v>
      </c>
      <c r="E344" s="134">
        <v>14</v>
      </c>
      <c r="F344" s="130">
        <f t="shared" si="33"/>
        <v>0.10260095344924285</v>
      </c>
      <c r="G344" s="130">
        <f t="shared" si="34"/>
        <v>9.7737204944770628</v>
      </c>
      <c r="H344" s="130">
        <f t="shared" si="35"/>
        <v>0.77923260844813846</v>
      </c>
      <c r="I344" s="130">
        <f t="shared" si="36"/>
        <v>4.1319900715432907E-2</v>
      </c>
      <c r="J344" s="130"/>
      <c r="K344" s="130"/>
      <c r="L344" s="152">
        <v>2927</v>
      </c>
      <c r="M344" s="196"/>
      <c r="N344" s="153"/>
      <c r="O344" s="52">
        <v>17566</v>
      </c>
      <c r="P344" s="52">
        <v>28528</v>
      </c>
      <c r="Q344" s="52">
        <v>3878</v>
      </c>
      <c r="R344" s="52"/>
      <c r="S344" s="52"/>
      <c r="T344" s="52">
        <v>13688</v>
      </c>
    </row>
    <row r="345" spans="1:20">
      <c r="A345" s="134" t="s">
        <v>133</v>
      </c>
      <c r="B345" s="134" t="s">
        <v>200</v>
      </c>
      <c r="C345" s="134" t="s">
        <v>201</v>
      </c>
      <c r="D345" s="134">
        <v>0</v>
      </c>
      <c r="E345" s="134">
        <v>17</v>
      </c>
      <c r="F345" s="130">
        <f t="shared" si="33"/>
        <v>-0.16527960286173163</v>
      </c>
      <c r="G345" s="130">
        <f t="shared" si="34"/>
        <v>10.623008857981173</v>
      </c>
      <c r="H345" s="130">
        <f t="shared" si="35"/>
        <v>1.0210377657113638</v>
      </c>
      <c r="I345" s="130">
        <f t="shared" si="36"/>
        <v>-0.38244443442585996</v>
      </c>
      <c r="J345" s="130"/>
      <c r="K345" s="130"/>
      <c r="L345" s="152">
        <v>-4528</v>
      </c>
      <c r="M345" s="134"/>
      <c r="N345" s="197"/>
      <c r="O345" s="52">
        <v>41069</v>
      </c>
      <c r="P345" s="52">
        <v>27396</v>
      </c>
      <c r="Q345" s="52">
        <v>-864</v>
      </c>
      <c r="R345" s="52"/>
      <c r="S345" s="52"/>
      <c r="T345" s="52">
        <v>41933</v>
      </c>
    </row>
    <row r="346" spans="1:20">
      <c r="A346" s="134" t="s">
        <v>133</v>
      </c>
      <c r="B346" s="134" t="s">
        <v>200</v>
      </c>
      <c r="C346" s="134" t="s">
        <v>173</v>
      </c>
      <c r="D346" s="134">
        <v>0</v>
      </c>
      <c r="E346" s="134">
        <v>11</v>
      </c>
      <c r="F346" s="130">
        <f t="shared" si="33"/>
        <v>0.27530318741265047</v>
      </c>
      <c r="G346" s="130">
        <f t="shared" si="34"/>
        <v>10.753510268558554</v>
      </c>
      <c r="H346" s="130">
        <f t="shared" si="35"/>
        <v>0.76176432876009748</v>
      </c>
      <c r="I346" s="130">
        <v>-0.17056226685521353</v>
      </c>
      <c r="J346" s="130"/>
      <c r="K346" s="130"/>
      <c r="L346" s="152">
        <v>12213</v>
      </c>
      <c r="M346" s="196"/>
      <c r="N346" s="52"/>
      <c r="O346" s="52">
        <v>46794</v>
      </c>
      <c r="P346" s="52">
        <v>44362</v>
      </c>
      <c r="Q346" s="52">
        <v>11148</v>
      </c>
      <c r="R346" s="52"/>
      <c r="S346" s="52"/>
      <c r="T346" s="52">
        <v>35646</v>
      </c>
    </row>
    <row r="347" spans="1:20">
      <c r="A347" s="134" t="s">
        <v>134</v>
      </c>
      <c r="B347" s="134" t="s">
        <v>200</v>
      </c>
      <c r="C347" s="134" t="s">
        <v>203</v>
      </c>
      <c r="D347" s="134">
        <v>0</v>
      </c>
      <c r="E347" s="134">
        <v>8</v>
      </c>
      <c r="F347" s="130">
        <f t="shared" si="33"/>
        <v>2.4853413121636949E-3</v>
      </c>
      <c r="G347" s="130">
        <f t="shared" si="34"/>
        <v>10.527070269710164</v>
      </c>
      <c r="H347" s="130">
        <f t="shared" si="35"/>
        <v>0.75594982847341341</v>
      </c>
      <c r="I347" s="130">
        <f t="shared" si="36"/>
        <v>0.21267008046817848</v>
      </c>
      <c r="J347" s="130"/>
      <c r="K347" s="130"/>
      <c r="L347" s="152">
        <v>103</v>
      </c>
      <c r="M347" s="196"/>
      <c r="N347" s="153"/>
      <c r="O347" s="52">
        <v>37312</v>
      </c>
      <c r="P347" s="52">
        <v>41443</v>
      </c>
      <c r="Q347" s="52">
        <v>9106</v>
      </c>
      <c r="R347" s="52"/>
      <c r="S347" s="52"/>
      <c r="T347" s="52">
        <v>28206</v>
      </c>
    </row>
    <row r="348" spans="1:20">
      <c r="A348" s="134" t="s">
        <v>134</v>
      </c>
      <c r="B348" s="134" t="s">
        <v>200</v>
      </c>
      <c r="C348" s="134" t="s">
        <v>202</v>
      </c>
      <c r="D348" s="134">
        <v>0</v>
      </c>
      <c r="E348" s="134">
        <v>6</v>
      </c>
      <c r="F348" s="130">
        <f t="shared" si="33"/>
        <v>5.7468910021945867E-2</v>
      </c>
      <c r="G348" s="130">
        <f t="shared" si="34"/>
        <v>11.089255652207218</v>
      </c>
      <c r="H348" s="130">
        <f t="shared" si="35"/>
        <v>0.83485579860686787</v>
      </c>
      <c r="I348" s="130">
        <f t="shared" si="36"/>
        <v>-0.15290997422169345</v>
      </c>
      <c r="J348" s="130"/>
      <c r="K348" s="130"/>
      <c r="L348" s="152">
        <v>1964</v>
      </c>
      <c r="M348" s="196"/>
      <c r="N348" s="153"/>
      <c r="O348" s="52">
        <v>65464</v>
      </c>
      <c r="P348" s="52">
        <v>34175</v>
      </c>
      <c r="Q348" s="52">
        <v>54960</v>
      </c>
      <c r="R348" s="52"/>
      <c r="S348" s="52"/>
      <c r="T348" s="52">
        <v>54653</v>
      </c>
    </row>
    <row r="349" spans="1:20">
      <c r="A349" s="134" t="s">
        <v>134</v>
      </c>
      <c r="B349" s="134" t="s">
        <v>200</v>
      </c>
      <c r="C349" s="134" t="s">
        <v>201</v>
      </c>
      <c r="D349" s="134">
        <v>0</v>
      </c>
      <c r="E349" s="134">
        <v>14</v>
      </c>
      <c r="F349" s="130">
        <f t="shared" si="33"/>
        <v>5.4952409280190365E-2</v>
      </c>
      <c r="G349" s="130">
        <f t="shared" si="34"/>
        <v>11.127483548067531</v>
      </c>
      <c r="H349" s="130">
        <f t="shared" si="35"/>
        <v>0.78700286701462907</v>
      </c>
      <c r="I349" s="130">
        <f t="shared" si="36"/>
        <v>0.10786467486818981</v>
      </c>
      <c r="J349" s="130"/>
      <c r="K349" s="130"/>
      <c r="L349" s="152">
        <v>2217</v>
      </c>
      <c r="M349" s="134"/>
      <c r="N349" s="153"/>
      <c r="O349" s="52">
        <v>68015</v>
      </c>
      <c r="P349" s="52">
        <v>40344</v>
      </c>
      <c r="Q349" s="52">
        <v>14487</v>
      </c>
      <c r="R349" s="52"/>
      <c r="S349" s="52"/>
      <c r="T349" s="52">
        <v>53528</v>
      </c>
    </row>
    <row r="350" spans="1:20">
      <c r="A350" s="134" t="s">
        <v>134</v>
      </c>
      <c r="B350" s="134" t="s">
        <v>200</v>
      </c>
      <c r="C350" s="134" t="s">
        <v>173</v>
      </c>
      <c r="D350" s="134">
        <v>0</v>
      </c>
      <c r="E350" s="134">
        <v>12</v>
      </c>
      <c r="F350" s="130">
        <f t="shared" si="33"/>
        <v>3.108523725834798E-2</v>
      </c>
      <c r="G350" s="130">
        <f t="shared" si="34"/>
        <v>11.121156139991051</v>
      </c>
      <c r="H350" s="130">
        <f t="shared" si="35"/>
        <v>0.79121415677803097</v>
      </c>
      <c r="I350" s="130">
        <v>5.5874927038224942E-2</v>
      </c>
      <c r="J350" s="130"/>
      <c r="K350" s="130"/>
      <c r="L350" s="152">
        <v>1132</v>
      </c>
      <c r="M350" s="134"/>
      <c r="N350" s="52"/>
      <c r="O350" s="52">
        <v>67586</v>
      </c>
      <c r="P350" s="52">
        <v>36416</v>
      </c>
      <c r="Q350" s="52">
        <v>14111</v>
      </c>
      <c r="R350" s="52"/>
      <c r="S350" s="52"/>
      <c r="T350" s="52">
        <v>53475</v>
      </c>
    </row>
    <row r="351" spans="1:20" ht="17">
      <c r="A351" s="134" t="s">
        <v>135</v>
      </c>
      <c r="B351" s="134" t="s">
        <v>200</v>
      </c>
      <c r="C351" s="134" t="s">
        <v>205</v>
      </c>
      <c r="D351" s="134">
        <v>0</v>
      </c>
      <c r="E351" s="134">
        <v>5</v>
      </c>
      <c r="F351" s="130">
        <f t="shared" si="33"/>
        <v>8.5934025203854708E-2</v>
      </c>
      <c r="G351" s="130">
        <f t="shared" si="34"/>
        <v>11.304769043464267</v>
      </c>
      <c r="H351" s="130">
        <f t="shared" si="35"/>
        <v>0.78372820411782096</v>
      </c>
      <c r="I351" s="130">
        <f t="shared" si="36"/>
        <v>-0.2890083537565552</v>
      </c>
      <c r="J351" s="130"/>
      <c r="K351" s="130"/>
      <c r="L351" s="176">
        <v>4637</v>
      </c>
      <c r="M351" s="169" t="s">
        <v>197</v>
      </c>
      <c r="N351" s="175" t="s">
        <v>197</v>
      </c>
      <c r="O351" s="175">
        <v>81208</v>
      </c>
      <c r="P351" s="175">
        <v>53960</v>
      </c>
      <c r="Q351" s="175">
        <v>17563</v>
      </c>
      <c r="R351" s="175" t="s">
        <v>197</v>
      </c>
      <c r="S351" s="175" t="s">
        <v>197</v>
      </c>
      <c r="T351" s="52">
        <v>63645</v>
      </c>
    </row>
    <row r="352" spans="1:20" ht="17">
      <c r="A352" s="134" t="s">
        <v>135</v>
      </c>
      <c r="B352" s="134" t="s">
        <v>200</v>
      </c>
      <c r="C352" s="134" t="s">
        <v>203</v>
      </c>
      <c r="D352" s="134">
        <v>0</v>
      </c>
      <c r="E352" s="134">
        <v>10</v>
      </c>
      <c r="F352" s="130">
        <f t="shared" si="33"/>
        <v>0.11649142224681792</v>
      </c>
      <c r="G352" s="130">
        <f t="shared" si="34"/>
        <v>11.946232692306483</v>
      </c>
      <c r="H352" s="130">
        <f t="shared" si="35"/>
        <v>0.79404155995720815</v>
      </c>
      <c r="I352" s="130">
        <f t="shared" si="36"/>
        <v>0.24003725307582963</v>
      </c>
      <c r="J352" s="130"/>
      <c r="K352" s="130"/>
      <c r="L352" s="176">
        <v>8841</v>
      </c>
      <c r="M352" s="169">
        <v>208</v>
      </c>
      <c r="N352" s="175">
        <v>43160</v>
      </c>
      <c r="O352" s="175">
        <v>154235</v>
      </c>
      <c r="P352" s="175">
        <v>75894</v>
      </c>
      <c r="Q352" s="175">
        <v>31766</v>
      </c>
      <c r="R352" s="175">
        <v>11501</v>
      </c>
      <c r="S352" s="175">
        <v>110968</v>
      </c>
      <c r="T352" s="52">
        <v>122469</v>
      </c>
    </row>
    <row r="353" spans="1:20" ht="17">
      <c r="A353" s="134" t="s">
        <v>135</v>
      </c>
      <c r="B353" s="134" t="s">
        <v>200</v>
      </c>
      <c r="C353" s="134" t="s">
        <v>202</v>
      </c>
      <c r="D353" s="134">
        <v>0</v>
      </c>
      <c r="E353" s="134">
        <v>3</v>
      </c>
      <c r="F353" s="130">
        <f t="shared" si="33"/>
        <v>-3.1616097250134798E-2</v>
      </c>
      <c r="G353" s="130">
        <f t="shared" si="34"/>
        <v>11.775674270876797</v>
      </c>
      <c r="H353" s="130">
        <f t="shared" si="35"/>
        <v>0.88771241830065362</v>
      </c>
      <c r="I353" s="130">
        <f t="shared" si="36"/>
        <v>-0.24894157493649449</v>
      </c>
      <c r="J353" s="130"/>
      <c r="K353" s="130"/>
      <c r="L353" s="176">
        <v>-1935</v>
      </c>
      <c r="M353" s="169" t="s">
        <v>197</v>
      </c>
      <c r="N353" s="175" t="s">
        <v>197</v>
      </c>
      <c r="O353" s="175">
        <v>130050</v>
      </c>
      <c r="P353" s="175">
        <v>61203</v>
      </c>
      <c r="Q353" s="175">
        <v>14603</v>
      </c>
      <c r="R353" s="175" t="s">
        <v>197</v>
      </c>
      <c r="S353" s="175" t="s">
        <v>197</v>
      </c>
      <c r="T353" s="52">
        <v>115447</v>
      </c>
    </row>
    <row r="354" spans="1:20" ht="17">
      <c r="A354" s="134" t="s">
        <v>135</v>
      </c>
      <c r="B354" s="134" t="s">
        <v>200</v>
      </c>
      <c r="C354" s="134" t="s">
        <v>201</v>
      </c>
      <c r="D354" s="134">
        <v>0</v>
      </c>
      <c r="E354" s="134">
        <v>6</v>
      </c>
      <c r="F354" s="130">
        <f t="shared" si="33"/>
        <v>-0.11253052559241125</v>
      </c>
      <c r="G354" s="130">
        <f t="shared" si="34"/>
        <v>12.524402732641466</v>
      </c>
      <c r="H354" s="130">
        <f t="shared" si="35"/>
        <v>1.015343715222973</v>
      </c>
      <c r="I354" s="130">
        <f t="shared" si="36"/>
        <v>-2.4048768219217458E-2</v>
      </c>
      <c r="J354" s="130"/>
      <c r="K354" s="130"/>
      <c r="L354" s="176">
        <v>-9170</v>
      </c>
      <c r="M354" s="169">
        <v>221</v>
      </c>
      <c r="N354" s="175">
        <v>152653</v>
      </c>
      <c r="O354" s="175">
        <v>274966</v>
      </c>
      <c r="P354" s="175">
        <v>81489</v>
      </c>
      <c r="Q354" s="175">
        <v>-4219</v>
      </c>
      <c r="R354" s="175">
        <v>14389</v>
      </c>
      <c r="S354" s="175">
        <v>264795</v>
      </c>
      <c r="T354" s="52">
        <v>279185</v>
      </c>
    </row>
    <row r="355" spans="1:20" ht="17">
      <c r="A355" s="134" t="s">
        <v>135</v>
      </c>
      <c r="B355" s="134" t="s">
        <v>200</v>
      </c>
      <c r="C355" s="134" t="s">
        <v>173</v>
      </c>
      <c r="D355" s="134">
        <v>0</v>
      </c>
      <c r="E355" s="134">
        <v>4</v>
      </c>
      <c r="F355" s="130">
        <f t="shared" si="33"/>
        <v>-0.14623279878318982</v>
      </c>
      <c r="G355" s="130">
        <f t="shared" si="34"/>
        <v>12.301369188877887</v>
      </c>
      <c r="H355" s="130">
        <f t="shared" si="35"/>
        <v>0.78349250217048416</v>
      </c>
      <c r="I355" s="130">
        <v>-8.0490360959109386E-2</v>
      </c>
      <c r="J355" s="130"/>
      <c r="K355" s="130"/>
      <c r="L355" s="176">
        <v>-12210</v>
      </c>
      <c r="M355" s="169" t="s">
        <v>197</v>
      </c>
      <c r="N355" s="175" t="s">
        <v>197</v>
      </c>
      <c r="O355" s="175">
        <v>219997</v>
      </c>
      <c r="P355" s="175">
        <v>83497</v>
      </c>
      <c r="Q355" s="175">
        <v>47631</v>
      </c>
      <c r="R355" s="175" t="s">
        <v>197</v>
      </c>
      <c r="S355" s="175" t="s">
        <v>197</v>
      </c>
      <c r="T355" s="52">
        <v>172366</v>
      </c>
    </row>
    <row r="356" spans="1:20" ht="17">
      <c r="A356" s="132" t="s">
        <v>139</v>
      </c>
      <c r="B356" s="132" t="s">
        <v>198</v>
      </c>
      <c r="C356" s="132" t="s">
        <v>205</v>
      </c>
      <c r="D356" s="132">
        <v>0</v>
      </c>
      <c r="E356" s="132">
        <v>9</v>
      </c>
      <c r="F356" s="130">
        <f t="shared" si="33"/>
        <v>-0.13280477847965277</v>
      </c>
      <c r="G356" s="130">
        <f t="shared" si="34"/>
        <v>11.904460667544894</v>
      </c>
      <c r="H356" s="130">
        <f t="shared" si="35"/>
        <v>0.6740172384654386</v>
      </c>
      <c r="I356" s="130">
        <f t="shared" si="36"/>
        <v>-3.3726760300208651E-2</v>
      </c>
      <c r="J356" s="130"/>
      <c r="K356" s="130"/>
      <c r="L356" s="166">
        <v>-12362</v>
      </c>
      <c r="M356" s="167">
        <v>148</v>
      </c>
      <c r="N356" s="168">
        <v>0</v>
      </c>
      <c r="O356" s="168">
        <v>147925</v>
      </c>
      <c r="P356" s="168">
        <v>93084</v>
      </c>
      <c r="Q356" s="168">
        <v>48221</v>
      </c>
      <c r="R356" s="168">
        <v>34112</v>
      </c>
      <c r="S356" s="168">
        <v>65592</v>
      </c>
      <c r="T356" s="156">
        <f t="shared" ref="T356:T365" si="37">R356+S356</f>
        <v>99704</v>
      </c>
    </row>
    <row r="357" spans="1:20" ht="17">
      <c r="A357" s="132" t="s">
        <v>139</v>
      </c>
      <c r="B357" s="132" t="s">
        <v>198</v>
      </c>
      <c r="C357" s="132" t="s">
        <v>203</v>
      </c>
      <c r="D357" s="132">
        <v>0</v>
      </c>
      <c r="E357" s="132">
        <v>7</v>
      </c>
      <c r="F357" s="130">
        <f t="shared" si="33"/>
        <v>-0.14502818348852417</v>
      </c>
      <c r="G357" s="130">
        <f t="shared" si="34"/>
        <v>11.857557179470644</v>
      </c>
      <c r="H357" s="130">
        <f t="shared" si="35"/>
        <v>0.75734517913947874</v>
      </c>
      <c r="I357" s="130">
        <f t="shared" si="36"/>
        <v>0.19577711299512171</v>
      </c>
      <c r="J357" s="130"/>
      <c r="K357" s="130"/>
      <c r="L357" s="166">
        <v>-13971</v>
      </c>
      <c r="M357" s="167">
        <v>167</v>
      </c>
      <c r="N357" s="168">
        <v>0</v>
      </c>
      <c r="O357" s="168">
        <v>141147</v>
      </c>
      <c r="P357" s="168">
        <v>96333</v>
      </c>
      <c r="Q357" s="168">
        <v>34249</v>
      </c>
      <c r="R357" s="168">
        <v>33882</v>
      </c>
      <c r="S357" s="168">
        <v>73015</v>
      </c>
      <c r="T357" s="156">
        <f t="shared" si="37"/>
        <v>106897</v>
      </c>
    </row>
    <row r="358" spans="1:20" ht="17">
      <c r="A358" s="132" t="s">
        <v>139</v>
      </c>
      <c r="B358" s="132" t="s">
        <v>198</v>
      </c>
      <c r="C358" s="132" t="s">
        <v>202</v>
      </c>
      <c r="D358" s="132">
        <v>0</v>
      </c>
      <c r="E358" s="132">
        <v>16</v>
      </c>
      <c r="F358" s="130">
        <f t="shared" si="33"/>
        <v>-0.23671503581137274</v>
      </c>
      <c r="G358" s="130">
        <f t="shared" si="34"/>
        <v>12.253714531632998</v>
      </c>
      <c r="H358" s="130">
        <f t="shared" si="35"/>
        <v>0.65204830305255079</v>
      </c>
      <c r="I358" s="130">
        <f t="shared" si="36"/>
        <v>-3.7709930958694668E-2</v>
      </c>
      <c r="J358" s="130"/>
      <c r="K358" s="130"/>
      <c r="L358" s="166">
        <v>-19070</v>
      </c>
      <c r="M358" s="167">
        <v>166</v>
      </c>
      <c r="N358" s="168">
        <v>0</v>
      </c>
      <c r="O358" s="168">
        <v>209759</v>
      </c>
      <c r="P358" s="168">
        <v>80561</v>
      </c>
      <c r="Q358" s="168">
        <v>72987</v>
      </c>
      <c r="R358" s="168">
        <v>61677</v>
      </c>
      <c r="S358" s="168">
        <v>75096</v>
      </c>
      <c r="T358" s="156">
        <f t="shared" si="37"/>
        <v>136773</v>
      </c>
    </row>
    <row r="359" spans="1:20" ht="17">
      <c r="A359" s="132" t="s">
        <v>139</v>
      </c>
      <c r="B359" s="132" t="s">
        <v>198</v>
      </c>
      <c r="C359" s="132" t="s">
        <v>201</v>
      </c>
      <c r="D359" s="132">
        <v>0</v>
      </c>
      <c r="E359" s="132">
        <v>17</v>
      </c>
      <c r="F359" s="130">
        <f t="shared" si="33"/>
        <v>-0.45146802360304833</v>
      </c>
      <c r="G359" s="130">
        <f t="shared" si="34"/>
        <v>11.906378718745147</v>
      </c>
      <c r="H359" s="130">
        <f t="shared" si="35"/>
        <v>0.86268040402404711</v>
      </c>
      <c r="I359" s="130">
        <f t="shared" si="36"/>
        <v>-0.25716060337178348</v>
      </c>
      <c r="J359" s="130"/>
      <c r="K359" s="130"/>
      <c r="L359" s="166">
        <v>-37796</v>
      </c>
      <c r="M359" s="167">
        <v>180</v>
      </c>
      <c r="N359" s="168">
        <v>1250</v>
      </c>
      <c r="O359" s="168">
        <v>148209</v>
      </c>
      <c r="P359" s="168">
        <v>83718</v>
      </c>
      <c r="Q359" s="168">
        <v>20352</v>
      </c>
      <c r="R359" s="168">
        <v>60382</v>
      </c>
      <c r="S359" s="168">
        <v>67475</v>
      </c>
      <c r="T359" s="156">
        <f t="shared" si="37"/>
        <v>127857</v>
      </c>
    </row>
    <row r="360" spans="1:20" ht="17">
      <c r="A360" s="132" t="s">
        <v>139</v>
      </c>
      <c r="B360" s="132" t="s">
        <v>198</v>
      </c>
      <c r="C360" s="132" t="s">
        <v>173</v>
      </c>
      <c r="D360" s="132">
        <v>0</v>
      </c>
      <c r="E360" s="132">
        <v>10</v>
      </c>
      <c r="F360" s="130">
        <f t="shared" si="33"/>
        <v>-6.0612244897959182E-2</v>
      </c>
      <c r="G360" s="130">
        <f t="shared" si="34"/>
        <v>12.133319140287243</v>
      </c>
      <c r="H360" s="130">
        <f t="shared" si="35"/>
        <v>0.92329242979899551</v>
      </c>
      <c r="I360" s="130">
        <v>-3.3205045408891271E-2</v>
      </c>
      <c r="J360" s="130"/>
      <c r="K360" s="130"/>
      <c r="L360" s="166">
        <v>-6831</v>
      </c>
      <c r="M360" s="167">
        <v>172</v>
      </c>
      <c r="N360" s="168">
        <v>5000</v>
      </c>
      <c r="O360" s="168">
        <v>185966</v>
      </c>
      <c r="P360" s="168">
        <v>112700</v>
      </c>
      <c r="Q360" s="168">
        <v>14265</v>
      </c>
      <c r="R360" s="168">
        <v>95244</v>
      </c>
      <c r="S360" s="168">
        <v>76457</v>
      </c>
      <c r="T360" s="156">
        <f t="shared" si="37"/>
        <v>171701</v>
      </c>
    </row>
    <row r="361" spans="1:20" ht="17">
      <c r="A361" s="130" t="s">
        <v>140</v>
      </c>
      <c r="B361" s="130" t="s">
        <v>172</v>
      </c>
      <c r="C361" s="130" t="s">
        <v>205</v>
      </c>
      <c r="D361" s="130">
        <v>0</v>
      </c>
      <c r="E361" s="130">
        <v>3</v>
      </c>
      <c r="F361" s="130">
        <f t="shared" si="33"/>
        <v>0.29670035145288948</v>
      </c>
      <c r="G361" s="130">
        <f t="shared" si="34"/>
        <v>14.197019665450178</v>
      </c>
      <c r="H361" s="130">
        <f t="shared" si="35"/>
        <v>0.74204997907125536</v>
      </c>
      <c r="I361" s="130">
        <f t="shared" si="36"/>
        <v>-0.16461556732804156</v>
      </c>
      <c r="J361" s="130"/>
      <c r="K361" s="130"/>
      <c r="L361" s="170">
        <v>127307</v>
      </c>
      <c r="M361" s="171">
        <v>485</v>
      </c>
      <c r="N361" s="172">
        <v>639</v>
      </c>
      <c r="O361" s="172">
        <v>1464493</v>
      </c>
      <c r="P361" s="172">
        <v>429076</v>
      </c>
      <c r="Q361" s="172">
        <v>377766</v>
      </c>
      <c r="R361" s="172">
        <v>768549</v>
      </c>
      <c r="S361" s="172">
        <v>318178</v>
      </c>
      <c r="T361" s="148">
        <f t="shared" si="37"/>
        <v>1086727</v>
      </c>
    </row>
    <row r="362" spans="1:20" ht="17">
      <c r="A362" s="130" t="s">
        <v>140</v>
      </c>
      <c r="B362" s="130" t="s">
        <v>172</v>
      </c>
      <c r="C362" s="130" t="s">
        <v>203</v>
      </c>
      <c r="D362" s="130">
        <v>0</v>
      </c>
      <c r="E362" s="130">
        <v>4</v>
      </c>
      <c r="F362" s="130">
        <f t="shared" si="33"/>
        <v>0.14880058875409588</v>
      </c>
      <c r="G362" s="130">
        <f t="shared" si="34"/>
        <v>14.451658723744272</v>
      </c>
      <c r="H362" s="130">
        <f t="shared" si="35"/>
        <v>0.76174498065308416</v>
      </c>
      <c r="I362" s="130">
        <f t="shared" si="36"/>
        <v>0.19616994222076281</v>
      </c>
      <c r="J362" s="130"/>
      <c r="K362" s="130"/>
      <c r="L362" s="170">
        <v>76428</v>
      </c>
      <c r="M362" s="171">
        <v>561</v>
      </c>
      <c r="N362" s="172">
        <v>796</v>
      </c>
      <c r="O362" s="172">
        <v>1889190</v>
      </c>
      <c r="P362" s="172">
        <v>513627</v>
      </c>
      <c r="Q362" s="172">
        <v>450110</v>
      </c>
      <c r="R362" s="172">
        <v>991585</v>
      </c>
      <c r="S362" s="172">
        <v>447496</v>
      </c>
      <c r="T362" s="148">
        <f t="shared" si="37"/>
        <v>1439081</v>
      </c>
    </row>
    <row r="363" spans="1:20" ht="17">
      <c r="A363" s="130" t="s">
        <v>140</v>
      </c>
      <c r="B363" s="130" t="s">
        <v>172</v>
      </c>
      <c r="C363" s="130" t="s">
        <v>202</v>
      </c>
      <c r="D363" s="130">
        <v>0</v>
      </c>
      <c r="E363" s="130">
        <v>6</v>
      </c>
      <c r="F363" s="130">
        <f t="shared" si="33"/>
        <v>-0.1631093194346438</v>
      </c>
      <c r="G363" s="130">
        <f t="shared" si="34"/>
        <v>14.534530629921203</v>
      </c>
      <c r="H363" s="130">
        <f t="shared" si="35"/>
        <v>0.81857815721043592</v>
      </c>
      <c r="I363" s="130">
        <f t="shared" si="36"/>
        <v>2.1338084115483966E-2</v>
      </c>
      <c r="J363" s="130"/>
      <c r="K363" s="130"/>
      <c r="L363" s="170">
        <v>-70038</v>
      </c>
      <c r="M363" s="171">
        <v>647</v>
      </c>
      <c r="N363" s="172">
        <v>193252</v>
      </c>
      <c r="O363" s="172">
        <v>2052421</v>
      </c>
      <c r="P363" s="172">
        <v>429393</v>
      </c>
      <c r="Q363" s="172">
        <v>372354</v>
      </c>
      <c r="R363" s="172">
        <v>1075416</v>
      </c>
      <c r="S363" s="172">
        <v>604651</v>
      </c>
      <c r="T363" s="172">
        <f t="shared" si="37"/>
        <v>1680067</v>
      </c>
    </row>
    <row r="364" spans="1:20" ht="17">
      <c r="A364" s="130" t="s">
        <v>140</v>
      </c>
      <c r="B364" s="130" t="s">
        <v>172</v>
      </c>
      <c r="C364" s="130" t="s">
        <v>201</v>
      </c>
      <c r="D364" s="130">
        <v>0</v>
      </c>
      <c r="E364" s="130">
        <v>7</v>
      </c>
      <c r="F364" s="130">
        <f t="shared" si="33"/>
        <v>-0.23251875496524921</v>
      </c>
      <c r="G364" s="130">
        <f t="shared" si="34"/>
        <v>14.525119497210829</v>
      </c>
      <c r="H364" s="130">
        <f t="shared" si="35"/>
        <v>0.85311844013071048</v>
      </c>
      <c r="I364" s="130">
        <f t="shared" si="36"/>
        <v>-0.18668823003679444</v>
      </c>
      <c r="J364" s="130"/>
      <c r="K364" s="130"/>
      <c r="L364" s="170">
        <v>-97756</v>
      </c>
      <c r="M364" s="171">
        <v>672</v>
      </c>
      <c r="N364" s="172">
        <v>2293</v>
      </c>
      <c r="O364" s="172">
        <v>2033196</v>
      </c>
      <c r="P364" s="172">
        <v>420422</v>
      </c>
      <c r="Q364" s="172">
        <v>298639</v>
      </c>
      <c r="R364" s="172">
        <v>1347378</v>
      </c>
      <c r="S364" s="172">
        <v>387179</v>
      </c>
      <c r="T364" s="148">
        <f t="shared" si="37"/>
        <v>1734557</v>
      </c>
    </row>
    <row r="365" spans="1:20">
      <c r="A365" s="130" t="s">
        <v>140</v>
      </c>
      <c r="B365" s="130" t="s">
        <v>172</v>
      </c>
      <c r="C365" s="130" t="s">
        <v>173</v>
      </c>
      <c r="D365" s="130">
        <v>0</v>
      </c>
      <c r="E365" s="130">
        <v>4</v>
      </c>
      <c r="F365" s="130">
        <f t="shared" si="33"/>
        <v>-0.11302584896097313</v>
      </c>
      <c r="G365" s="130">
        <f t="shared" si="34"/>
        <v>14.589669822354679</v>
      </c>
      <c r="H365" s="130">
        <f t="shared" si="35"/>
        <v>0.90472517115708084</v>
      </c>
      <c r="I365" s="130">
        <v>-3.3448942757147306E-2</v>
      </c>
      <c r="J365" s="130"/>
      <c r="K365" s="130"/>
      <c r="L365" s="154">
        <v>-58426</v>
      </c>
      <c r="M365" s="130">
        <v>719</v>
      </c>
      <c r="N365" s="148">
        <v>2376</v>
      </c>
      <c r="O365" s="148">
        <v>2168768</v>
      </c>
      <c r="P365" s="148">
        <v>516926</v>
      </c>
      <c r="Q365" s="148">
        <v>206628</v>
      </c>
      <c r="R365" s="148">
        <v>1358642</v>
      </c>
      <c r="S365" s="148">
        <v>603497</v>
      </c>
      <c r="T365" s="148">
        <f t="shared" si="37"/>
        <v>1962139</v>
      </c>
    </row>
    <row r="366" spans="1:20">
      <c r="A366" s="134" t="s">
        <v>141</v>
      </c>
      <c r="B366" s="134" t="s">
        <v>200</v>
      </c>
      <c r="C366" s="134" t="s">
        <v>205</v>
      </c>
      <c r="D366" s="134">
        <v>0</v>
      </c>
      <c r="E366" s="134">
        <v>18</v>
      </c>
      <c r="F366" s="130">
        <f t="shared" si="33"/>
        <v>-1.1262517597683746E-2</v>
      </c>
      <c r="G366" s="130">
        <f t="shared" si="34"/>
        <v>10.31982665719617</v>
      </c>
      <c r="H366" s="130">
        <f t="shared" si="35"/>
        <v>0.98196386177789496</v>
      </c>
      <c r="I366" s="130">
        <f t="shared" si="36"/>
        <v>2.7259332023575639E-2</v>
      </c>
      <c r="J366" s="130"/>
      <c r="K366" s="130"/>
      <c r="L366" s="140">
        <v>-424</v>
      </c>
      <c r="M366" s="134"/>
      <c r="N366" s="197"/>
      <c r="O366" s="153">
        <v>30328</v>
      </c>
      <c r="P366" s="52">
        <v>37647</v>
      </c>
      <c r="Q366" s="52">
        <v>547</v>
      </c>
      <c r="R366" s="52"/>
      <c r="S366" s="52"/>
      <c r="T366" s="52">
        <v>29781</v>
      </c>
    </row>
    <row r="367" spans="1:20">
      <c r="A367" s="134" t="s">
        <v>141</v>
      </c>
      <c r="B367" s="134" t="s">
        <v>200</v>
      </c>
      <c r="C367" s="134" t="s">
        <v>203</v>
      </c>
      <c r="D367" s="134">
        <v>0</v>
      </c>
      <c r="E367" s="134">
        <v>16</v>
      </c>
      <c r="F367" s="130">
        <f t="shared" si="33"/>
        <v>0.28034271993014626</v>
      </c>
      <c r="G367" s="130">
        <f t="shared" si="34"/>
        <v>10.852051844960579</v>
      </c>
      <c r="H367" s="130">
        <f t="shared" si="35"/>
        <v>0.79825716498838106</v>
      </c>
      <c r="I367" s="130">
        <f t="shared" si="36"/>
        <v>1.4505591850293435E-2</v>
      </c>
      <c r="J367" s="130"/>
      <c r="K367" s="130"/>
      <c r="L367" s="140">
        <v>10274</v>
      </c>
      <c r="M367" s="134"/>
      <c r="N367" s="197"/>
      <c r="O367" s="153">
        <v>51640</v>
      </c>
      <c r="P367" s="52">
        <v>36648</v>
      </c>
      <c r="Q367" s="52">
        <v>10418</v>
      </c>
      <c r="R367" s="52"/>
      <c r="S367" s="52"/>
      <c r="T367" s="52">
        <v>41222</v>
      </c>
    </row>
    <row r="368" spans="1:20">
      <c r="A368" s="134" t="s">
        <v>141</v>
      </c>
      <c r="B368" s="134" t="s">
        <v>200</v>
      </c>
      <c r="C368" s="134" t="s">
        <v>202</v>
      </c>
      <c r="D368" s="134">
        <v>0</v>
      </c>
      <c r="E368" s="134">
        <v>20</v>
      </c>
      <c r="F368" s="130">
        <f t="shared" si="33"/>
        <v>-0.13484110286789946</v>
      </c>
      <c r="G368" s="130">
        <f t="shared" si="34"/>
        <v>10.842869615633681</v>
      </c>
      <c r="H368" s="130">
        <f t="shared" si="35"/>
        <v>0.88866088180112568</v>
      </c>
      <c r="I368" s="130">
        <v>2.0882461936934535E-2</v>
      </c>
      <c r="J368" s="130"/>
      <c r="K368" s="130"/>
      <c r="L368" s="140">
        <v>-4871</v>
      </c>
      <c r="M368" s="134"/>
      <c r="N368" s="197"/>
      <c r="O368" s="153">
        <v>51168</v>
      </c>
      <c r="P368" s="52">
        <v>36124</v>
      </c>
      <c r="Q368" s="52">
        <v>5697</v>
      </c>
      <c r="R368" s="52"/>
      <c r="S368" s="52"/>
      <c r="T368" s="52">
        <v>45471</v>
      </c>
    </row>
    <row r="369" spans="1:20" ht="17">
      <c r="A369" s="133" t="s">
        <v>142</v>
      </c>
      <c r="B369" s="133" t="s">
        <v>199</v>
      </c>
      <c r="C369" s="133" t="s">
        <v>205</v>
      </c>
      <c r="D369" s="133">
        <v>1</v>
      </c>
      <c r="E369" s="133">
        <v>5</v>
      </c>
      <c r="F369" s="130">
        <f t="shared" si="33"/>
        <v>-1.2176298303899282</v>
      </c>
      <c r="G369" s="130">
        <f t="shared" si="34"/>
        <v>11.243201181892225</v>
      </c>
      <c r="H369" s="130">
        <f t="shared" si="35"/>
        <v>2.449049882790503</v>
      </c>
      <c r="I369" s="130">
        <f t="shared" si="36"/>
        <v>-0.26741709765743837</v>
      </c>
      <c r="J369" s="130"/>
      <c r="K369" s="130"/>
      <c r="L369" s="176">
        <v>-55709</v>
      </c>
      <c r="M369" s="169">
        <v>96</v>
      </c>
      <c r="N369" s="175">
        <v>30457</v>
      </c>
      <c r="O369" s="175">
        <v>76359</v>
      </c>
      <c r="P369" s="175">
        <v>45752</v>
      </c>
      <c r="Q369" s="175">
        <v>-110649</v>
      </c>
      <c r="R369" s="175">
        <v>91068</v>
      </c>
      <c r="S369" s="175">
        <v>95939</v>
      </c>
      <c r="T369" s="52">
        <f>R369+S369</f>
        <v>187007</v>
      </c>
    </row>
    <row r="370" spans="1:20" ht="17">
      <c r="A370" s="133" t="s">
        <v>142</v>
      </c>
      <c r="B370" s="133" t="s">
        <v>199</v>
      </c>
      <c r="C370" s="133" t="s">
        <v>203</v>
      </c>
      <c r="D370" s="133">
        <v>1</v>
      </c>
      <c r="E370" s="133">
        <v>4</v>
      </c>
      <c r="F370" s="130">
        <f t="shared" si="33"/>
        <v>-0.15988022993290954</v>
      </c>
      <c r="G370" s="130">
        <f t="shared" si="34"/>
        <v>11.382372489597046</v>
      </c>
      <c r="H370" s="130">
        <f t="shared" si="35"/>
        <v>1.89677647246499</v>
      </c>
      <c r="I370" s="130">
        <f t="shared" si="36"/>
        <v>0.14881445100527932</v>
      </c>
      <c r="J370" s="130"/>
      <c r="K370" s="130"/>
      <c r="L370" s="176">
        <v>-9985</v>
      </c>
      <c r="M370" s="169">
        <v>86</v>
      </c>
      <c r="N370" s="175">
        <v>43034</v>
      </c>
      <c r="O370" s="175">
        <v>87761</v>
      </c>
      <c r="P370" s="175">
        <v>62453</v>
      </c>
      <c r="Q370" s="175">
        <v>-78702</v>
      </c>
      <c r="R370" s="175">
        <v>71931</v>
      </c>
      <c r="S370" s="175">
        <v>94532</v>
      </c>
      <c r="T370" s="52">
        <f>R370+S370</f>
        <v>166463</v>
      </c>
    </row>
    <row r="371" spans="1:20" ht="17">
      <c r="A371" s="133" t="s">
        <v>142</v>
      </c>
      <c r="B371" s="133" t="s">
        <v>199</v>
      </c>
      <c r="C371" s="133" t="s">
        <v>202</v>
      </c>
      <c r="D371" s="133">
        <v>1</v>
      </c>
      <c r="E371" s="133">
        <v>2</v>
      </c>
      <c r="F371" s="130">
        <f t="shared" si="33"/>
        <v>-2.8309695932895534E-2</v>
      </c>
      <c r="G371" s="130">
        <f t="shared" si="34"/>
        <v>11.381403480703243</v>
      </c>
      <c r="H371" s="130">
        <f t="shared" si="35"/>
        <v>1.8090355399425155</v>
      </c>
      <c r="I371" s="130">
        <f t="shared" si="36"/>
        <v>0.40891538162498381</v>
      </c>
      <c r="J371" s="130"/>
      <c r="K371" s="130"/>
      <c r="L371" s="176">
        <v>-1539</v>
      </c>
      <c r="M371" s="169">
        <v>108</v>
      </c>
      <c r="N371" s="175">
        <v>11185</v>
      </c>
      <c r="O371" s="175">
        <v>87676</v>
      </c>
      <c r="P371" s="175">
        <v>54363</v>
      </c>
      <c r="Q371" s="175">
        <v>-70933</v>
      </c>
      <c r="R371" s="175">
        <v>116331</v>
      </c>
      <c r="S371" s="175">
        <v>42278</v>
      </c>
      <c r="T371" s="175">
        <f>R371+S371</f>
        <v>158609</v>
      </c>
    </row>
    <row r="372" spans="1:20" ht="18">
      <c r="A372" s="133" t="s">
        <v>142</v>
      </c>
      <c r="B372" s="133" t="s">
        <v>199</v>
      </c>
      <c r="C372" s="133" t="s">
        <v>201</v>
      </c>
      <c r="D372" s="133">
        <v>1</v>
      </c>
      <c r="E372" s="133">
        <v>4</v>
      </c>
      <c r="F372" s="130">
        <f t="shared" si="33"/>
        <v>-0.57309835428275235</v>
      </c>
      <c r="G372" s="130">
        <f t="shared" si="34"/>
        <v>11.283562613842102</v>
      </c>
      <c r="H372" s="130">
        <f t="shared" si="35"/>
        <v>1.7364409337894948</v>
      </c>
      <c r="I372" s="130">
        <f t="shared" si="36"/>
        <v>-0.13718694096601072</v>
      </c>
      <c r="J372" s="130"/>
      <c r="K372" s="130"/>
      <c r="L372" s="176">
        <v>-22113</v>
      </c>
      <c r="M372" s="169">
        <v>119</v>
      </c>
      <c r="N372" s="175">
        <v>4285</v>
      </c>
      <c r="O372" s="175">
        <v>79504</v>
      </c>
      <c r="P372" s="175">
        <v>38585</v>
      </c>
      <c r="Q372" s="175">
        <v>-58549</v>
      </c>
      <c r="R372" s="175">
        <v>107900</v>
      </c>
      <c r="S372" s="175">
        <v>30154</v>
      </c>
      <c r="T372" s="188">
        <f>R372+S372</f>
        <v>138054</v>
      </c>
    </row>
    <row r="373" spans="1:20" ht="17">
      <c r="A373" s="133" t="s">
        <v>142</v>
      </c>
      <c r="B373" s="133" t="s">
        <v>199</v>
      </c>
      <c r="C373" s="133" t="s">
        <v>173</v>
      </c>
      <c r="D373" s="133">
        <v>1</v>
      </c>
      <c r="E373" s="133">
        <v>1</v>
      </c>
      <c r="F373" s="130">
        <f t="shared" si="33"/>
        <v>-0.42745974955277283</v>
      </c>
      <c r="G373" s="130">
        <f t="shared" si="34"/>
        <v>11.421588381953585</v>
      </c>
      <c r="H373" s="130">
        <f t="shared" si="35"/>
        <v>1.4993700079981593</v>
      </c>
      <c r="I373" s="130">
        <v>3.8281448501703501E-2</v>
      </c>
      <c r="J373" s="130"/>
      <c r="K373" s="130"/>
      <c r="L373" s="176">
        <v>-19116</v>
      </c>
      <c r="M373" s="169">
        <v>139</v>
      </c>
      <c r="N373" s="175">
        <v>11593</v>
      </c>
      <c r="O373" s="175">
        <v>91271</v>
      </c>
      <c r="P373" s="175">
        <v>44720</v>
      </c>
      <c r="Q373" s="175">
        <v>-45578</v>
      </c>
      <c r="R373" s="175">
        <v>82754</v>
      </c>
      <c r="S373" s="175">
        <v>54095</v>
      </c>
      <c r="T373" s="52">
        <f>R373+S373</f>
        <v>136849</v>
      </c>
    </row>
    <row r="374" spans="1:20">
      <c r="A374" s="134" t="s">
        <v>143</v>
      </c>
      <c r="B374" s="134" t="s">
        <v>200</v>
      </c>
      <c r="C374" s="134" t="s">
        <v>205</v>
      </c>
      <c r="D374" s="134">
        <v>0</v>
      </c>
      <c r="E374" s="134">
        <v>19</v>
      </c>
      <c r="F374" s="130">
        <f t="shared" si="33"/>
        <v>5.2586453272363533E-2</v>
      </c>
      <c r="G374" s="130">
        <f t="shared" si="34"/>
        <v>8.527539483470381</v>
      </c>
      <c r="H374" s="130">
        <f t="shared" si="35"/>
        <v>0.72367379255740305</v>
      </c>
      <c r="I374" s="130">
        <f t="shared" si="36"/>
        <v>-6.8246661848061774E-2</v>
      </c>
      <c r="J374" s="130"/>
      <c r="K374" s="130"/>
      <c r="L374" s="140">
        <v>1288</v>
      </c>
      <c r="M374" s="134"/>
      <c r="N374" s="153"/>
      <c r="O374" s="153">
        <v>5052</v>
      </c>
      <c r="P374" s="52">
        <v>24493</v>
      </c>
      <c r="Q374" s="52">
        <v>1396</v>
      </c>
      <c r="R374" s="52"/>
      <c r="S374" s="52"/>
      <c r="T374" s="52">
        <v>3656</v>
      </c>
    </row>
    <row r="375" spans="1:20">
      <c r="A375" s="134" t="s">
        <v>143</v>
      </c>
      <c r="B375" s="134" t="s">
        <v>200</v>
      </c>
      <c r="C375" s="134" t="s">
        <v>173</v>
      </c>
      <c r="D375" s="134">
        <v>0</v>
      </c>
      <c r="E375" s="134">
        <v>15</v>
      </c>
      <c r="F375" s="130">
        <f t="shared" si="33"/>
        <v>-1.182257389584205</v>
      </c>
      <c r="G375" s="130">
        <f t="shared" si="34"/>
        <v>10.746648295413559</v>
      </c>
      <c r="H375" s="130">
        <f t="shared" si="35"/>
        <v>0.4374919309721565</v>
      </c>
      <c r="I375" s="130">
        <v>6.3253470000000006E-2</v>
      </c>
      <c r="J375" s="130"/>
      <c r="K375" s="130"/>
      <c r="L375" s="140">
        <v>-31078</v>
      </c>
      <c r="M375" s="134"/>
      <c r="N375" s="153"/>
      <c r="O375" s="153">
        <v>46474</v>
      </c>
      <c r="P375" s="52">
        <v>26287</v>
      </c>
      <c r="Q375" s="52">
        <v>26142</v>
      </c>
      <c r="R375" s="52"/>
      <c r="S375" s="52"/>
      <c r="T375" s="52">
        <v>20332</v>
      </c>
    </row>
    <row r="376" spans="1:20" ht="17">
      <c r="A376" s="132" t="s">
        <v>144</v>
      </c>
      <c r="B376" s="132" t="s">
        <v>198</v>
      </c>
      <c r="C376" s="132" t="s">
        <v>205</v>
      </c>
      <c r="D376" s="132">
        <v>0</v>
      </c>
      <c r="E376" s="132">
        <v>14</v>
      </c>
      <c r="F376" s="130">
        <f t="shared" si="33"/>
        <v>-0.21624448392458021</v>
      </c>
      <c r="G376" s="130">
        <f t="shared" si="34"/>
        <v>11.744251448691996</v>
      </c>
      <c r="H376" s="130">
        <f t="shared" si="35"/>
        <v>0.97325176351099363</v>
      </c>
      <c r="I376" s="130">
        <f t="shared" si="36"/>
        <v>-0.38340032686956138</v>
      </c>
      <c r="J376" s="130"/>
      <c r="K376" s="130"/>
      <c r="L376" s="166">
        <v>-15093</v>
      </c>
      <c r="M376" s="167">
        <v>111</v>
      </c>
      <c r="N376" s="168">
        <v>2505</v>
      </c>
      <c r="O376" s="168">
        <v>126027</v>
      </c>
      <c r="P376" s="168">
        <v>69796</v>
      </c>
      <c r="Q376" s="168">
        <v>3371</v>
      </c>
      <c r="R376" s="168">
        <v>52065</v>
      </c>
      <c r="S376" s="168">
        <v>70591</v>
      </c>
      <c r="T376" s="156">
        <f t="shared" ref="T376:T407" si="38">R376+S376</f>
        <v>122656</v>
      </c>
    </row>
    <row r="377" spans="1:20" ht="17">
      <c r="A377" s="132" t="s">
        <v>144</v>
      </c>
      <c r="B377" s="132" t="s">
        <v>198</v>
      </c>
      <c r="C377" s="132" t="s">
        <v>203</v>
      </c>
      <c r="D377" s="132">
        <v>0</v>
      </c>
      <c r="E377" s="132">
        <v>12</v>
      </c>
      <c r="F377" s="130">
        <f t="shared" si="33"/>
        <v>1.0442157339105085E-2</v>
      </c>
      <c r="G377" s="130">
        <f t="shared" si="34"/>
        <v>12.102976231525414</v>
      </c>
      <c r="H377" s="130">
        <f t="shared" si="35"/>
        <v>0.90477140703294756</v>
      </c>
      <c r="I377" s="130">
        <f t="shared" si="36"/>
        <v>0.67520089979429043</v>
      </c>
      <c r="J377" s="130"/>
      <c r="K377" s="130"/>
      <c r="L377" s="166">
        <v>1182</v>
      </c>
      <c r="M377" s="167">
        <v>158</v>
      </c>
      <c r="N377" s="168">
        <v>9978</v>
      </c>
      <c r="O377" s="168">
        <v>180408</v>
      </c>
      <c r="P377" s="168">
        <v>113195</v>
      </c>
      <c r="Q377" s="168">
        <v>17181</v>
      </c>
      <c r="R377" s="168">
        <v>76493</v>
      </c>
      <c r="S377" s="168">
        <v>86735</v>
      </c>
      <c r="T377" s="156">
        <f t="shared" si="38"/>
        <v>163228</v>
      </c>
    </row>
    <row r="378" spans="1:20" ht="17">
      <c r="A378" s="132" t="s">
        <v>144</v>
      </c>
      <c r="B378" s="132" t="s">
        <v>198</v>
      </c>
      <c r="C378" s="132" t="s">
        <v>202</v>
      </c>
      <c r="D378" s="132">
        <v>0</v>
      </c>
      <c r="E378" s="132">
        <v>13</v>
      </c>
      <c r="F378" s="130">
        <f t="shared" si="33"/>
        <v>-0.14848085717245563</v>
      </c>
      <c r="G378" s="130">
        <f t="shared" si="34"/>
        <v>12.801204490649384</v>
      </c>
      <c r="H378" s="130">
        <f t="shared" si="35"/>
        <v>0.35705383092424187</v>
      </c>
      <c r="I378" s="130">
        <f t="shared" si="36"/>
        <v>-0.14363023420865861</v>
      </c>
      <c r="J378" s="130"/>
      <c r="K378" s="130"/>
      <c r="L378" s="166">
        <v>-10033</v>
      </c>
      <c r="M378" s="167">
        <v>194</v>
      </c>
      <c r="N378" s="168">
        <v>3106</v>
      </c>
      <c r="O378" s="168">
        <v>362654</v>
      </c>
      <c r="P378" s="168">
        <v>67571</v>
      </c>
      <c r="Q378" s="168">
        <v>233167</v>
      </c>
      <c r="R378" s="168">
        <v>51700</v>
      </c>
      <c r="S378" s="168">
        <v>77787</v>
      </c>
      <c r="T378" s="156">
        <f t="shared" si="38"/>
        <v>129487</v>
      </c>
    </row>
    <row r="379" spans="1:20" ht="17">
      <c r="A379" s="132" t="s">
        <v>144</v>
      </c>
      <c r="B379" s="132" t="s">
        <v>198</v>
      </c>
      <c r="C379" s="132" t="s">
        <v>201</v>
      </c>
      <c r="D379" s="132">
        <v>0</v>
      </c>
      <c r="E379" s="132">
        <v>14</v>
      </c>
      <c r="F379" s="130">
        <f t="shared" si="33"/>
        <v>-0.46747946872148433</v>
      </c>
      <c r="G379" s="130">
        <f t="shared" si="34"/>
        <v>12.87314275558</v>
      </c>
      <c r="H379" s="130">
        <f t="shared" si="35"/>
        <v>0.49633054831359186</v>
      </c>
      <c r="I379" s="130">
        <f t="shared" si="36"/>
        <v>1.0553278688524591E-2</v>
      </c>
      <c r="J379" s="130"/>
      <c r="K379" s="130"/>
      <c r="L379" s="166">
        <v>-36886</v>
      </c>
      <c r="M379" s="167">
        <v>175</v>
      </c>
      <c r="N379" s="168">
        <v>8169</v>
      </c>
      <c r="O379" s="168">
        <v>389704</v>
      </c>
      <c r="P379" s="168">
        <v>78904</v>
      </c>
      <c r="Q379" s="168">
        <v>196282</v>
      </c>
      <c r="R379" s="168">
        <v>101229</v>
      </c>
      <c r="S379" s="168">
        <v>92193</v>
      </c>
      <c r="T379" s="156">
        <f t="shared" si="38"/>
        <v>193422</v>
      </c>
    </row>
    <row r="380" spans="1:20" ht="17">
      <c r="A380" s="132" t="s">
        <v>144</v>
      </c>
      <c r="B380" s="132" t="s">
        <v>198</v>
      </c>
      <c r="C380" s="132" t="s">
        <v>173</v>
      </c>
      <c r="D380" s="132">
        <v>0</v>
      </c>
      <c r="E380" s="132">
        <v>12</v>
      </c>
      <c r="F380" s="130">
        <f t="shared" si="33"/>
        <v>-0.88438780737704914</v>
      </c>
      <c r="G380" s="130">
        <f t="shared" si="34"/>
        <v>12.697522770767504</v>
      </c>
      <c r="H380" s="130">
        <f t="shared" si="35"/>
        <v>0.61084551457926139</v>
      </c>
      <c r="I380" s="130">
        <v>3.9680904351148759E-2</v>
      </c>
      <c r="J380" s="130"/>
      <c r="K380" s="130"/>
      <c r="L380" s="166">
        <v>-69053</v>
      </c>
      <c r="M380" s="167">
        <v>179</v>
      </c>
      <c r="N380" s="168">
        <v>15942</v>
      </c>
      <c r="O380" s="168">
        <v>326937</v>
      </c>
      <c r="P380" s="168">
        <v>78080</v>
      </c>
      <c r="Q380" s="168">
        <v>127228</v>
      </c>
      <c r="R380" s="168">
        <v>100533</v>
      </c>
      <c r="S380" s="168">
        <v>99175</v>
      </c>
      <c r="T380" s="156">
        <f t="shared" si="38"/>
        <v>199708</v>
      </c>
    </row>
    <row r="381" spans="1:20" ht="17">
      <c r="A381" s="131" t="s">
        <v>145</v>
      </c>
      <c r="B381" s="131" t="s">
        <v>193</v>
      </c>
      <c r="C381" s="131" t="s">
        <v>205</v>
      </c>
      <c r="D381" s="131">
        <v>0</v>
      </c>
      <c r="E381" s="131">
        <v>4</v>
      </c>
      <c r="F381" s="130">
        <f t="shared" si="33"/>
        <v>-0.32903964245485268</v>
      </c>
      <c r="G381" s="130">
        <f t="shared" si="34"/>
        <v>13.148327376562124</v>
      </c>
      <c r="H381" s="130">
        <f t="shared" si="35"/>
        <v>0.90838581940633578</v>
      </c>
      <c r="I381" s="130">
        <f t="shared" si="36"/>
        <v>-0.41389499688536546</v>
      </c>
      <c r="J381" s="130"/>
      <c r="K381" s="130"/>
      <c r="L381" s="184">
        <v>-36222</v>
      </c>
      <c r="M381" s="178">
        <v>393</v>
      </c>
      <c r="N381" s="179">
        <v>14501</v>
      </c>
      <c r="O381" s="179">
        <v>513152</v>
      </c>
      <c r="P381" s="179">
        <v>110084</v>
      </c>
      <c r="Q381" s="179">
        <v>47012</v>
      </c>
      <c r="R381" s="179">
        <v>315985</v>
      </c>
      <c r="S381" s="179">
        <v>150155</v>
      </c>
      <c r="T381" s="139">
        <f t="shared" si="38"/>
        <v>466140</v>
      </c>
    </row>
    <row r="382" spans="1:20" ht="17">
      <c r="A382" s="131" t="s">
        <v>145</v>
      </c>
      <c r="B382" s="131" t="s">
        <v>193</v>
      </c>
      <c r="C382" s="131" t="s">
        <v>203</v>
      </c>
      <c r="D382" s="131">
        <v>0</v>
      </c>
      <c r="E382" s="131">
        <v>4</v>
      </c>
      <c r="F382" s="130">
        <f t="shared" si="33"/>
        <v>7.8531383270419499E-3</v>
      </c>
      <c r="G382" s="130">
        <f t="shared" si="34"/>
        <v>13.26749868345552</v>
      </c>
      <c r="H382" s="130">
        <f t="shared" si="35"/>
        <v>0.91627717099868877</v>
      </c>
      <c r="I382" s="130">
        <f t="shared" si="36"/>
        <v>8.4134213002245356E-2</v>
      </c>
      <c r="J382" s="130"/>
      <c r="K382" s="130"/>
      <c r="L382" s="184">
        <v>1475</v>
      </c>
      <c r="M382" s="178">
        <v>408</v>
      </c>
      <c r="N382" s="179">
        <v>14579</v>
      </c>
      <c r="O382" s="179">
        <v>578098</v>
      </c>
      <c r="P382" s="179">
        <v>187823</v>
      </c>
      <c r="Q382" s="179">
        <v>48400</v>
      </c>
      <c r="R382" s="179">
        <v>323517</v>
      </c>
      <c r="S382" s="179">
        <v>206181</v>
      </c>
      <c r="T382" s="139">
        <f t="shared" si="38"/>
        <v>529698</v>
      </c>
    </row>
    <row r="383" spans="1:20" ht="17">
      <c r="A383" s="131" t="s">
        <v>145</v>
      </c>
      <c r="B383" s="131" t="s">
        <v>193</v>
      </c>
      <c r="C383" s="131" t="s">
        <v>202</v>
      </c>
      <c r="D383" s="131">
        <v>0</v>
      </c>
      <c r="E383" s="131">
        <v>9</v>
      </c>
      <c r="F383" s="130">
        <f t="shared" si="33"/>
        <v>-4.6303832100988762E-2</v>
      </c>
      <c r="G383" s="130">
        <f t="shared" si="34"/>
        <v>13.120076765097899</v>
      </c>
      <c r="H383" s="130">
        <f t="shared" si="35"/>
        <v>0.91923352938110647</v>
      </c>
      <c r="I383" s="130">
        <f t="shared" si="36"/>
        <v>0.58056216985521525</v>
      </c>
      <c r="J383" s="130"/>
      <c r="K383" s="130"/>
      <c r="L383" s="184">
        <v>-8022</v>
      </c>
      <c r="M383" s="178">
        <v>432</v>
      </c>
      <c r="N383" s="179">
        <v>31095</v>
      </c>
      <c r="O383" s="179">
        <v>498858</v>
      </c>
      <c r="P383" s="179">
        <v>173247</v>
      </c>
      <c r="Q383" s="179">
        <v>40291</v>
      </c>
      <c r="R383" s="179">
        <v>246179</v>
      </c>
      <c r="S383" s="179">
        <v>212388</v>
      </c>
      <c r="T383" s="139">
        <f t="shared" si="38"/>
        <v>458567</v>
      </c>
    </row>
    <row r="384" spans="1:20" ht="17">
      <c r="A384" s="131" t="s">
        <v>145</v>
      </c>
      <c r="B384" s="131" t="s">
        <v>193</v>
      </c>
      <c r="C384" s="131" t="s">
        <v>201</v>
      </c>
      <c r="D384" s="131">
        <v>0</v>
      </c>
      <c r="E384" s="131">
        <v>13</v>
      </c>
      <c r="F384" s="130">
        <f t="shared" si="33"/>
        <v>-0.284706826869566</v>
      </c>
      <c r="G384" s="130">
        <f t="shared" si="34"/>
        <v>12.899904591584704</v>
      </c>
      <c r="H384" s="130">
        <f t="shared" si="35"/>
        <v>0.97752289681568127</v>
      </c>
      <c r="I384" s="130">
        <f t="shared" si="36"/>
        <v>-5.1552473701885117E-3</v>
      </c>
      <c r="J384" s="130"/>
      <c r="K384" s="130"/>
      <c r="L384" s="184">
        <v>-31207</v>
      </c>
      <c r="M384" s="178">
        <v>407</v>
      </c>
      <c r="N384" s="179">
        <v>14609</v>
      </c>
      <c r="O384" s="179">
        <v>400274</v>
      </c>
      <c r="P384" s="179">
        <v>109611</v>
      </c>
      <c r="Q384" s="179">
        <v>8997</v>
      </c>
      <c r="R384" s="179">
        <v>174727</v>
      </c>
      <c r="S384" s="179">
        <v>216550</v>
      </c>
      <c r="T384" s="139">
        <f t="shared" si="38"/>
        <v>391277</v>
      </c>
    </row>
    <row r="385" spans="1:20" ht="17">
      <c r="A385" s="131" t="s">
        <v>145</v>
      </c>
      <c r="B385" s="131" t="s">
        <v>193</v>
      </c>
      <c r="C385" s="131" t="s">
        <v>173</v>
      </c>
      <c r="D385" s="131">
        <v>0</v>
      </c>
      <c r="E385" s="131">
        <v>9</v>
      </c>
      <c r="F385" s="130">
        <f t="shared" si="33"/>
        <v>-0.41838281342179545</v>
      </c>
      <c r="G385" s="130">
        <f t="shared" si="34"/>
        <v>12.851756031902989</v>
      </c>
      <c r="H385" s="130">
        <f t="shared" si="35"/>
        <v>0.98275563758002193</v>
      </c>
      <c r="I385" s="130">
        <v>6.1411534650476649E-2</v>
      </c>
      <c r="J385" s="130"/>
      <c r="K385" s="130"/>
      <c r="L385" s="184">
        <v>-46097</v>
      </c>
      <c r="M385" s="178">
        <v>413</v>
      </c>
      <c r="N385" s="179">
        <v>21489</v>
      </c>
      <c r="O385" s="179">
        <v>381458</v>
      </c>
      <c r="P385" s="179">
        <v>110179</v>
      </c>
      <c r="Q385" s="179">
        <v>6578</v>
      </c>
      <c r="R385" s="179">
        <v>192361</v>
      </c>
      <c r="S385" s="179">
        <v>182519</v>
      </c>
      <c r="T385" s="139">
        <f t="shared" si="38"/>
        <v>374880</v>
      </c>
    </row>
    <row r="386" spans="1:20">
      <c r="A386" s="132" t="s">
        <v>155</v>
      </c>
      <c r="B386" s="132" t="s">
        <v>198</v>
      </c>
      <c r="C386" s="132" t="s">
        <v>205</v>
      </c>
      <c r="D386" s="132">
        <v>0</v>
      </c>
      <c r="E386" s="132">
        <v>19</v>
      </c>
      <c r="F386" s="130">
        <f t="shared" ref="F386:F407" si="39">L386/P386</f>
        <v>0.11106044552928396</v>
      </c>
      <c r="G386" s="130">
        <f t="shared" ref="G386:G407" si="40">LN(O386)</f>
        <v>11.535997252537985</v>
      </c>
      <c r="H386" s="130">
        <f t="shared" ref="H386:H407" si="41">T386/O386</f>
        <v>0.78687435261008076</v>
      </c>
      <c r="I386" s="130">
        <f t="shared" si="36"/>
        <v>0.13680439091324897</v>
      </c>
      <c r="J386" s="130"/>
      <c r="K386" s="130"/>
      <c r="L386" s="155">
        <v>8281</v>
      </c>
      <c r="M386" s="132">
        <v>142</v>
      </c>
      <c r="N386" s="156">
        <v>5774</v>
      </c>
      <c r="O386" s="156">
        <v>102334</v>
      </c>
      <c r="P386" s="156">
        <v>74563</v>
      </c>
      <c r="Q386" s="156">
        <f>O386-T386</f>
        <v>21810</v>
      </c>
      <c r="R386" s="156">
        <v>33767</v>
      </c>
      <c r="S386" s="156">
        <v>46757</v>
      </c>
      <c r="T386" s="156">
        <f t="shared" si="38"/>
        <v>80524</v>
      </c>
    </row>
    <row r="387" spans="1:20">
      <c r="A387" s="132" t="s">
        <v>155</v>
      </c>
      <c r="B387" s="132" t="s">
        <v>198</v>
      </c>
      <c r="C387" s="132" t="s">
        <v>202</v>
      </c>
      <c r="D387" s="132">
        <v>0</v>
      </c>
      <c r="E387" s="132">
        <v>9</v>
      </c>
      <c r="F387" s="130">
        <f t="shared" si="39"/>
        <v>-0.2217258728464705</v>
      </c>
      <c r="G387" s="130">
        <f t="shared" si="40"/>
        <v>12.41133324579015</v>
      </c>
      <c r="H387" s="130">
        <f t="shared" si="41"/>
        <v>0.62439884513110366</v>
      </c>
      <c r="I387" s="130">
        <f t="shared" ref="I387:I406" si="42">IF(A387=A388, (P387-P388)/P388, "")</f>
        <v>-0.33883714366356193</v>
      </c>
      <c r="J387" s="130"/>
      <c r="K387" s="130"/>
      <c r="L387" s="155">
        <v>-14543</v>
      </c>
      <c r="M387" s="132">
        <v>172</v>
      </c>
      <c r="N387" s="156">
        <v>2655</v>
      </c>
      <c r="O387" s="156">
        <v>245569</v>
      </c>
      <c r="P387" s="156">
        <v>65590</v>
      </c>
      <c r="Q387" s="156">
        <f>O387-T387</f>
        <v>92236</v>
      </c>
      <c r="R387" s="156">
        <v>85686</v>
      </c>
      <c r="S387" s="156">
        <v>67647</v>
      </c>
      <c r="T387" s="156">
        <f t="shared" si="38"/>
        <v>153333</v>
      </c>
    </row>
    <row r="388" spans="1:20" ht="17">
      <c r="A388" s="132" t="s">
        <v>155</v>
      </c>
      <c r="B388" s="132" t="s">
        <v>198</v>
      </c>
      <c r="C388" s="132" t="s">
        <v>201</v>
      </c>
      <c r="D388" s="132">
        <v>0</v>
      </c>
      <c r="E388" s="132">
        <v>10</v>
      </c>
      <c r="F388" s="130">
        <f t="shared" si="39"/>
        <v>-0.24610902786177977</v>
      </c>
      <c r="G388" s="130">
        <f t="shared" si="40"/>
        <v>12.607757283323652</v>
      </c>
      <c r="H388" s="130">
        <f t="shared" si="41"/>
        <v>0.83436165798948025</v>
      </c>
      <c r="I388" s="130">
        <f t="shared" si="42"/>
        <v>0.17331756357185096</v>
      </c>
      <c r="J388" s="130"/>
      <c r="K388" s="130"/>
      <c r="L388" s="166">
        <v>-24415</v>
      </c>
      <c r="M388" s="167">
        <v>160</v>
      </c>
      <c r="N388" s="168">
        <v>39683</v>
      </c>
      <c r="O388" s="168">
        <v>298868</v>
      </c>
      <c r="P388" s="168">
        <v>99204</v>
      </c>
      <c r="Q388" s="168">
        <v>49504</v>
      </c>
      <c r="R388" s="168">
        <v>102661</v>
      </c>
      <c r="S388" s="168">
        <v>146703</v>
      </c>
      <c r="T388" s="156">
        <f t="shared" si="38"/>
        <v>249364</v>
      </c>
    </row>
    <row r="389" spans="1:20">
      <c r="A389" s="132" t="s">
        <v>155</v>
      </c>
      <c r="B389" s="132" t="s">
        <v>198</v>
      </c>
      <c r="C389" s="132" t="s">
        <v>173</v>
      </c>
      <c r="D389" s="132">
        <v>0</v>
      </c>
      <c r="E389" s="132">
        <v>9</v>
      </c>
      <c r="F389" s="130">
        <f t="shared" si="39"/>
        <v>-5.9858072146658781E-2</v>
      </c>
      <c r="G389" s="130">
        <f t="shared" si="40"/>
        <v>12.455550388136121</v>
      </c>
      <c r="H389" s="130">
        <f t="shared" si="41"/>
        <v>1.6450514471833593</v>
      </c>
      <c r="I389" s="130">
        <v>-9.5717297261539991E-3</v>
      </c>
      <c r="J389" s="130"/>
      <c r="K389" s="130"/>
      <c r="L389" s="155">
        <v>-5061</v>
      </c>
      <c r="M389" s="132">
        <v>218</v>
      </c>
      <c r="N389" s="198">
        <v>576</v>
      </c>
      <c r="O389" s="156">
        <v>256671</v>
      </c>
      <c r="P389" s="156">
        <v>84550</v>
      </c>
      <c r="Q389" s="156">
        <f>O389-T389</f>
        <v>-165566</v>
      </c>
      <c r="R389" s="156">
        <v>256770</v>
      </c>
      <c r="S389" s="156">
        <v>165467</v>
      </c>
      <c r="T389" s="156">
        <f t="shared" si="38"/>
        <v>422237</v>
      </c>
    </row>
    <row r="390" spans="1:20" ht="17">
      <c r="A390" s="131" t="s">
        <v>147</v>
      </c>
      <c r="B390" s="131" t="s">
        <v>193</v>
      </c>
      <c r="C390" s="131" t="s">
        <v>205</v>
      </c>
      <c r="D390" s="131">
        <v>0</v>
      </c>
      <c r="E390" s="131">
        <v>5</v>
      </c>
      <c r="F390" s="130">
        <f t="shared" si="39"/>
        <v>2.8524000825074405E-2</v>
      </c>
      <c r="G390" s="130">
        <f t="shared" si="40"/>
        <v>12.235966343144312</v>
      </c>
      <c r="H390" s="130">
        <f t="shared" si="41"/>
        <v>0.59083607917736292</v>
      </c>
      <c r="I390" s="130">
        <f t="shared" si="42"/>
        <v>-0.16755382212737427</v>
      </c>
      <c r="J390" s="130"/>
      <c r="K390" s="130"/>
      <c r="L390" s="184">
        <v>2904</v>
      </c>
      <c r="M390" s="178">
        <v>380</v>
      </c>
      <c r="N390" s="179">
        <v>0</v>
      </c>
      <c r="O390" s="179">
        <v>206069</v>
      </c>
      <c r="P390" s="179">
        <v>101809</v>
      </c>
      <c r="Q390" s="179">
        <v>84316</v>
      </c>
      <c r="R390" s="179">
        <v>34225</v>
      </c>
      <c r="S390" s="179">
        <v>87528</v>
      </c>
      <c r="T390" s="139">
        <f t="shared" si="38"/>
        <v>121753</v>
      </c>
    </row>
    <row r="391" spans="1:20" ht="17">
      <c r="A391" s="131" t="s">
        <v>147</v>
      </c>
      <c r="B391" s="131" t="s">
        <v>193</v>
      </c>
      <c r="C391" s="131" t="s">
        <v>203</v>
      </c>
      <c r="D391" s="131">
        <v>0</v>
      </c>
      <c r="E391" s="131">
        <v>14</v>
      </c>
      <c r="F391" s="130">
        <f t="shared" si="39"/>
        <v>9.6638621106941075E-2</v>
      </c>
      <c r="G391" s="130">
        <f t="shared" si="40"/>
        <v>12.224703017375885</v>
      </c>
      <c r="H391" s="130">
        <f t="shared" si="41"/>
        <v>0.52819725070057566</v>
      </c>
      <c r="I391" s="130">
        <f t="shared" si="42"/>
        <v>0.25113552663884114</v>
      </c>
      <c r="J391" s="130"/>
      <c r="K391" s="130"/>
      <c r="L391" s="184">
        <v>11819</v>
      </c>
      <c r="M391" s="178">
        <v>379</v>
      </c>
      <c r="N391" s="179">
        <v>0</v>
      </c>
      <c r="O391" s="179">
        <v>203761</v>
      </c>
      <c r="P391" s="179">
        <v>122301</v>
      </c>
      <c r="Q391" s="179">
        <v>96135</v>
      </c>
      <c r="R391" s="179">
        <v>29639</v>
      </c>
      <c r="S391" s="179">
        <v>77987</v>
      </c>
      <c r="T391" s="139">
        <f t="shared" si="38"/>
        <v>107626</v>
      </c>
    </row>
    <row r="392" spans="1:20" ht="17">
      <c r="A392" s="131" t="s">
        <v>147</v>
      </c>
      <c r="B392" s="131" t="s">
        <v>193</v>
      </c>
      <c r="C392" s="131" t="s">
        <v>202</v>
      </c>
      <c r="D392" s="131">
        <v>0</v>
      </c>
      <c r="E392" s="131">
        <v>5</v>
      </c>
      <c r="F392" s="130">
        <f t="shared" si="39"/>
        <v>-1.0168589900973893E-2</v>
      </c>
      <c r="G392" s="130">
        <f t="shared" si="40"/>
        <v>12.288081112140665</v>
      </c>
      <c r="H392" s="130">
        <f t="shared" si="41"/>
        <v>0.56175003339582574</v>
      </c>
      <c r="I392" s="130">
        <f t="shared" si="42"/>
        <v>2.0460358056265986E-5</v>
      </c>
      <c r="J392" s="130"/>
      <c r="K392" s="130"/>
      <c r="L392" s="184">
        <v>-994</v>
      </c>
      <c r="M392" s="178">
        <v>304</v>
      </c>
      <c r="N392" s="179">
        <v>0</v>
      </c>
      <c r="O392" s="179">
        <v>217093</v>
      </c>
      <c r="P392" s="179">
        <v>97752</v>
      </c>
      <c r="Q392" s="179">
        <v>95141</v>
      </c>
      <c r="R392" s="179">
        <v>39987</v>
      </c>
      <c r="S392" s="179">
        <v>81965</v>
      </c>
      <c r="T392" s="139">
        <f t="shared" si="38"/>
        <v>121952</v>
      </c>
    </row>
    <row r="393" spans="1:20">
      <c r="A393" s="131" t="s">
        <v>147</v>
      </c>
      <c r="B393" s="131" t="s">
        <v>193</v>
      </c>
      <c r="C393" s="131" t="s">
        <v>201</v>
      </c>
      <c r="D393" s="131">
        <v>0</v>
      </c>
      <c r="E393" s="131">
        <v>7</v>
      </c>
      <c r="F393" s="130">
        <f t="shared" si="39"/>
        <v>-3.0690537084398974E-4</v>
      </c>
      <c r="G393" s="130">
        <f t="shared" si="40"/>
        <v>13.428344005426821</v>
      </c>
      <c r="H393" s="130">
        <f t="shared" si="41"/>
        <v>0.90065362942540117</v>
      </c>
      <c r="I393" s="130">
        <f t="shared" si="42"/>
        <v>-0.23900350330868042</v>
      </c>
      <c r="J393" s="130"/>
      <c r="K393" s="130"/>
      <c r="L393" s="145">
        <v>-30</v>
      </c>
      <c r="M393" s="131">
        <v>385</v>
      </c>
      <c r="N393" s="139">
        <v>87678</v>
      </c>
      <c r="O393" s="139">
        <v>678978</v>
      </c>
      <c r="P393" s="139">
        <v>97750</v>
      </c>
      <c r="Q393" s="139">
        <f>O393-T393</f>
        <v>67454</v>
      </c>
      <c r="R393" s="139">
        <v>467846</v>
      </c>
      <c r="S393" s="139">
        <v>143678</v>
      </c>
      <c r="T393" s="139">
        <f t="shared" si="38"/>
        <v>611524</v>
      </c>
    </row>
    <row r="394" spans="1:20">
      <c r="A394" s="131" t="s">
        <v>147</v>
      </c>
      <c r="B394" s="131" t="s">
        <v>193</v>
      </c>
      <c r="C394" s="131" t="s">
        <v>173</v>
      </c>
      <c r="D394" s="131">
        <v>0</v>
      </c>
      <c r="E394" s="131">
        <v>7</v>
      </c>
      <c r="F394" s="130">
        <f t="shared" si="39"/>
        <v>-0.13927598287271312</v>
      </c>
      <c r="G394" s="130">
        <f t="shared" si="40"/>
        <v>13.263258590429137</v>
      </c>
      <c r="H394" s="130">
        <f t="shared" si="41"/>
        <v>0.48530709525894117</v>
      </c>
      <c r="I394" s="130">
        <v>-3.8850334609789317E-2</v>
      </c>
      <c r="J394" s="130"/>
      <c r="K394" s="130"/>
      <c r="L394" s="145">
        <v>-17890</v>
      </c>
      <c r="M394" s="131">
        <v>432</v>
      </c>
      <c r="N394" s="139">
        <v>54678</v>
      </c>
      <c r="O394" s="139">
        <v>575652</v>
      </c>
      <c r="P394" s="139">
        <v>128450</v>
      </c>
      <c r="Q394" s="139">
        <f>O394-T394</f>
        <v>296284</v>
      </c>
      <c r="R394" s="139">
        <v>102567</v>
      </c>
      <c r="S394" s="139">
        <v>176801</v>
      </c>
      <c r="T394" s="139">
        <f t="shared" si="38"/>
        <v>279368</v>
      </c>
    </row>
    <row r="395" spans="1:20" ht="17">
      <c r="A395" s="130" t="s">
        <v>148</v>
      </c>
      <c r="B395" s="130" t="s">
        <v>172</v>
      </c>
      <c r="C395" s="130" t="s">
        <v>205</v>
      </c>
      <c r="D395" s="130">
        <v>0</v>
      </c>
      <c r="E395" s="130">
        <v>14</v>
      </c>
      <c r="F395" s="130">
        <f t="shared" si="39"/>
        <v>-0.23963436574496941</v>
      </c>
      <c r="G395" s="130">
        <f t="shared" si="40"/>
        <v>12.278783928481756</v>
      </c>
      <c r="H395" s="130">
        <f t="shared" si="41"/>
        <v>1.1460266686503877</v>
      </c>
      <c r="I395" s="130">
        <f t="shared" si="42"/>
        <v>-0.12216100639627765</v>
      </c>
      <c r="J395" s="130"/>
      <c r="K395" s="130"/>
      <c r="L395" s="170">
        <v>-34631</v>
      </c>
      <c r="M395" s="171">
        <v>292</v>
      </c>
      <c r="N395" s="172">
        <v>26531</v>
      </c>
      <c r="O395" s="172">
        <v>215084</v>
      </c>
      <c r="P395" s="172">
        <v>144516</v>
      </c>
      <c r="Q395" s="172">
        <v>-31408</v>
      </c>
      <c r="R395" s="172">
        <v>107005</v>
      </c>
      <c r="S395" s="172">
        <v>139487</v>
      </c>
      <c r="T395" s="148">
        <f t="shared" si="38"/>
        <v>246492</v>
      </c>
    </row>
    <row r="396" spans="1:20" ht="17">
      <c r="A396" s="130" t="s">
        <v>148</v>
      </c>
      <c r="B396" s="130" t="s">
        <v>172</v>
      </c>
      <c r="C396" s="130" t="s">
        <v>203</v>
      </c>
      <c r="D396" s="130">
        <v>0</v>
      </c>
      <c r="E396" s="130">
        <v>11</v>
      </c>
      <c r="F396" s="130">
        <f t="shared" si="39"/>
        <v>6.6125240695633164E-2</v>
      </c>
      <c r="G396" s="130">
        <f t="shared" si="40"/>
        <v>12.259547059545998</v>
      </c>
      <c r="H396" s="130">
        <f t="shared" si="41"/>
        <v>1.0921577735015593</v>
      </c>
      <c r="I396" s="130">
        <f t="shared" si="42"/>
        <v>0.2521353544726454</v>
      </c>
      <c r="J396" s="130"/>
      <c r="K396" s="130"/>
      <c r="L396" s="170">
        <v>10886</v>
      </c>
      <c r="M396" s="171">
        <v>297</v>
      </c>
      <c r="N396" s="172">
        <v>19997</v>
      </c>
      <c r="O396" s="172">
        <v>210986</v>
      </c>
      <c r="P396" s="172">
        <v>164627</v>
      </c>
      <c r="Q396" s="172">
        <v>-19444</v>
      </c>
      <c r="R396" s="172">
        <v>114941</v>
      </c>
      <c r="S396" s="172">
        <v>115489</v>
      </c>
      <c r="T396" s="148">
        <f t="shared" si="38"/>
        <v>230430</v>
      </c>
    </row>
    <row r="397" spans="1:20" ht="17">
      <c r="A397" s="130" t="s">
        <v>148</v>
      </c>
      <c r="B397" s="130" t="s">
        <v>172</v>
      </c>
      <c r="C397" s="130" t="s">
        <v>202</v>
      </c>
      <c r="D397" s="130">
        <v>0</v>
      </c>
      <c r="E397" s="130">
        <v>19</v>
      </c>
      <c r="F397" s="130">
        <f t="shared" si="39"/>
        <v>-0.26332362314321134</v>
      </c>
      <c r="G397" s="130">
        <f t="shared" si="40"/>
        <v>12.488737151020157</v>
      </c>
      <c r="H397" s="130">
        <f t="shared" si="41"/>
        <v>0.96157644008261345</v>
      </c>
      <c r="I397" s="130">
        <f t="shared" si="42"/>
        <v>-0.11955400790196209</v>
      </c>
      <c r="J397" s="130"/>
      <c r="K397" s="130"/>
      <c r="L397" s="170">
        <v>-34621</v>
      </c>
      <c r="M397" s="171">
        <v>328</v>
      </c>
      <c r="N397" s="172">
        <v>24296</v>
      </c>
      <c r="O397" s="172">
        <v>265332</v>
      </c>
      <c r="P397" s="172">
        <v>131477</v>
      </c>
      <c r="Q397" s="172">
        <v>10195</v>
      </c>
      <c r="R397" s="172">
        <v>133327</v>
      </c>
      <c r="S397" s="172">
        <v>121810</v>
      </c>
      <c r="T397" s="172">
        <f t="shared" si="38"/>
        <v>255137</v>
      </c>
    </row>
    <row r="398" spans="1:20">
      <c r="A398" s="130" t="s">
        <v>148</v>
      </c>
      <c r="B398" s="130" t="s">
        <v>172</v>
      </c>
      <c r="C398" s="130" t="s">
        <v>173</v>
      </c>
      <c r="D398" s="130">
        <v>0</v>
      </c>
      <c r="E398" s="130">
        <v>19</v>
      </c>
      <c r="F398" s="130">
        <f t="shared" si="39"/>
        <v>-0.1381704948771178</v>
      </c>
      <c r="G398" s="130">
        <f t="shared" si="40"/>
        <v>12.463663999297939</v>
      </c>
      <c r="H398" s="130">
        <f t="shared" si="41"/>
        <v>1.157360818049018</v>
      </c>
      <c r="I398" s="130">
        <v>3.4734467248018902E-3</v>
      </c>
      <c r="J398" s="130"/>
      <c r="K398" s="130"/>
      <c r="L398" s="154">
        <v>-20633</v>
      </c>
      <c r="M398" s="130">
        <v>361</v>
      </c>
      <c r="N398" s="148">
        <v>41975</v>
      </c>
      <c r="O398" s="148">
        <v>258762</v>
      </c>
      <c r="P398" s="148">
        <v>149330</v>
      </c>
      <c r="Q398" s="148">
        <v>-40720</v>
      </c>
      <c r="R398" s="148">
        <v>146379</v>
      </c>
      <c r="S398" s="148">
        <v>153102</v>
      </c>
      <c r="T398" s="148">
        <f t="shared" si="38"/>
        <v>299481</v>
      </c>
    </row>
    <row r="399" spans="1:20" ht="17">
      <c r="A399" s="130" t="s">
        <v>150</v>
      </c>
      <c r="B399" s="130" t="s">
        <v>172</v>
      </c>
      <c r="C399" s="130" t="s">
        <v>205</v>
      </c>
      <c r="D399" s="130">
        <v>0</v>
      </c>
      <c r="E399" s="130">
        <v>13</v>
      </c>
      <c r="F399" s="130">
        <f t="shared" si="39"/>
        <v>0.1042697214267118</v>
      </c>
      <c r="G399" s="130">
        <f t="shared" si="40"/>
        <v>12.253981469052059</v>
      </c>
      <c r="H399" s="130">
        <f t="shared" si="41"/>
        <v>1.275985987655792</v>
      </c>
      <c r="I399" s="130">
        <f t="shared" si="42"/>
        <v>-7.1622796212716305E-2</v>
      </c>
      <c r="J399" s="130"/>
      <c r="K399" s="130"/>
      <c r="L399" s="170">
        <v>20826</v>
      </c>
      <c r="M399" s="171">
        <v>435</v>
      </c>
      <c r="N399" s="172">
        <v>89518</v>
      </c>
      <c r="O399" s="172">
        <v>209815</v>
      </c>
      <c r="P399" s="172">
        <v>199732</v>
      </c>
      <c r="Q399" s="172">
        <v>-57906</v>
      </c>
      <c r="R399" s="172">
        <v>88784</v>
      </c>
      <c r="S399" s="172">
        <v>178937</v>
      </c>
      <c r="T399" s="148">
        <f t="shared" si="38"/>
        <v>267721</v>
      </c>
    </row>
    <row r="400" spans="1:20" ht="17">
      <c r="A400" s="130" t="s">
        <v>150</v>
      </c>
      <c r="B400" s="130" t="s">
        <v>172</v>
      </c>
      <c r="C400" s="130" t="s">
        <v>203</v>
      </c>
      <c r="D400" s="130">
        <v>0</v>
      </c>
      <c r="E400" s="130">
        <v>10</v>
      </c>
      <c r="F400" s="130">
        <f t="shared" si="39"/>
        <v>-0.14292487252546004</v>
      </c>
      <c r="G400" s="130">
        <f t="shared" si="40"/>
        <v>12.3994536538491</v>
      </c>
      <c r="H400" s="130">
        <f t="shared" si="41"/>
        <v>1.3630542014019096</v>
      </c>
      <c r="I400" s="130">
        <f t="shared" si="42"/>
        <v>0.40239228211980965</v>
      </c>
      <c r="J400" s="130"/>
      <c r="K400" s="130"/>
      <c r="L400" s="170">
        <v>-30749</v>
      </c>
      <c r="M400" s="171">
        <v>542</v>
      </c>
      <c r="N400" s="172">
        <v>101356</v>
      </c>
      <c r="O400" s="172">
        <v>242669</v>
      </c>
      <c r="P400" s="172">
        <v>215141</v>
      </c>
      <c r="Q400" s="172">
        <v>-88102</v>
      </c>
      <c r="R400" s="172">
        <v>115735</v>
      </c>
      <c r="S400" s="172">
        <v>215036</v>
      </c>
      <c r="T400" s="148">
        <f t="shared" si="38"/>
        <v>330771</v>
      </c>
    </row>
    <row r="401" spans="1:20" ht="17">
      <c r="A401" s="130" t="s">
        <v>150</v>
      </c>
      <c r="B401" s="130" t="s">
        <v>172</v>
      </c>
      <c r="C401" s="130" t="s">
        <v>202</v>
      </c>
      <c r="D401" s="130">
        <v>0</v>
      </c>
      <c r="E401" s="130">
        <v>16</v>
      </c>
      <c r="F401" s="130">
        <f t="shared" si="39"/>
        <v>-0.46705560263346585</v>
      </c>
      <c r="G401" s="130">
        <f t="shared" si="40"/>
        <v>12.418345322420965</v>
      </c>
      <c r="H401" s="130">
        <f t="shared" si="41"/>
        <v>1.6392030635228085</v>
      </c>
      <c r="I401" s="130">
        <f t="shared" si="42"/>
        <v>-0.31016961346835259</v>
      </c>
      <c r="J401" s="130"/>
      <c r="K401" s="130"/>
      <c r="L401" s="170">
        <v>-71651</v>
      </c>
      <c r="M401" s="171">
        <v>582</v>
      </c>
      <c r="N401" s="172">
        <v>146844</v>
      </c>
      <c r="O401" s="172">
        <v>247297</v>
      </c>
      <c r="P401" s="172">
        <v>153410</v>
      </c>
      <c r="Q401" s="172">
        <v>-158073</v>
      </c>
      <c r="R401" s="172">
        <v>119329</v>
      </c>
      <c r="S401" s="172">
        <v>286041</v>
      </c>
      <c r="T401" s="172">
        <f t="shared" si="38"/>
        <v>405370</v>
      </c>
    </row>
    <row r="402" spans="1:20" ht="17">
      <c r="A402" s="130" t="s">
        <v>150</v>
      </c>
      <c r="B402" s="130" t="s">
        <v>172</v>
      </c>
      <c r="C402" s="130" t="s">
        <v>201</v>
      </c>
      <c r="D402" s="130">
        <v>0</v>
      </c>
      <c r="E402" s="130">
        <v>6</v>
      </c>
      <c r="F402" s="130">
        <f t="shared" si="39"/>
        <v>-0.13397305610014928</v>
      </c>
      <c r="G402" s="130">
        <f t="shared" si="40"/>
        <v>12.346182353514818</v>
      </c>
      <c r="H402" s="130">
        <f t="shared" si="41"/>
        <v>1.8299982614742698</v>
      </c>
      <c r="I402" s="130">
        <f t="shared" si="42"/>
        <v>-0.24839210093178724</v>
      </c>
      <c r="J402" s="130"/>
      <c r="K402" s="130"/>
      <c r="L402" s="170">
        <v>-29794</v>
      </c>
      <c r="M402" s="171">
        <v>652</v>
      </c>
      <c r="N402" s="172">
        <v>115505</v>
      </c>
      <c r="O402" s="172">
        <v>230080</v>
      </c>
      <c r="P402" s="172">
        <v>222388</v>
      </c>
      <c r="Q402" s="172">
        <v>-190966</v>
      </c>
      <c r="R402" s="172">
        <v>161292</v>
      </c>
      <c r="S402" s="172">
        <v>259754</v>
      </c>
      <c r="T402" s="148">
        <f t="shared" si="38"/>
        <v>421046</v>
      </c>
    </row>
    <row r="403" spans="1:20">
      <c r="A403" s="130" t="s">
        <v>150</v>
      </c>
      <c r="B403" s="130" t="s">
        <v>172</v>
      </c>
      <c r="C403" s="130" t="s">
        <v>173</v>
      </c>
      <c r="D403" s="130">
        <v>0</v>
      </c>
      <c r="E403" s="130">
        <v>7</v>
      </c>
      <c r="F403" s="130">
        <f t="shared" si="39"/>
        <v>4.5940456193833371E-2</v>
      </c>
      <c r="G403" s="130">
        <f t="shared" si="40"/>
        <v>12.673949013759735</v>
      </c>
      <c r="H403" s="130">
        <f t="shared" si="41"/>
        <v>1.5644713766754352</v>
      </c>
      <c r="I403" s="130">
        <v>-5.6948057123261626E-2</v>
      </c>
      <c r="J403" s="130"/>
      <c r="K403" s="130"/>
      <c r="L403" s="154">
        <v>13593</v>
      </c>
      <c r="M403" s="130">
        <v>725</v>
      </c>
      <c r="N403" s="148">
        <v>249900</v>
      </c>
      <c r="O403" s="148">
        <v>319320</v>
      </c>
      <c r="P403" s="148">
        <v>295883</v>
      </c>
      <c r="Q403" s="148">
        <v>-180247</v>
      </c>
      <c r="R403" s="148">
        <v>122467</v>
      </c>
      <c r="S403" s="148">
        <v>377100</v>
      </c>
      <c r="T403" s="148">
        <f t="shared" si="38"/>
        <v>499567</v>
      </c>
    </row>
    <row r="404" spans="1:20" ht="17">
      <c r="A404" s="130" t="s">
        <v>151</v>
      </c>
      <c r="B404" s="130" t="s">
        <v>172</v>
      </c>
      <c r="C404" s="130" t="s">
        <v>203</v>
      </c>
      <c r="D404" s="130">
        <v>0</v>
      </c>
      <c r="E404" s="130">
        <v>7</v>
      </c>
      <c r="F404" s="130">
        <f t="shared" si="39"/>
        <v>0.12547026293608535</v>
      </c>
      <c r="G404" s="130">
        <f t="shared" si="40"/>
        <v>12.451705408118247</v>
      </c>
      <c r="H404" s="130">
        <f t="shared" si="41"/>
        <v>1.1797321714915951</v>
      </c>
      <c r="I404" s="130">
        <f t="shared" si="42"/>
        <v>0.32581972798386438</v>
      </c>
      <c r="J404" s="130"/>
      <c r="K404" s="130"/>
      <c r="L404" s="170">
        <v>24413</v>
      </c>
      <c r="M404" s="171">
        <v>365</v>
      </c>
      <c r="N404" s="172">
        <v>184525</v>
      </c>
      <c r="O404" s="172">
        <v>255686</v>
      </c>
      <c r="P404" s="172">
        <v>194572</v>
      </c>
      <c r="Q404" s="172">
        <v>-45955</v>
      </c>
      <c r="R404" s="172">
        <v>27792</v>
      </c>
      <c r="S404" s="172">
        <v>273849</v>
      </c>
      <c r="T404" s="148">
        <f t="shared" si="38"/>
        <v>301641</v>
      </c>
    </row>
    <row r="405" spans="1:20" ht="17">
      <c r="A405" s="130" t="s">
        <v>151</v>
      </c>
      <c r="B405" s="130" t="s">
        <v>172</v>
      </c>
      <c r="C405" s="130" t="s">
        <v>202</v>
      </c>
      <c r="D405" s="130">
        <v>1</v>
      </c>
      <c r="E405" s="130">
        <v>7</v>
      </c>
      <c r="F405" s="130">
        <f t="shared" si="39"/>
        <v>-0.27653383848019841</v>
      </c>
      <c r="G405" s="130">
        <f t="shared" si="40"/>
        <v>12.644456600395447</v>
      </c>
      <c r="H405" s="130">
        <f t="shared" si="41"/>
        <v>1.2762933814991615</v>
      </c>
      <c r="I405" s="130">
        <f t="shared" si="42"/>
        <v>-0.34688900459717936</v>
      </c>
      <c r="J405" s="130"/>
      <c r="K405" s="130"/>
      <c r="L405" s="170">
        <v>-40583</v>
      </c>
      <c r="M405" s="171">
        <v>380</v>
      </c>
      <c r="N405" s="172">
        <v>178425</v>
      </c>
      <c r="O405" s="172">
        <v>310040</v>
      </c>
      <c r="P405" s="172">
        <v>146756</v>
      </c>
      <c r="Q405" s="172">
        <v>-85662</v>
      </c>
      <c r="R405" s="172">
        <v>80459</v>
      </c>
      <c r="S405" s="172">
        <v>315243</v>
      </c>
      <c r="T405" s="172">
        <f t="shared" si="38"/>
        <v>395702</v>
      </c>
    </row>
    <row r="406" spans="1:20" ht="17">
      <c r="A406" s="130" t="s">
        <v>151</v>
      </c>
      <c r="B406" s="130" t="s">
        <v>172</v>
      </c>
      <c r="C406" s="130" t="s">
        <v>201</v>
      </c>
      <c r="D406" s="130">
        <v>1</v>
      </c>
      <c r="E406" s="130">
        <v>13</v>
      </c>
      <c r="F406" s="130">
        <f t="shared" si="39"/>
        <v>0.10876134275020806</v>
      </c>
      <c r="G406" s="130">
        <f t="shared" si="40"/>
        <v>12.874283996424873</v>
      </c>
      <c r="H406" s="130">
        <f t="shared" si="41"/>
        <v>1.1670413098585413</v>
      </c>
      <c r="I406" s="130">
        <f t="shared" si="42"/>
        <v>0.15428832679228224</v>
      </c>
      <c r="J406" s="130"/>
      <c r="K406" s="130"/>
      <c r="L406" s="170">
        <v>24439</v>
      </c>
      <c r="M406" s="171">
        <v>379</v>
      </c>
      <c r="N406" s="172">
        <v>184220</v>
      </c>
      <c r="O406" s="172">
        <v>390149</v>
      </c>
      <c r="P406" s="172">
        <v>224703</v>
      </c>
      <c r="Q406" s="172">
        <v>-65171</v>
      </c>
      <c r="R406" s="172">
        <v>134866</v>
      </c>
      <c r="S406" s="172">
        <v>320454</v>
      </c>
      <c r="T406" s="148">
        <f t="shared" si="38"/>
        <v>455320</v>
      </c>
    </row>
    <row r="407" spans="1:20">
      <c r="A407" s="130" t="s">
        <v>151</v>
      </c>
      <c r="B407" s="130" t="s">
        <v>172</v>
      </c>
      <c r="C407" s="130" t="s">
        <v>173</v>
      </c>
      <c r="D407" s="130">
        <v>0</v>
      </c>
      <c r="E407" s="130">
        <v>10</v>
      </c>
      <c r="F407" s="130">
        <f t="shared" si="39"/>
        <v>-0.26010951979780961</v>
      </c>
      <c r="G407" s="130">
        <f t="shared" si="40"/>
        <v>12.727523619797052</v>
      </c>
      <c r="H407" s="130">
        <f t="shared" si="41"/>
        <v>1.3466550309592928</v>
      </c>
      <c r="I407" s="130">
        <f>AVERAGE(I404:I406)</f>
        <v>4.4406350059655757E-2</v>
      </c>
      <c r="J407" s="130"/>
      <c r="K407" s="130"/>
      <c r="L407" s="154">
        <v>-50635</v>
      </c>
      <c r="M407" s="130">
        <v>424</v>
      </c>
      <c r="N407" s="148">
        <v>243622</v>
      </c>
      <c r="O407" s="148">
        <v>336894</v>
      </c>
      <c r="P407" s="148">
        <v>194668</v>
      </c>
      <c r="Q407" s="148">
        <v>-116786</v>
      </c>
      <c r="R407" s="148">
        <v>121301</v>
      </c>
      <c r="S407" s="148">
        <v>332379</v>
      </c>
      <c r="T407" s="148">
        <f t="shared" si="38"/>
        <v>453680</v>
      </c>
    </row>
  </sheetData>
  <autoFilter ref="A1:T1" xr:uid="{FA5504BF-93C0-C74D-8118-85E25DF37ECA}">
    <sortState xmlns:xlrd2="http://schemas.microsoft.com/office/spreadsheetml/2017/richdata2" ref="A2:T407">
      <sortCondition ref="A1:A407"/>
    </sortState>
  </autoFilter>
  <dataValidations count="2">
    <dataValidation allowBlank="1" showInputMessage="1" showErrorMessage="1" errorTitle="jjmb" error="mn" promptTitle="bbj" sqref="N117:O117 M115:O115 Q115:R115 L29:R40 A27:E40 L27:R27" xr:uid="{A3A300A6-C827-2143-ACEC-209F2CC03124}"/>
    <dataValidation allowBlank="1" showInputMessage="1" showErrorMessage="1" promptTitle="NOO" sqref="A1:E6 L1:T6 F1:K407" xr:uid="{0B0D0380-5DB7-B140-A2D4-6A1B5F56FC69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4D0D-C666-F946-BF36-CE07BB636E8E}">
  <dimension ref="A1:I144"/>
  <sheetViews>
    <sheetView workbookViewId="0">
      <selection activeCell="H3" sqref="H3:I9"/>
    </sheetView>
  </sheetViews>
  <sheetFormatPr baseColWidth="10" defaultRowHeight="16"/>
  <cols>
    <col min="1" max="1" width="23.5" bestFit="1" customWidth="1"/>
    <col min="2" max="3" width="25.5" bestFit="1" customWidth="1"/>
    <col min="8" max="8" width="43.6640625" bestFit="1" customWidth="1"/>
    <col min="9" max="9" width="5.6640625" bestFit="1" customWidth="1"/>
  </cols>
  <sheetData>
    <row r="1" spans="1:9">
      <c r="A1" s="3" t="s">
        <v>0</v>
      </c>
      <c r="B1" t="s">
        <v>226</v>
      </c>
    </row>
    <row r="3" spans="1:9">
      <c r="A3" s="3" t="s">
        <v>1</v>
      </c>
      <c r="B3" t="s">
        <v>230</v>
      </c>
      <c r="H3" t="s">
        <v>4</v>
      </c>
      <c r="I3">
        <v>55</v>
      </c>
    </row>
    <row r="4" spans="1:9">
      <c r="A4" s="4" t="s">
        <v>3</v>
      </c>
      <c r="B4">
        <v>5</v>
      </c>
      <c r="D4">
        <f>COUNTIF(B4:B143,"&gt;0")</f>
        <v>111</v>
      </c>
      <c r="H4" t="s">
        <v>6</v>
      </c>
      <c r="I4" s="2">
        <v>7840</v>
      </c>
    </row>
    <row r="5" spans="1:9">
      <c r="A5" s="4" t="s">
        <v>5</v>
      </c>
      <c r="B5">
        <v>1</v>
      </c>
      <c r="D5">
        <f>COUNTA(A4:A143)</f>
        <v>140</v>
      </c>
      <c r="H5" t="s">
        <v>8</v>
      </c>
      <c r="I5">
        <v>420</v>
      </c>
    </row>
    <row r="6" spans="1:9">
      <c r="A6" s="4" t="s">
        <v>9</v>
      </c>
      <c r="B6">
        <v>1</v>
      </c>
      <c r="H6" t="s">
        <v>10</v>
      </c>
      <c r="I6">
        <v>5</v>
      </c>
    </row>
    <row r="7" spans="1:9">
      <c r="A7" s="4" t="s">
        <v>11</v>
      </c>
      <c r="B7">
        <v>1</v>
      </c>
      <c r="H7" t="s">
        <v>12</v>
      </c>
      <c r="I7">
        <v>140</v>
      </c>
    </row>
    <row r="8" spans="1:9">
      <c r="A8" s="4" t="s">
        <v>13</v>
      </c>
      <c r="B8">
        <v>5</v>
      </c>
      <c r="H8" t="s">
        <v>14</v>
      </c>
      <c r="I8">
        <v>29</v>
      </c>
    </row>
    <row r="9" spans="1:9">
      <c r="A9" s="4" t="s">
        <v>15</v>
      </c>
      <c r="B9">
        <v>1</v>
      </c>
      <c r="H9" t="s">
        <v>16</v>
      </c>
      <c r="I9">
        <v>111</v>
      </c>
    </row>
    <row r="10" spans="1:9">
      <c r="A10" s="4" t="s">
        <v>157</v>
      </c>
      <c r="B10">
        <v>1</v>
      </c>
    </row>
    <row r="11" spans="1:9">
      <c r="A11" s="4" t="s">
        <v>17</v>
      </c>
      <c r="B11">
        <v>3</v>
      </c>
    </row>
    <row r="12" spans="1:9">
      <c r="A12" s="4" t="s">
        <v>18</v>
      </c>
      <c r="B12">
        <v>4</v>
      </c>
    </row>
    <row r="13" spans="1:9">
      <c r="A13" s="4" t="s">
        <v>19</v>
      </c>
      <c r="B13">
        <v>3</v>
      </c>
    </row>
    <row r="14" spans="1:9">
      <c r="A14" s="4" t="s">
        <v>20</v>
      </c>
      <c r="B14">
        <v>5</v>
      </c>
    </row>
    <row r="15" spans="1:9">
      <c r="A15" s="4" t="s">
        <v>21</v>
      </c>
      <c r="B15">
        <v>5</v>
      </c>
    </row>
    <row r="16" spans="1:9">
      <c r="A16" s="4" t="s">
        <v>22</v>
      </c>
      <c r="B16">
        <v>5</v>
      </c>
    </row>
    <row r="17" spans="1:2">
      <c r="A17" s="4" t="s">
        <v>23</v>
      </c>
      <c r="B17">
        <v>5</v>
      </c>
    </row>
    <row r="18" spans="1:2">
      <c r="A18" s="4" t="s">
        <v>24</v>
      </c>
      <c r="B18">
        <v>3</v>
      </c>
    </row>
    <row r="19" spans="1:2">
      <c r="A19" s="4" t="s">
        <v>25</v>
      </c>
      <c r="B19">
        <v>5</v>
      </c>
    </row>
    <row r="20" spans="1:2">
      <c r="A20" s="4" t="s">
        <v>26</v>
      </c>
      <c r="B20">
        <v>5</v>
      </c>
    </row>
    <row r="21" spans="1:2">
      <c r="A21" s="4" t="s">
        <v>27</v>
      </c>
      <c r="B21">
        <v>5</v>
      </c>
    </row>
    <row r="22" spans="1:2">
      <c r="A22" s="4" t="s">
        <v>28</v>
      </c>
      <c r="B22">
        <v>5</v>
      </c>
    </row>
    <row r="23" spans="1:2">
      <c r="A23" s="4" t="s">
        <v>29</v>
      </c>
      <c r="B23">
        <v>2</v>
      </c>
    </row>
    <row r="24" spans="1:2">
      <c r="A24" s="4" t="s">
        <v>30</v>
      </c>
    </row>
    <row r="25" spans="1:2">
      <c r="A25" s="4" t="s">
        <v>31</v>
      </c>
      <c r="B25">
        <v>5</v>
      </c>
    </row>
    <row r="26" spans="1:2">
      <c r="A26" s="4" t="s">
        <v>32</v>
      </c>
      <c r="B26">
        <v>5</v>
      </c>
    </row>
    <row r="27" spans="1:2">
      <c r="A27" s="4" t="s">
        <v>33</v>
      </c>
      <c r="B27">
        <v>3</v>
      </c>
    </row>
    <row r="28" spans="1:2">
      <c r="A28" s="4" t="s">
        <v>34</v>
      </c>
      <c r="B28">
        <v>1</v>
      </c>
    </row>
    <row r="29" spans="1:2">
      <c r="A29" s="4" t="s">
        <v>35</v>
      </c>
    </row>
    <row r="30" spans="1:2">
      <c r="A30" s="4" t="s">
        <v>36</v>
      </c>
      <c r="B30">
        <v>5</v>
      </c>
    </row>
    <row r="31" spans="1:2">
      <c r="A31" s="4" t="s">
        <v>37</v>
      </c>
      <c r="B31">
        <v>5</v>
      </c>
    </row>
    <row r="32" spans="1:2">
      <c r="A32" s="4" t="s">
        <v>38</v>
      </c>
      <c r="B32">
        <v>2</v>
      </c>
    </row>
    <row r="33" spans="1:2">
      <c r="A33" s="4" t="s">
        <v>39</v>
      </c>
      <c r="B33">
        <v>2</v>
      </c>
    </row>
    <row r="34" spans="1:2">
      <c r="A34" s="4" t="s">
        <v>40</v>
      </c>
      <c r="B34">
        <v>2</v>
      </c>
    </row>
    <row r="35" spans="1:2">
      <c r="A35" s="4" t="s">
        <v>41</v>
      </c>
    </row>
    <row r="36" spans="1:2">
      <c r="A36" s="4" t="s">
        <v>42</v>
      </c>
    </row>
    <row r="37" spans="1:2">
      <c r="A37" s="4" t="s">
        <v>43</v>
      </c>
      <c r="B37">
        <v>5</v>
      </c>
    </row>
    <row r="38" spans="1:2">
      <c r="A38" s="4" t="s">
        <v>44</v>
      </c>
      <c r="B38">
        <v>5</v>
      </c>
    </row>
    <row r="39" spans="1:2">
      <c r="A39" s="4" t="s">
        <v>156</v>
      </c>
    </row>
    <row r="40" spans="1:2">
      <c r="A40" s="4" t="s">
        <v>45</v>
      </c>
      <c r="B40">
        <v>1</v>
      </c>
    </row>
    <row r="41" spans="1:2">
      <c r="A41" s="4" t="s">
        <v>46</v>
      </c>
    </row>
    <row r="42" spans="1:2">
      <c r="A42" s="4" t="s">
        <v>47</v>
      </c>
      <c r="B42">
        <v>5</v>
      </c>
    </row>
    <row r="43" spans="1:2">
      <c r="A43" s="4" t="s">
        <v>48</v>
      </c>
      <c r="B43">
        <v>2</v>
      </c>
    </row>
    <row r="44" spans="1:2">
      <c r="A44" s="4" t="s">
        <v>49</v>
      </c>
    </row>
    <row r="45" spans="1:2">
      <c r="A45" s="4" t="s">
        <v>50</v>
      </c>
      <c r="B45">
        <v>1</v>
      </c>
    </row>
    <row r="46" spans="1:2">
      <c r="A46" s="4" t="s">
        <v>51</v>
      </c>
      <c r="B46">
        <v>4</v>
      </c>
    </row>
    <row r="47" spans="1:2">
      <c r="A47" s="4" t="s">
        <v>52</v>
      </c>
      <c r="B47">
        <v>2</v>
      </c>
    </row>
    <row r="48" spans="1:2">
      <c r="A48" s="4" t="s">
        <v>53</v>
      </c>
      <c r="B48">
        <v>1</v>
      </c>
    </row>
    <row r="49" spans="1:2">
      <c r="A49" s="4" t="s">
        <v>54</v>
      </c>
      <c r="B49">
        <v>2</v>
      </c>
    </row>
    <row r="50" spans="1:2">
      <c r="A50" s="4" t="s">
        <v>55</v>
      </c>
      <c r="B50">
        <v>2</v>
      </c>
    </row>
    <row r="51" spans="1:2">
      <c r="A51" s="4" t="s">
        <v>56</v>
      </c>
      <c r="B51">
        <v>4</v>
      </c>
    </row>
    <row r="52" spans="1:2">
      <c r="A52" s="4" t="s">
        <v>57</v>
      </c>
      <c r="B52">
        <v>5</v>
      </c>
    </row>
    <row r="53" spans="1:2">
      <c r="A53" s="4" t="s">
        <v>158</v>
      </c>
      <c r="B53">
        <v>2</v>
      </c>
    </row>
    <row r="54" spans="1:2">
      <c r="A54" s="4" t="s">
        <v>58</v>
      </c>
      <c r="B54">
        <v>5</v>
      </c>
    </row>
    <row r="55" spans="1:2">
      <c r="A55" s="4" t="s">
        <v>59</v>
      </c>
      <c r="B55">
        <v>5</v>
      </c>
    </row>
    <row r="56" spans="1:2">
      <c r="A56" s="4" t="s">
        <v>60</v>
      </c>
    </row>
    <row r="57" spans="1:2">
      <c r="A57" s="4" t="s">
        <v>61</v>
      </c>
      <c r="B57">
        <v>2</v>
      </c>
    </row>
    <row r="58" spans="1:2">
      <c r="A58" s="4" t="s">
        <v>62</v>
      </c>
      <c r="B58">
        <v>5</v>
      </c>
    </row>
    <row r="59" spans="1:2">
      <c r="A59" s="4" t="s">
        <v>63</v>
      </c>
    </row>
    <row r="60" spans="1:2">
      <c r="A60" s="4" t="s">
        <v>64</v>
      </c>
    </row>
    <row r="61" spans="1:2">
      <c r="A61" s="4" t="s">
        <v>65</v>
      </c>
      <c r="B61">
        <v>5</v>
      </c>
    </row>
    <row r="62" spans="1:2">
      <c r="A62" s="4" t="s">
        <v>66</v>
      </c>
      <c r="B62">
        <v>5</v>
      </c>
    </row>
    <row r="63" spans="1:2">
      <c r="A63" s="4" t="s">
        <v>153</v>
      </c>
      <c r="B63">
        <v>1</v>
      </c>
    </row>
    <row r="64" spans="1:2">
      <c r="A64" s="4" t="s">
        <v>67</v>
      </c>
      <c r="B64">
        <v>2</v>
      </c>
    </row>
    <row r="65" spans="1:2">
      <c r="A65" s="4" t="s">
        <v>68</v>
      </c>
      <c r="B65">
        <v>5</v>
      </c>
    </row>
    <row r="66" spans="1:2">
      <c r="A66" s="4" t="s">
        <v>69</v>
      </c>
    </row>
    <row r="67" spans="1:2">
      <c r="A67" s="4" t="s">
        <v>70</v>
      </c>
    </row>
    <row r="68" spans="1:2">
      <c r="A68" s="4" t="s">
        <v>71</v>
      </c>
      <c r="B68">
        <v>2</v>
      </c>
    </row>
    <row r="69" spans="1:2">
      <c r="A69" s="4" t="s">
        <v>72</v>
      </c>
    </row>
    <row r="70" spans="1:2">
      <c r="A70" s="4" t="s">
        <v>73</v>
      </c>
    </row>
    <row r="71" spans="1:2">
      <c r="A71" s="4" t="s">
        <v>75</v>
      </c>
      <c r="B71">
        <v>5</v>
      </c>
    </row>
    <row r="72" spans="1:2">
      <c r="A72" s="4" t="s">
        <v>76</v>
      </c>
      <c r="B72">
        <v>5</v>
      </c>
    </row>
    <row r="73" spans="1:2">
      <c r="A73" s="4" t="s">
        <v>77</v>
      </c>
      <c r="B73">
        <v>5</v>
      </c>
    </row>
    <row r="74" spans="1:2">
      <c r="A74" s="4" t="s">
        <v>78</v>
      </c>
      <c r="B74">
        <v>1</v>
      </c>
    </row>
    <row r="75" spans="1:2">
      <c r="A75" s="4" t="s">
        <v>79</v>
      </c>
      <c r="B75">
        <v>4</v>
      </c>
    </row>
    <row r="76" spans="1:2">
      <c r="A76" s="4" t="s">
        <v>80</v>
      </c>
      <c r="B76">
        <v>4</v>
      </c>
    </row>
    <row r="77" spans="1:2">
      <c r="A77" s="4" t="s">
        <v>81</v>
      </c>
      <c r="B77">
        <v>4</v>
      </c>
    </row>
    <row r="78" spans="1:2">
      <c r="A78" s="4" t="s">
        <v>82</v>
      </c>
    </row>
    <row r="79" spans="1:2">
      <c r="A79" s="4" t="s">
        <v>83</v>
      </c>
      <c r="B79">
        <v>5</v>
      </c>
    </row>
    <row r="80" spans="1:2">
      <c r="A80" s="4" t="s">
        <v>84</v>
      </c>
      <c r="B80">
        <v>1</v>
      </c>
    </row>
    <row r="81" spans="1:2">
      <c r="A81" s="4" t="s">
        <v>85</v>
      </c>
      <c r="B81">
        <v>2</v>
      </c>
    </row>
    <row r="82" spans="1:2">
      <c r="A82" s="4" t="s">
        <v>86</v>
      </c>
    </row>
    <row r="83" spans="1:2">
      <c r="A83" s="4" t="s">
        <v>87</v>
      </c>
      <c r="B83">
        <v>5</v>
      </c>
    </row>
    <row r="84" spans="1:2">
      <c r="A84" s="4" t="s">
        <v>88</v>
      </c>
    </row>
    <row r="85" spans="1:2">
      <c r="A85" s="4" t="s">
        <v>89</v>
      </c>
      <c r="B85">
        <v>5</v>
      </c>
    </row>
    <row r="86" spans="1:2">
      <c r="A86" s="4" t="s">
        <v>90</v>
      </c>
      <c r="B86">
        <v>5</v>
      </c>
    </row>
    <row r="87" spans="1:2">
      <c r="A87" s="4" t="s">
        <v>91</v>
      </c>
      <c r="B87">
        <v>2</v>
      </c>
    </row>
    <row r="88" spans="1:2">
      <c r="A88" s="4" t="s">
        <v>92</v>
      </c>
    </row>
    <row r="89" spans="1:2">
      <c r="A89" s="4" t="s">
        <v>93</v>
      </c>
      <c r="B89">
        <v>2</v>
      </c>
    </row>
    <row r="90" spans="1:2">
      <c r="A90" s="4" t="s">
        <v>94</v>
      </c>
      <c r="B90">
        <v>5</v>
      </c>
    </row>
    <row r="91" spans="1:2">
      <c r="A91" s="4" t="s">
        <v>95</v>
      </c>
      <c r="B91">
        <v>5</v>
      </c>
    </row>
    <row r="92" spans="1:2">
      <c r="A92" s="4" t="s">
        <v>96</v>
      </c>
      <c r="B92">
        <v>4</v>
      </c>
    </row>
    <row r="93" spans="1:2">
      <c r="A93" s="4" t="s">
        <v>98</v>
      </c>
      <c r="B93">
        <v>5</v>
      </c>
    </row>
    <row r="94" spans="1:2">
      <c r="A94" s="4" t="s">
        <v>100</v>
      </c>
      <c r="B94">
        <v>5</v>
      </c>
    </row>
    <row r="95" spans="1:2">
      <c r="A95" s="4" t="s">
        <v>101</v>
      </c>
      <c r="B95">
        <v>5</v>
      </c>
    </row>
    <row r="96" spans="1:2">
      <c r="A96" s="4" t="s">
        <v>102</v>
      </c>
      <c r="B96">
        <v>5</v>
      </c>
    </row>
    <row r="97" spans="1:2">
      <c r="A97" s="4" t="s">
        <v>103</v>
      </c>
      <c r="B97">
        <v>3</v>
      </c>
    </row>
    <row r="98" spans="1:2">
      <c r="A98" s="4" t="s">
        <v>104</v>
      </c>
      <c r="B98">
        <v>2</v>
      </c>
    </row>
    <row r="99" spans="1:2">
      <c r="A99" s="4" t="s">
        <v>105</v>
      </c>
      <c r="B99">
        <v>5</v>
      </c>
    </row>
    <row r="100" spans="1:2">
      <c r="A100" s="4" t="s">
        <v>106</v>
      </c>
      <c r="B100">
        <v>5</v>
      </c>
    </row>
    <row r="101" spans="1:2">
      <c r="A101" s="4" t="s">
        <v>107</v>
      </c>
      <c r="B101">
        <v>5</v>
      </c>
    </row>
    <row r="102" spans="1:2">
      <c r="A102" s="4" t="s">
        <v>108</v>
      </c>
      <c r="B102">
        <v>3</v>
      </c>
    </row>
    <row r="103" spans="1:2">
      <c r="A103" s="4" t="s">
        <v>109</v>
      </c>
      <c r="B103">
        <v>1</v>
      </c>
    </row>
    <row r="104" spans="1:2">
      <c r="A104" s="4" t="s">
        <v>111</v>
      </c>
      <c r="B104">
        <v>5</v>
      </c>
    </row>
    <row r="105" spans="1:2">
      <c r="A105" s="4" t="s">
        <v>112</v>
      </c>
      <c r="B105">
        <v>2</v>
      </c>
    </row>
    <row r="106" spans="1:2">
      <c r="A106" s="4" t="s">
        <v>114</v>
      </c>
      <c r="B106">
        <v>2</v>
      </c>
    </row>
    <row r="107" spans="1:2">
      <c r="A107" s="4" t="s">
        <v>115</v>
      </c>
      <c r="B107">
        <v>2</v>
      </c>
    </row>
    <row r="108" spans="1:2">
      <c r="A108" s="4" t="s">
        <v>116</v>
      </c>
      <c r="B108">
        <v>5</v>
      </c>
    </row>
    <row r="109" spans="1:2">
      <c r="A109" s="4" t="s">
        <v>117</v>
      </c>
      <c r="B109">
        <v>5</v>
      </c>
    </row>
    <row r="110" spans="1:2">
      <c r="A110" s="4" t="s">
        <v>118</v>
      </c>
      <c r="B110">
        <v>5</v>
      </c>
    </row>
    <row r="111" spans="1:2">
      <c r="A111" s="4" t="s">
        <v>119</v>
      </c>
    </row>
    <row r="112" spans="1:2">
      <c r="A112" s="4" t="s">
        <v>120</v>
      </c>
    </row>
    <row r="113" spans="1:2">
      <c r="A113" s="4" t="s">
        <v>121</v>
      </c>
      <c r="B113">
        <v>5</v>
      </c>
    </row>
    <row r="114" spans="1:2">
      <c r="A114" s="4" t="s">
        <v>122</v>
      </c>
      <c r="B114">
        <v>1</v>
      </c>
    </row>
    <row r="115" spans="1:2">
      <c r="A115" s="4" t="s">
        <v>123</v>
      </c>
      <c r="B115">
        <v>5</v>
      </c>
    </row>
    <row r="116" spans="1:2">
      <c r="A116" s="4" t="s">
        <v>124</v>
      </c>
      <c r="B116">
        <v>5</v>
      </c>
    </row>
    <row r="117" spans="1:2">
      <c r="A117" s="4" t="s">
        <v>126</v>
      </c>
      <c r="B117">
        <v>4</v>
      </c>
    </row>
    <row r="118" spans="1:2">
      <c r="A118" s="4" t="s">
        <v>127</v>
      </c>
    </row>
    <row r="119" spans="1:2">
      <c r="A119" s="4" t="s">
        <v>128</v>
      </c>
    </row>
    <row r="120" spans="1:2">
      <c r="A120" s="4" t="s">
        <v>129</v>
      </c>
      <c r="B120">
        <v>5</v>
      </c>
    </row>
    <row r="121" spans="1:2">
      <c r="A121" s="4" t="s">
        <v>130</v>
      </c>
    </row>
    <row r="122" spans="1:2">
      <c r="A122" s="4" t="s">
        <v>131</v>
      </c>
      <c r="B122">
        <v>2</v>
      </c>
    </row>
    <row r="123" spans="1:2">
      <c r="A123" s="4" t="s">
        <v>133</v>
      </c>
      <c r="B123">
        <v>3</v>
      </c>
    </row>
    <row r="124" spans="1:2">
      <c r="A124" s="4" t="s">
        <v>134</v>
      </c>
      <c r="B124">
        <v>4</v>
      </c>
    </row>
    <row r="125" spans="1:2">
      <c r="A125" s="4" t="s">
        <v>135</v>
      </c>
      <c r="B125">
        <v>5</v>
      </c>
    </row>
    <row r="126" spans="1:2">
      <c r="A126" s="4" t="s">
        <v>136</v>
      </c>
    </row>
    <row r="127" spans="1:2">
      <c r="A127" s="4" t="s">
        <v>138</v>
      </c>
    </row>
    <row r="128" spans="1:2">
      <c r="A128" s="4" t="s">
        <v>139</v>
      </c>
      <c r="B128">
        <v>5</v>
      </c>
    </row>
    <row r="129" spans="1:2">
      <c r="A129" s="4" t="s">
        <v>140</v>
      </c>
      <c r="B129">
        <v>5</v>
      </c>
    </row>
    <row r="130" spans="1:2">
      <c r="A130" s="4" t="s">
        <v>141</v>
      </c>
      <c r="B130">
        <v>3</v>
      </c>
    </row>
    <row r="131" spans="1:2">
      <c r="A131" s="4" t="s">
        <v>142</v>
      </c>
      <c r="B131">
        <v>5</v>
      </c>
    </row>
    <row r="132" spans="1:2">
      <c r="A132" s="4" t="s">
        <v>143</v>
      </c>
      <c r="B132">
        <v>2</v>
      </c>
    </row>
    <row r="133" spans="1:2">
      <c r="A133" s="4" t="s">
        <v>144</v>
      </c>
      <c r="B133">
        <v>5</v>
      </c>
    </row>
    <row r="134" spans="1:2">
      <c r="A134" s="4" t="s">
        <v>145</v>
      </c>
      <c r="B134">
        <v>5</v>
      </c>
    </row>
    <row r="135" spans="1:2">
      <c r="A135" s="4" t="s">
        <v>154</v>
      </c>
    </row>
    <row r="136" spans="1:2">
      <c r="A136" s="4" t="s">
        <v>146</v>
      </c>
    </row>
    <row r="137" spans="1:2">
      <c r="A137" s="4" t="s">
        <v>155</v>
      </c>
      <c r="B137">
        <v>4</v>
      </c>
    </row>
    <row r="138" spans="1:2">
      <c r="A138" s="4" t="s">
        <v>147</v>
      </c>
      <c r="B138">
        <v>5</v>
      </c>
    </row>
    <row r="139" spans="1:2">
      <c r="A139" s="4" t="s">
        <v>148</v>
      </c>
      <c r="B139">
        <v>4</v>
      </c>
    </row>
    <row r="140" spans="1:2">
      <c r="A140" s="4" t="s">
        <v>149</v>
      </c>
    </row>
    <row r="141" spans="1:2">
      <c r="A141" s="4" t="s">
        <v>150</v>
      </c>
      <c r="B141">
        <v>5</v>
      </c>
    </row>
    <row r="142" spans="1:2">
      <c r="A142" s="4" t="s">
        <v>151</v>
      </c>
      <c r="B142">
        <v>4</v>
      </c>
    </row>
    <row r="143" spans="1:2">
      <c r="A143" s="4" t="s">
        <v>152</v>
      </c>
    </row>
    <row r="144" spans="1:2">
      <c r="A144" s="4" t="s">
        <v>159</v>
      </c>
      <c r="B144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AA74-642C-BC4F-9783-5754B0973580}">
  <dimension ref="A2:L144"/>
  <sheetViews>
    <sheetView topLeftCell="D1" zoomScale="91" workbookViewId="0">
      <selection activeCell="H59" sqref="H59"/>
    </sheetView>
  </sheetViews>
  <sheetFormatPr baseColWidth="10" defaultRowHeight="16"/>
  <cols>
    <col min="1" max="1" width="23.5" bestFit="1" customWidth="1"/>
    <col min="2" max="2" width="38.5" bestFit="1" customWidth="1"/>
    <col min="3" max="3" width="14.5" bestFit="1" customWidth="1"/>
    <col min="4" max="4" width="22.33203125" bestFit="1" customWidth="1"/>
    <col min="5" max="5" width="11.6640625" bestFit="1" customWidth="1"/>
    <col min="6" max="6" width="25.1640625" bestFit="1" customWidth="1"/>
    <col min="7" max="7" width="26.33203125" bestFit="1" customWidth="1"/>
    <col min="8" max="8" width="36.33203125" bestFit="1" customWidth="1"/>
    <col min="9" max="10" width="25.1640625" bestFit="1" customWidth="1"/>
    <col min="11" max="11" width="26.33203125" bestFit="1" customWidth="1"/>
    <col min="12" max="12" width="28.33203125" bestFit="1" customWidth="1"/>
  </cols>
  <sheetData>
    <row r="2" spans="1:8">
      <c r="F2" s="160" t="s">
        <v>0</v>
      </c>
      <c r="G2" s="160" t="s">
        <v>234</v>
      </c>
      <c r="H2" s="161" t="s">
        <v>229</v>
      </c>
    </row>
    <row r="3" spans="1:8">
      <c r="A3" s="3" t="s">
        <v>1</v>
      </c>
      <c r="B3" t="s">
        <v>228</v>
      </c>
      <c r="C3" t="s">
        <v>257</v>
      </c>
      <c r="F3" s="138" t="s">
        <v>200</v>
      </c>
      <c r="G3" s="150" t="s">
        <v>106</v>
      </c>
      <c r="H3" s="162">
        <v>5</v>
      </c>
    </row>
    <row r="4" spans="1:8">
      <c r="A4" s="4" t="s">
        <v>3</v>
      </c>
      <c r="B4">
        <v>3</v>
      </c>
      <c r="C4">
        <v>5</v>
      </c>
      <c r="F4" s="138" t="s">
        <v>199</v>
      </c>
      <c r="G4" s="150" t="s">
        <v>142</v>
      </c>
      <c r="H4" s="162">
        <v>5</v>
      </c>
    </row>
    <row r="5" spans="1:8">
      <c r="A5" s="4" t="s">
        <v>5</v>
      </c>
      <c r="B5">
        <v>1</v>
      </c>
      <c r="C5">
        <v>1</v>
      </c>
      <c r="F5" s="138" t="s">
        <v>199</v>
      </c>
      <c r="G5" s="150" t="s">
        <v>31</v>
      </c>
      <c r="H5" s="162">
        <v>4</v>
      </c>
    </row>
    <row r="6" spans="1:8">
      <c r="A6" s="4" t="s">
        <v>9</v>
      </c>
      <c r="C6">
        <v>1</v>
      </c>
      <c r="F6" s="138" t="s">
        <v>199</v>
      </c>
      <c r="G6" s="150" t="s">
        <v>62</v>
      </c>
      <c r="H6" s="162">
        <v>4</v>
      </c>
    </row>
    <row r="7" spans="1:8">
      <c r="A7" s="4" t="s">
        <v>11</v>
      </c>
      <c r="C7">
        <v>1</v>
      </c>
      <c r="F7" s="138" t="s">
        <v>200</v>
      </c>
      <c r="G7" s="150" t="s">
        <v>89</v>
      </c>
      <c r="H7" s="162">
        <v>3</v>
      </c>
    </row>
    <row r="8" spans="1:8">
      <c r="A8" s="4" t="s">
        <v>13</v>
      </c>
      <c r="C8">
        <v>5</v>
      </c>
      <c r="F8" s="138" t="s">
        <v>200</v>
      </c>
      <c r="G8" s="150" t="s">
        <v>111</v>
      </c>
      <c r="H8" s="162">
        <v>3</v>
      </c>
    </row>
    <row r="9" spans="1:8">
      <c r="A9" s="4" t="s">
        <v>15</v>
      </c>
      <c r="C9">
        <v>3</v>
      </c>
      <c r="F9" s="138" t="s">
        <v>172</v>
      </c>
      <c r="G9" s="150" t="s">
        <v>151</v>
      </c>
      <c r="H9" s="162">
        <v>3</v>
      </c>
    </row>
    <row r="10" spans="1:8">
      <c r="A10" s="4" t="s">
        <v>157</v>
      </c>
      <c r="C10">
        <v>1</v>
      </c>
      <c r="F10" s="138" t="s">
        <v>198</v>
      </c>
      <c r="G10" s="150" t="s">
        <v>3</v>
      </c>
      <c r="H10" s="162">
        <v>3</v>
      </c>
    </row>
    <row r="11" spans="1:8">
      <c r="A11" s="4" t="s">
        <v>17</v>
      </c>
      <c r="C11">
        <v>3</v>
      </c>
      <c r="F11" s="138" t="s">
        <v>198</v>
      </c>
      <c r="G11" s="150" t="s">
        <v>75</v>
      </c>
      <c r="H11" s="162">
        <v>3</v>
      </c>
    </row>
    <row r="12" spans="1:8">
      <c r="A12" s="4" t="s">
        <v>18</v>
      </c>
      <c r="C12">
        <v>5</v>
      </c>
      <c r="F12" s="138" t="s">
        <v>198</v>
      </c>
      <c r="G12" s="150" t="s">
        <v>121</v>
      </c>
      <c r="H12" s="162">
        <v>3</v>
      </c>
    </row>
    <row r="13" spans="1:8">
      <c r="A13" s="4" t="s">
        <v>19</v>
      </c>
      <c r="C13">
        <v>3</v>
      </c>
      <c r="F13" s="138" t="s">
        <v>199</v>
      </c>
      <c r="G13" s="150" t="s">
        <v>76</v>
      </c>
      <c r="H13" s="162">
        <v>3</v>
      </c>
    </row>
    <row r="14" spans="1:8">
      <c r="A14" s="4" t="s">
        <v>20</v>
      </c>
      <c r="C14">
        <v>5</v>
      </c>
      <c r="F14" s="138" t="s">
        <v>193</v>
      </c>
      <c r="G14" s="150" t="s">
        <v>27</v>
      </c>
      <c r="H14" s="162">
        <v>2</v>
      </c>
    </row>
    <row r="15" spans="1:8">
      <c r="A15" s="4" t="s">
        <v>21</v>
      </c>
      <c r="C15">
        <v>5</v>
      </c>
      <c r="F15" s="138" t="s">
        <v>200</v>
      </c>
      <c r="G15" s="150" t="s">
        <v>22</v>
      </c>
      <c r="H15" s="162">
        <v>2</v>
      </c>
    </row>
    <row r="16" spans="1:8">
      <c r="A16" s="4" t="s">
        <v>22</v>
      </c>
      <c r="B16">
        <v>2</v>
      </c>
      <c r="C16">
        <v>5</v>
      </c>
      <c r="F16" s="138" t="s">
        <v>172</v>
      </c>
      <c r="G16" s="150" t="s">
        <v>44</v>
      </c>
      <c r="H16" s="162">
        <v>2</v>
      </c>
    </row>
    <row r="17" spans="1:9">
      <c r="A17" s="4" t="s">
        <v>23</v>
      </c>
      <c r="C17">
        <v>5</v>
      </c>
      <c r="E17" t="s">
        <v>263</v>
      </c>
      <c r="F17" s="138" t="s">
        <v>172</v>
      </c>
      <c r="G17" s="150" t="s">
        <v>94</v>
      </c>
      <c r="H17" s="162">
        <v>2</v>
      </c>
    </row>
    <row r="18" spans="1:9">
      <c r="A18" s="4" t="s">
        <v>24</v>
      </c>
      <c r="C18">
        <v>3</v>
      </c>
      <c r="F18" s="138" t="s">
        <v>199</v>
      </c>
      <c r="G18" s="150" t="s">
        <v>58</v>
      </c>
      <c r="H18" s="162">
        <v>2</v>
      </c>
    </row>
    <row r="19" spans="1:9">
      <c r="A19" s="4" t="s">
        <v>25</v>
      </c>
      <c r="C19">
        <v>5</v>
      </c>
      <c r="F19" s="138" t="s">
        <v>193</v>
      </c>
      <c r="G19" s="150" t="s">
        <v>28</v>
      </c>
      <c r="H19" s="162">
        <v>1</v>
      </c>
    </row>
    <row r="20" spans="1:9">
      <c r="A20" s="4" t="s">
        <v>26</v>
      </c>
      <c r="C20">
        <v>5</v>
      </c>
      <c r="F20" s="138" t="s">
        <v>193</v>
      </c>
      <c r="G20" s="150" t="s">
        <v>117</v>
      </c>
      <c r="H20" s="162">
        <v>1</v>
      </c>
    </row>
    <row r="21" spans="1:9">
      <c r="A21" s="4" t="s">
        <v>27</v>
      </c>
      <c r="B21">
        <v>2</v>
      </c>
      <c r="C21">
        <v>5</v>
      </c>
      <c r="F21" s="138" t="s">
        <v>172</v>
      </c>
      <c r="G21" s="150" t="s">
        <v>95</v>
      </c>
      <c r="H21" s="162">
        <v>1</v>
      </c>
    </row>
    <row r="22" spans="1:9">
      <c r="A22" s="4" t="s">
        <v>28</v>
      </c>
      <c r="B22">
        <v>1</v>
      </c>
      <c r="C22">
        <v>5</v>
      </c>
      <c r="F22" s="138" t="s">
        <v>198</v>
      </c>
      <c r="G22" s="150" t="s">
        <v>77</v>
      </c>
      <c r="H22" s="162">
        <v>1</v>
      </c>
    </row>
    <row r="23" spans="1:9">
      <c r="A23" s="4" t="s">
        <v>29</v>
      </c>
      <c r="C23">
        <v>2</v>
      </c>
      <c r="F23" s="138" t="s">
        <v>199</v>
      </c>
      <c r="G23" s="150" t="s">
        <v>5</v>
      </c>
      <c r="H23" s="162">
        <v>1</v>
      </c>
    </row>
    <row r="24" spans="1:9">
      <c r="A24" s="4" t="s">
        <v>30</v>
      </c>
      <c r="C24">
        <v>2</v>
      </c>
      <c r="G24" s="138"/>
      <c r="H24" s="138"/>
      <c r="I24" s="138"/>
    </row>
    <row r="25" spans="1:9">
      <c r="A25" s="4" t="s">
        <v>31</v>
      </c>
      <c r="B25">
        <v>4</v>
      </c>
      <c r="C25">
        <v>5</v>
      </c>
    </row>
    <row r="26" spans="1:9">
      <c r="A26" s="4" t="s">
        <v>32</v>
      </c>
      <c r="C26">
        <v>5</v>
      </c>
      <c r="F26" s="138" t="s">
        <v>258</v>
      </c>
    </row>
    <row r="27" spans="1:9">
      <c r="A27" s="4" t="s">
        <v>33</v>
      </c>
      <c r="C27">
        <v>3</v>
      </c>
      <c r="F27" s="138" t="s">
        <v>259</v>
      </c>
    </row>
    <row r="28" spans="1:9">
      <c r="A28" s="4" t="s">
        <v>34</v>
      </c>
      <c r="C28">
        <v>1</v>
      </c>
      <c r="F28" s="138" t="s">
        <v>260</v>
      </c>
    </row>
    <row r="29" spans="1:9">
      <c r="A29" s="4" t="s">
        <v>35</v>
      </c>
      <c r="C29">
        <v>1</v>
      </c>
      <c r="F29" s="138" t="s">
        <v>261</v>
      </c>
    </row>
    <row r="30" spans="1:9">
      <c r="A30" s="4" t="s">
        <v>36</v>
      </c>
      <c r="C30">
        <v>5</v>
      </c>
      <c r="F30" s="138" t="s">
        <v>262</v>
      </c>
    </row>
    <row r="31" spans="1:9">
      <c r="A31" s="4" t="s">
        <v>37</v>
      </c>
      <c r="C31">
        <v>5</v>
      </c>
    </row>
    <row r="32" spans="1:9">
      <c r="A32" s="4" t="s">
        <v>38</v>
      </c>
      <c r="C32">
        <v>2</v>
      </c>
    </row>
    <row r="33" spans="1:12">
      <c r="A33" s="4" t="s">
        <v>39</v>
      </c>
      <c r="C33">
        <v>2</v>
      </c>
    </row>
    <row r="34" spans="1:12">
      <c r="A34" s="4" t="s">
        <v>40</v>
      </c>
      <c r="C34">
        <v>2</v>
      </c>
      <c r="J34" s="201"/>
      <c r="K34" s="201"/>
      <c r="L34" s="201"/>
    </row>
    <row r="35" spans="1:12">
      <c r="A35" s="4" t="s">
        <v>41</v>
      </c>
      <c r="C35">
        <v>5</v>
      </c>
      <c r="J35" s="138"/>
      <c r="K35" s="150"/>
      <c r="L35" s="162"/>
    </row>
    <row r="36" spans="1:12">
      <c r="A36" s="4" t="s">
        <v>42</v>
      </c>
      <c r="C36">
        <v>1</v>
      </c>
      <c r="J36" s="138"/>
      <c r="K36" s="150"/>
      <c r="L36" s="162"/>
    </row>
    <row r="37" spans="1:12">
      <c r="A37" s="4" t="s">
        <v>43</v>
      </c>
      <c r="C37">
        <v>5</v>
      </c>
      <c r="J37" s="138"/>
      <c r="K37" s="150"/>
      <c r="L37" s="162"/>
    </row>
    <row r="38" spans="1:12">
      <c r="A38" s="4" t="s">
        <v>44</v>
      </c>
      <c r="B38">
        <v>2</v>
      </c>
      <c r="C38">
        <v>5</v>
      </c>
      <c r="J38" s="138"/>
      <c r="K38" s="150"/>
      <c r="L38" s="162"/>
    </row>
    <row r="39" spans="1:12">
      <c r="A39" s="4" t="s">
        <v>156</v>
      </c>
      <c r="C39">
        <v>2</v>
      </c>
      <c r="J39" s="138"/>
      <c r="K39" s="150"/>
      <c r="L39" s="162"/>
    </row>
    <row r="40" spans="1:12">
      <c r="A40" s="4" t="s">
        <v>45</v>
      </c>
      <c r="C40">
        <v>1</v>
      </c>
      <c r="J40" s="138"/>
      <c r="K40" s="150"/>
      <c r="L40" s="162"/>
    </row>
    <row r="41" spans="1:12">
      <c r="A41" s="4" t="s">
        <v>46</v>
      </c>
      <c r="C41">
        <v>2</v>
      </c>
      <c r="J41" s="138"/>
      <c r="K41" s="150"/>
      <c r="L41" s="162"/>
    </row>
    <row r="42" spans="1:12">
      <c r="A42" s="4" t="s">
        <v>47</v>
      </c>
      <c r="C42">
        <v>5</v>
      </c>
      <c r="J42" s="138"/>
      <c r="K42" s="150"/>
      <c r="L42" s="162"/>
    </row>
    <row r="43" spans="1:12">
      <c r="A43" s="4" t="s">
        <v>48</v>
      </c>
      <c r="C43">
        <v>2</v>
      </c>
      <c r="J43" s="138"/>
      <c r="K43" s="150"/>
      <c r="L43" s="162"/>
    </row>
    <row r="44" spans="1:12">
      <c r="A44" s="4" t="s">
        <v>49</v>
      </c>
      <c r="C44">
        <v>2</v>
      </c>
      <c r="J44" s="138"/>
      <c r="K44" s="150"/>
      <c r="L44" s="162"/>
    </row>
    <row r="45" spans="1:12">
      <c r="A45" s="4" t="s">
        <v>50</v>
      </c>
      <c r="C45">
        <v>1</v>
      </c>
      <c r="J45" s="138"/>
      <c r="K45" s="150"/>
      <c r="L45" s="162"/>
    </row>
    <row r="46" spans="1:12">
      <c r="A46" s="4" t="s">
        <v>51</v>
      </c>
      <c r="C46">
        <v>4</v>
      </c>
      <c r="J46" s="138"/>
      <c r="K46" s="150"/>
      <c r="L46" s="162"/>
    </row>
    <row r="47" spans="1:12">
      <c r="A47" s="4" t="s">
        <v>52</v>
      </c>
      <c r="C47">
        <v>2</v>
      </c>
      <c r="J47" s="138"/>
      <c r="K47" s="150"/>
      <c r="L47" s="162"/>
    </row>
    <row r="48" spans="1:12">
      <c r="A48" s="4" t="s">
        <v>53</v>
      </c>
      <c r="C48">
        <v>4</v>
      </c>
      <c r="J48" s="138"/>
      <c r="K48" s="150"/>
      <c r="L48" s="162"/>
    </row>
    <row r="49" spans="1:12">
      <c r="A49" s="4" t="s">
        <v>54</v>
      </c>
      <c r="C49">
        <v>2</v>
      </c>
      <c r="J49" s="138"/>
      <c r="K49" s="150"/>
      <c r="L49" s="162"/>
    </row>
    <row r="50" spans="1:12">
      <c r="A50" s="4" t="s">
        <v>55</v>
      </c>
      <c r="C50">
        <v>2</v>
      </c>
      <c r="J50" s="138"/>
      <c r="K50" s="150"/>
      <c r="L50" s="162"/>
    </row>
    <row r="51" spans="1:12">
      <c r="A51" s="4" t="s">
        <v>56</v>
      </c>
      <c r="C51">
        <v>4</v>
      </c>
      <c r="J51" s="138"/>
      <c r="K51" s="150"/>
      <c r="L51" s="162"/>
    </row>
    <row r="52" spans="1:12">
      <c r="A52" s="4" t="s">
        <v>57</v>
      </c>
      <c r="C52">
        <v>5</v>
      </c>
      <c r="J52" s="138"/>
      <c r="K52" s="150"/>
      <c r="L52" s="162"/>
    </row>
    <row r="53" spans="1:12">
      <c r="A53" s="4" t="s">
        <v>158</v>
      </c>
      <c r="C53">
        <v>2</v>
      </c>
      <c r="J53" s="138"/>
      <c r="K53" s="150"/>
      <c r="L53" s="162"/>
    </row>
    <row r="54" spans="1:12">
      <c r="A54" s="4" t="s">
        <v>58</v>
      </c>
      <c r="B54">
        <v>2</v>
      </c>
      <c r="C54">
        <v>5</v>
      </c>
      <c r="J54" s="138"/>
      <c r="K54" s="150"/>
      <c r="L54" s="162"/>
    </row>
    <row r="55" spans="1:12">
      <c r="A55" s="4" t="s">
        <v>59</v>
      </c>
      <c r="C55">
        <v>5</v>
      </c>
      <c r="J55" s="138"/>
      <c r="K55" s="150"/>
      <c r="L55" s="162"/>
    </row>
    <row r="56" spans="1:12">
      <c r="A56" s="4" t="s">
        <v>60</v>
      </c>
      <c r="C56">
        <v>1</v>
      </c>
    </row>
    <row r="57" spans="1:12">
      <c r="A57" s="4" t="s">
        <v>61</v>
      </c>
      <c r="C57">
        <v>2</v>
      </c>
      <c r="F57" s="199"/>
      <c r="G57" s="199"/>
      <c r="H57" s="200"/>
    </row>
    <row r="58" spans="1:12">
      <c r="A58" s="4" t="s">
        <v>62</v>
      </c>
      <c r="B58">
        <v>4</v>
      </c>
      <c r="C58">
        <v>5</v>
      </c>
      <c r="F58" s="138"/>
      <c r="G58" s="150"/>
      <c r="H58" s="162"/>
    </row>
    <row r="59" spans="1:12">
      <c r="A59" s="4" t="s">
        <v>63</v>
      </c>
      <c r="C59">
        <v>3</v>
      </c>
      <c r="F59" s="138"/>
      <c r="G59" s="150"/>
      <c r="H59" s="162"/>
    </row>
    <row r="60" spans="1:12">
      <c r="A60" s="4" t="s">
        <v>64</v>
      </c>
      <c r="C60">
        <v>3</v>
      </c>
      <c r="F60" s="138"/>
      <c r="G60" s="150"/>
      <c r="H60" s="162"/>
    </row>
    <row r="61" spans="1:12">
      <c r="A61" s="4" t="s">
        <v>65</v>
      </c>
      <c r="C61">
        <v>5</v>
      </c>
      <c r="F61" s="138"/>
      <c r="G61" s="150"/>
      <c r="H61" s="162"/>
    </row>
    <row r="62" spans="1:12">
      <c r="A62" s="4" t="s">
        <v>66</v>
      </c>
      <c r="C62">
        <v>5</v>
      </c>
      <c r="F62" s="138"/>
      <c r="G62" s="150"/>
      <c r="H62" s="162"/>
    </row>
    <row r="63" spans="1:12">
      <c r="A63" s="4" t="s">
        <v>153</v>
      </c>
      <c r="C63">
        <v>1</v>
      </c>
      <c r="F63" s="138"/>
      <c r="G63" s="150"/>
      <c r="H63" s="162"/>
    </row>
    <row r="64" spans="1:12">
      <c r="A64" s="4" t="s">
        <v>67</v>
      </c>
      <c r="C64">
        <v>2</v>
      </c>
      <c r="F64" s="138"/>
      <c r="G64" s="150"/>
      <c r="H64" s="162"/>
    </row>
    <row r="65" spans="1:8">
      <c r="A65" s="4" t="s">
        <v>68</v>
      </c>
      <c r="C65">
        <v>5</v>
      </c>
      <c r="F65" s="138"/>
      <c r="G65" s="150"/>
      <c r="H65" s="162"/>
    </row>
    <row r="66" spans="1:8">
      <c r="A66" s="4" t="s">
        <v>69</v>
      </c>
      <c r="C66">
        <v>5</v>
      </c>
      <c r="F66" s="138"/>
      <c r="G66" s="150"/>
      <c r="H66" s="162"/>
    </row>
    <row r="67" spans="1:8">
      <c r="A67" s="4" t="s">
        <v>70</v>
      </c>
      <c r="C67">
        <v>3</v>
      </c>
      <c r="F67" s="138"/>
      <c r="G67" s="150"/>
      <c r="H67" s="162"/>
    </row>
    <row r="68" spans="1:8">
      <c r="A68" s="4" t="s">
        <v>71</v>
      </c>
      <c r="C68">
        <v>2</v>
      </c>
      <c r="F68" s="138"/>
      <c r="G68" s="150"/>
      <c r="H68" s="162"/>
    </row>
    <row r="69" spans="1:8">
      <c r="A69" s="4" t="s">
        <v>72</v>
      </c>
      <c r="C69">
        <v>2</v>
      </c>
      <c r="F69" s="138"/>
      <c r="G69" s="150"/>
      <c r="H69" s="162"/>
    </row>
    <row r="70" spans="1:8">
      <c r="A70" s="4" t="s">
        <v>73</v>
      </c>
      <c r="C70">
        <v>2</v>
      </c>
      <c r="F70" s="138"/>
      <c r="G70" s="150"/>
      <c r="H70" s="162"/>
    </row>
    <row r="71" spans="1:8">
      <c r="A71" s="4" t="s">
        <v>75</v>
      </c>
      <c r="B71">
        <v>3</v>
      </c>
      <c r="C71">
        <v>5</v>
      </c>
      <c r="F71" s="138"/>
      <c r="G71" s="150"/>
      <c r="H71" s="162"/>
    </row>
    <row r="72" spans="1:8">
      <c r="A72" s="4" t="s">
        <v>76</v>
      </c>
      <c r="B72">
        <v>3</v>
      </c>
      <c r="C72">
        <v>5</v>
      </c>
      <c r="F72" s="138"/>
      <c r="G72" s="150"/>
      <c r="H72" s="162"/>
    </row>
    <row r="73" spans="1:8">
      <c r="A73" s="4" t="s">
        <v>77</v>
      </c>
      <c r="B73">
        <v>1</v>
      </c>
      <c r="C73">
        <v>5</v>
      </c>
      <c r="F73" s="138"/>
      <c r="G73" s="150"/>
      <c r="H73" s="162"/>
    </row>
    <row r="74" spans="1:8">
      <c r="A74" s="4" t="s">
        <v>78</v>
      </c>
      <c r="C74">
        <v>1</v>
      </c>
      <c r="F74" s="138"/>
      <c r="G74" s="150"/>
      <c r="H74" s="162"/>
    </row>
    <row r="75" spans="1:8">
      <c r="A75" s="4" t="s">
        <v>79</v>
      </c>
      <c r="C75">
        <v>5</v>
      </c>
      <c r="F75" s="138"/>
      <c r="G75" s="150"/>
      <c r="H75" s="162"/>
    </row>
    <row r="76" spans="1:8">
      <c r="A76" s="4" t="s">
        <v>80</v>
      </c>
      <c r="C76">
        <v>5</v>
      </c>
      <c r="F76" s="138"/>
      <c r="G76" s="150"/>
      <c r="H76" s="162"/>
    </row>
    <row r="77" spans="1:8">
      <c r="A77" s="4" t="s">
        <v>81</v>
      </c>
      <c r="C77">
        <v>5</v>
      </c>
      <c r="F77" s="138"/>
      <c r="G77" s="150"/>
      <c r="H77" s="162"/>
    </row>
    <row r="78" spans="1:8">
      <c r="A78" s="4" t="s">
        <v>82</v>
      </c>
      <c r="C78">
        <v>1</v>
      </c>
      <c r="F78" s="138"/>
      <c r="G78" s="150"/>
      <c r="H78" s="162"/>
    </row>
    <row r="79" spans="1:8">
      <c r="A79" s="4" t="s">
        <v>83</v>
      </c>
      <c r="C79">
        <v>5</v>
      </c>
    </row>
    <row r="80" spans="1:8">
      <c r="A80" s="4" t="s">
        <v>84</v>
      </c>
      <c r="C80">
        <v>1</v>
      </c>
    </row>
    <row r="81" spans="1:3">
      <c r="A81" s="4" t="s">
        <v>85</v>
      </c>
      <c r="C81">
        <v>2</v>
      </c>
    </row>
    <row r="82" spans="1:3">
      <c r="A82" s="4" t="s">
        <v>86</v>
      </c>
      <c r="C82">
        <v>3</v>
      </c>
    </row>
    <row r="83" spans="1:3">
      <c r="A83" s="4" t="s">
        <v>87</v>
      </c>
      <c r="C83">
        <v>5</v>
      </c>
    </row>
    <row r="84" spans="1:3">
      <c r="A84" s="4" t="s">
        <v>88</v>
      </c>
      <c r="C84">
        <v>5</v>
      </c>
    </row>
    <row r="85" spans="1:3">
      <c r="A85" s="4" t="s">
        <v>89</v>
      </c>
      <c r="B85">
        <v>3</v>
      </c>
      <c r="C85">
        <v>5</v>
      </c>
    </row>
    <row r="86" spans="1:3">
      <c r="A86" s="4" t="s">
        <v>90</v>
      </c>
      <c r="C86">
        <v>5</v>
      </c>
    </row>
    <row r="87" spans="1:3">
      <c r="A87" s="4" t="s">
        <v>91</v>
      </c>
      <c r="C87">
        <v>2</v>
      </c>
    </row>
    <row r="88" spans="1:3">
      <c r="A88" s="4" t="s">
        <v>92</v>
      </c>
      <c r="C88">
        <v>1</v>
      </c>
    </row>
    <row r="89" spans="1:3">
      <c r="A89" s="4" t="s">
        <v>93</v>
      </c>
      <c r="C89">
        <v>2</v>
      </c>
    </row>
    <row r="90" spans="1:3">
      <c r="A90" s="4" t="s">
        <v>94</v>
      </c>
      <c r="B90">
        <v>2</v>
      </c>
      <c r="C90">
        <v>5</v>
      </c>
    </row>
    <row r="91" spans="1:3">
      <c r="A91" s="4" t="s">
        <v>95</v>
      </c>
      <c r="B91">
        <v>1</v>
      </c>
      <c r="C91">
        <v>5</v>
      </c>
    </row>
    <row r="92" spans="1:3">
      <c r="A92" s="4" t="s">
        <v>96</v>
      </c>
      <c r="C92">
        <v>4</v>
      </c>
    </row>
    <row r="93" spans="1:3">
      <c r="A93" s="4" t="s">
        <v>98</v>
      </c>
      <c r="C93">
        <v>5</v>
      </c>
    </row>
    <row r="94" spans="1:3">
      <c r="A94" s="4" t="s">
        <v>100</v>
      </c>
      <c r="C94">
        <v>5</v>
      </c>
    </row>
    <row r="95" spans="1:3">
      <c r="A95" s="4" t="s">
        <v>101</v>
      </c>
      <c r="C95">
        <v>5</v>
      </c>
    </row>
    <row r="96" spans="1:3">
      <c r="A96" s="4" t="s">
        <v>102</v>
      </c>
      <c r="C96">
        <v>5</v>
      </c>
    </row>
    <row r="97" spans="1:3">
      <c r="A97" s="4" t="s">
        <v>103</v>
      </c>
      <c r="C97">
        <v>3</v>
      </c>
    </row>
    <row r="98" spans="1:3">
      <c r="A98" s="4" t="s">
        <v>104</v>
      </c>
      <c r="C98">
        <v>2</v>
      </c>
    </row>
    <row r="99" spans="1:3">
      <c r="A99" s="4" t="s">
        <v>105</v>
      </c>
      <c r="C99">
        <v>5</v>
      </c>
    </row>
    <row r="100" spans="1:3">
      <c r="A100" s="4" t="s">
        <v>106</v>
      </c>
      <c r="B100">
        <v>5</v>
      </c>
      <c r="C100">
        <v>5</v>
      </c>
    </row>
    <row r="101" spans="1:3">
      <c r="A101" s="4" t="s">
        <v>107</v>
      </c>
      <c r="C101">
        <v>5</v>
      </c>
    </row>
    <row r="102" spans="1:3">
      <c r="A102" s="4" t="s">
        <v>108</v>
      </c>
      <c r="C102">
        <v>3</v>
      </c>
    </row>
    <row r="103" spans="1:3">
      <c r="A103" s="4" t="s">
        <v>109</v>
      </c>
      <c r="C103">
        <v>1</v>
      </c>
    </row>
    <row r="104" spans="1:3">
      <c r="A104" s="4" t="s">
        <v>111</v>
      </c>
      <c r="B104">
        <v>3</v>
      </c>
      <c r="C104">
        <v>5</v>
      </c>
    </row>
    <row r="105" spans="1:3">
      <c r="A105" s="4" t="s">
        <v>112</v>
      </c>
      <c r="C105">
        <v>3</v>
      </c>
    </row>
    <row r="106" spans="1:3">
      <c r="A106" s="4" t="s">
        <v>114</v>
      </c>
      <c r="C106">
        <v>2</v>
      </c>
    </row>
    <row r="107" spans="1:3">
      <c r="A107" s="4" t="s">
        <v>115</v>
      </c>
      <c r="C107">
        <v>2</v>
      </c>
    </row>
    <row r="108" spans="1:3">
      <c r="A108" s="4" t="s">
        <v>116</v>
      </c>
      <c r="C108">
        <v>5</v>
      </c>
    </row>
    <row r="109" spans="1:3">
      <c r="A109" s="4" t="s">
        <v>117</v>
      </c>
      <c r="B109">
        <v>1</v>
      </c>
      <c r="C109">
        <v>5</v>
      </c>
    </row>
    <row r="110" spans="1:3">
      <c r="A110" s="4" t="s">
        <v>118</v>
      </c>
      <c r="C110">
        <v>5</v>
      </c>
    </row>
    <row r="111" spans="1:3">
      <c r="A111" s="4" t="s">
        <v>119</v>
      </c>
      <c r="C111">
        <v>5</v>
      </c>
    </row>
    <row r="112" spans="1:3">
      <c r="A112" s="4" t="s">
        <v>120</v>
      </c>
      <c r="C112">
        <v>4</v>
      </c>
    </row>
    <row r="113" spans="1:3">
      <c r="A113" s="4" t="s">
        <v>121</v>
      </c>
      <c r="B113">
        <v>3</v>
      </c>
      <c r="C113">
        <v>5</v>
      </c>
    </row>
    <row r="114" spans="1:3">
      <c r="A114" s="4" t="s">
        <v>122</v>
      </c>
      <c r="C114">
        <v>1</v>
      </c>
    </row>
    <row r="115" spans="1:3">
      <c r="A115" s="4" t="s">
        <v>123</v>
      </c>
      <c r="C115">
        <v>5</v>
      </c>
    </row>
    <row r="116" spans="1:3">
      <c r="A116" s="4" t="s">
        <v>124</v>
      </c>
      <c r="C116">
        <v>5</v>
      </c>
    </row>
    <row r="117" spans="1:3">
      <c r="A117" s="4" t="s">
        <v>126</v>
      </c>
      <c r="C117">
        <v>5</v>
      </c>
    </row>
    <row r="118" spans="1:3">
      <c r="A118" s="4" t="s">
        <v>127</v>
      </c>
      <c r="C118">
        <v>2</v>
      </c>
    </row>
    <row r="119" spans="1:3">
      <c r="A119" s="4" t="s">
        <v>128</v>
      </c>
      <c r="C119">
        <v>5</v>
      </c>
    </row>
    <row r="120" spans="1:3">
      <c r="A120" s="4" t="s">
        <v>129</v>
      </c>
      <c r="C120">
        <v>5</v>
      </c>
    </row>
    <row r="121" spans="1:3">
      <c r="A121" s="4" t="s">
        <v>130</v>
      </c>
      <c r="C121">
        <v>3</v>
      </c>
    </row>
    <row r="122" spans="1:3">
      <c r="A122" s="4" t="s">
        <v>131</v>
      </c>
      <c r="C122">
        <v>2</v>
      </c>
    </row>
    <row r="123" spans="1:3">
      <c r="A123" s="4" t="s">
        <v>133</v>
      </c>
      <c r="C123">
        <v>3</v>
      </c>
    </row>
    <row r="124" spans="1:3">
      <c r="A124" s="4" t="s">
        <v>134</v>
      </c>
      <c r="C124">
        <v>4</v>
      </c>
    </row>
    <row r="125" spans="1:3">
      <c r="A125" s="4" t="s">
        <v>135</v>
      </c>
      <c r="C125">
        <v>5</v>
      </c>
    </row>
    <row r="126" spans="1:3">
      <c r="A126" s="4" t="s">
        <v>136</v>
      </c>
      <c r="C126">
        <v>1</v>
      </c>
    </row>
    <row r="127" spans="1:3">
      <c r="A127" s="4" t="s">
        <v>138</v>
      </c>
      <c r="C127">
        <v>1</v>
      </c>
    </row>
    <row r="128" spans="1:3">
      <c r="A128" s="4" t="s">
        <v>139</v>
      </c>
      <c r="C128">
        <v>5</v>
      </c>
    </row>
    <row r="129" spans="1:3">
      <c r="A129" s="4" t="s">
        <v>140</v>
      </c>
      <c r="C129">
        <v>5</v>
      </c>
    </row>
    <row r="130" spans="1:3">
      <c r="A130" s="4" t="s">
        <v>141</v>
      </c>
      <c r="C130">
        <v>3</v>
      </c>
    </row>
    <row r="131" spans="1:3">
      <c r="A131" s="4" t="s">
        <v>142</v>
      </c>
      <c r="B131">
        <v>5</v>
      </c>
      <c r="C131">
        <v>5</v>
      </c>
    </row>
    <row r="132" spans="1:3">
      <c r="A132" s="4" t="s">
        <v>143</v>
      </c>
      <c r="C132">
        <v>2</v>
      </c>
    </row>
    <row r="133" spans="1:3">
      <c r="A133" s="4" t="s">
        <v>144</v>
      </c>
      <c r="C133">
        <v>5</v>
      </c>
    </row>
    <row r="134" spans="1:3">
      <c r="A134" s="4" t="s">
        <v>145</v>
      </c>
      <c r="C134">
        <v>5</v>
      </c>
    </row>
    <row r="135" spans="1:3">
      <c r="A135" s="4" t="s">
        <v>154</v>
      </c>
      <c r="C135">
        <v>1</v>
      </c>
    </row>
    <row r="136" spans="1:3">
      <c r="A136" s="4" t="s">
        <v>146</v>
      </c>
      <c r="C136">
        <v>3</v>
      </c>
    </row>
    <row r="137" spans="1:3">
      <c r="A137" s="4" t="s">
        <v>155</v>
      </c>
      <c r="C137">
        <v>4</v>
      </c>
    </row>
    <row r="138" spans="1:3">
      <c r="A138" s="4" t="s">
        <v>147</v>
      </c>
      <c r="C138">
        <v>5</v>
      </c>
    </row>
    <row r="139" spans="1:3">
      <c r="A139" s="4" t="s">
        <v>148</v>
      </c>
      <c r="C139">
        <v>4</v>
      </c>
    </row>
    <row r="140" spans="1:3">
      <c r="A140" s="4" t="s">
        <v>149</v>
      </c>
      <c r="C140">
        <v>2</v>
      </c>
    </row>
    <row r="141" spans="1:3">
      <c r="A141" s="4" t="s">
        <v>150</v>
      </c>
      <c r="C141">
        <v>5</v>
      </c>
    </row>
    <row r="142" spans="1:3">
      <c r="A142" s="4" t="s">
        <v>151</v>
      </c>
      <c r="B142">
        <v>3</v>
      </c>
      <c r="C142">
        <v>4</v>
      </c>
    </row>
    <row r="143" spans="1:3">
      <c r="A143" s="4" t="s">
        <v>152</v>
      </c>
      <c r="C143">
        <v>5</v>
      </c>
    </row>
    <row r="144" spans="1:3">
      <c r="A144" s="4" t="s">
        <v>159</v>
      </c>
      <c r="B144">
        <v>54</v>
      </c>
      <c r="C144">
        <v>495</v>
      </c>
    </row>
  </sheetData>
  <autoFilter ref="F2:H2" xr:uid="{C5E5AA74-642C-BC4F-9783-5754B0973580}">
    <sortState xmlns:xlrd2="http://schemas.microsoft.com/office/spreadsheetml/2017/richdata2" ref="F3:H23">
      <sortCondition descending="1" ref="H2:H2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F5B3-8BDB-3847-8456-4C471676ECE9}">
  <dimension ref="A1:L13"/>
  <sheetViews>
    <sheetView tabSelected="1" topLeftCell="D1" zoomScale="91" workbookViewId="0">
      <selection activeCell="L16" sqref="L16"/>
    </sheetView>
  </sheetViews>
  <sheetFormatPr baseColWidth="10" defaultRowHeight="16"/>
  <cols>
    <col min="1" max="1" width="30.83203125" bestFit="1" customWidth="1"/>
    <col min="2" max="2" width="12.1640625" bestFit="1" customWidth="1"/>
    <col min="3" max="3" width="21.6640625" bestFit="1" customWidth="1"/>
    <col min="4" max="4" width="12.83203125" bestFit="1" customWidth="1"/>
    <col min="5" max="5" width="39.5" bestFit="1" customWidth="1"/>
    <col min="6" max="6" width="12.83203125" bestFit="1" customWidth="1"/>
    <col min="7" max="7" width="30.6640625" bestFit="1" customWidth="1"/>
    <col min="8" max="8" width="12.83203125" bestFit="1" customWidth="1"/>
    <col min="9" max="9" width="32.6640625" bestFit="1" customWidth="1"/>
    <col min="10" max="10" width="12.1640625" bestFit="1" customWidth="1"/>
    <col min="11" max="11" width="21.6640625" bestFit="1" customWidth="1"/>
    <col min="12" max="12" width="12.83203125" bestFit="1" customWidth="1"/>
  </cols>
  <sheetData>
    <row r="1" spans="1:12">
      <c r="A1" s="137" t="s">
        <v>168</v>
      </c>
      <c r="B1" s="137"/>
      <c r="C1" s="137" t="s">
        <v>169</v>
      </c>
      <c r="D1" s="137"/>
      <c r="E1" s="137" t="s">
        <v>233</v>
      </c>
      <c r="F1" s="137"/>
      <c r="G1" s="137" t="s">
        <v>232</v>
      </c>
      <c r="H1" s="137"/>
      <c r="I1" s="137" t="s">
        <v>231</v>
      </c>
      <c r="J1" s="137"/>
      <c r="K1" s="137" t="s">
        <v>247</v>
      </c>
      <c r="L1" s="137"/>
    </row>
    <row r="2" spans="1:12">
      <c r="A2" t="s">
        <v>235</v>
      </c>
      <c r="B2">
        <v>0.12807881773399016</v>
      </c>
      <c r="C2" t="s">
        <v>235</v>
      </c>
      <c r="D2">
        <v>9.5221674876847295</v>
      </c>
      <c r="E2" t="s">
        <v>235</v>
      </c>
      <c r="F2">
        <v>-0.16560264061849356</v>
      </c>
      <c r="G2" t="s">
        <v>235</v>
      </c>
      <c r="H2">
        <v>12.166397880103109</v>
      </c>
      <c r="I2" t="s">
        <v>235</v>
      </c>
      <c r="J2">
        <v>1.2550149341306367</v>
      </c>
      <c r="K2" t="s">
        <v>235</v>
      </c>
      <c r="L2">
        <v>5.76612335055742E-2</v>
      </c>
    </row>
    <row r="3" spans="1:12">
      <c r="A3" t="s">
        <v>236</v>
      </c>
      <c r="B3">
        <v>1.6605415908252884E-2</v>
      </c>
      <c r="C3" t="s">
        <v>236</v>
      </c>
      <c r="D3">
        <v>0.27722770376736128</v>
      </c>
      <c r="E3" t="s">
        <v>236</v>
      </c>
      <c r="F3">
        <v>1.874920152883397E-2</v>
      </c>
      <c r="G3" t="s">
        <v>236</v>
      </c>
      <c r="H3">
        <v>6.4013582947630987E-2</v>
      </c>
      <c r="I3" t="s">
        <v>236</v>
      </c>
      <c r="J3">
        <v>0.15807620844723386</v>
      </c>
      <c r="K3" t="s">
        <v>236</v>
      </c>
      <c r="L3">
        <v>2.3236422457627616E-2</v>
      </c>
    </row>
    <row r="4" spans="1:12">
      <c r="A4" t="s">
        <v>237</v>
      </c>
      <c r="B4">
        <v>0</v>
      </c>
      <c r="C4" t="s">
        <v>237</v>
      </c>
      <c r="D4">
        <v>9</v>
      </c>
      <c r="E4" t="s">
        <v>237</v>
      </c>
      <c r="F4">
        <v>-7.1288198831376867E-2</v>
      </c>
      <c r="G4" t="s">
        <v>237</v>
      </c>
      <c r="H4">
        <v>12.279390300338644</v>
      </c>
      <c r="I4" t="s">
        <v>237</v>
      </c>
      <c r="J4">
        <v>0.86387844139591485</v>
      </c>
      <c r="K4" t="s">
        <v>237</v>
      </c>
      <c r="L4">
        <v>1.0203103558772972E-2</v>
      </c>
    </row>
    <row r="5" spans="1:12">
      <c r="A5" t="s">
        <v>238</v>
      </c>
      <c r="B5">
        <v>0.33458985940900771</v>
      </c>
      <c r="C5" t="s">
        <v>238</v>
      </c>
      <c r="D5">
        <v>5.5859834490326117</v>
      </c>
      <c r="E5" t="s">
        <v>238</v>
      </c>
      <c r="F5">
        <v>0.37778594274449262</v>
      </c>
      <c r="G5" t="s">
        <v>238</v>
      </c>
      <c r="H5">
        <v>1.2898379563061606</v>
      </c>
      <c r="I5" t="s">
        <v>238</v>
      </c>
      <c r="J5">
        <v>3.1851473430413941</v>
      </c>
      <c r="K5" t="s">
        <v>238</v>
      </c>
      <c r="L5">
        <v>0.46820093915274508</v>
      </c>
    </row>
    <row r="6" spans="1:12">
      <c r="A6" t="s">
        <v>239</v>
      </c>
      <c r="B6">
        <v>0.11195037401933954</v>
      </c>
      <c r="C6" t="s">
        <v>239</v>
      </c>
      <c r="D6">
        <v>31.203211092866272</v>
      </c>
      <c r="E6" t="s">
        <v>239</v>
      </c>
      <c r="F6">
        <v>0.14272221853534506</v>
      </c>
      <c r="G6" t="s">
        <v>239</v>
      </c>
      <c r="H6">
        <v>1.6636819535280531</v>
      </c>
      <c r="I6" t="s">
        <v>239</v>
      </c>
      <c r="J6">
        <v>10.145163596883652</v>
      </c>
      <c r="K6" t="s">
        <v>239</v>
      </c>
      <c r="L6">
        <v>0.21921211942351251</v>
      </c>
    </row>
    <row r="7" spans="1:12">
      <c r="A7" t="s">
        <v>240</v>
      </c>
      <c r="B7">
        <v>3.0062219761807172</v>
      </c>
      <c r="C7" t="s">
        <v>240</v>
      </c>
      <c r="D7">
        <v>-1.1366772875674598</v>
      </c>
      <c r="E7" t="s">
        <v>240</v>
      </c>
      <c r="F7">
        <v>9.9899800191465502</v>
      </c>
      <c r="G7" t="s">
        <v>240</v>
      </c>
      <c r="H7">
        <v>5.552752277927036</v>
      </c>
      <c r="I7" t="s">
        <v>240</v>
      </c>
      <c r="J7">
        <v>179.50036394464567</v>
      </c>
      <c r="K7" t="s">
        <v>240</v>
      </c>
      <c r="L7">
        <v>76.956971474630137</v>
      </c>
    </row>
    <row r="8" spans="1:12">
      <c r="A8" t="s">
        <v>241</v>
      </c>
      <c r="B8">
        <v>2.2341524450132271</v>
      </c>
      <c r="C8" t="s">
        <v>241</v>
      </c>
      <c r="D8">
        <v>0.16564877448359902</v>
      </c>
      <c r="E8" t="s">
        <v>241</v>
      </c>
      <c r="F8">
        <v>-1.7925231958708105</v>
      </c>
      <c r="G8" t="s">
        <v>241</v>
      </c>
      <c r="H8">
        <v>-1.4848010834563261</v>
      </c>
      <c r="I8" t="s">
        <v>241</v>
      </c>
      <c r="J8">
        <v>12.446723303040784</v>
      </c>
      <c r="K8" t="s">
        <v>241</v>
      </c>
      <c r="L8">
        <v>6.540310229068397</v>
      </c>
    </row>
    <row r="9" spans="1:12">
      <c r="A9" t="s">
        <v>242</v>
      </c>
      <c r="B9">
        <v>1</v>
      </c>
      <c r="C9" t="s">
        <v>242</v>
      </c>
      <c r="D9">
        <v>20</v>
      </c>
      <c r="E9" t="s">
        <v>242</v>
      </c>
      <c r="F9">
        <v>3.9996880138523716</v>
      </c>
      <c r="G9" t="s">
        <v>242</v>
      </c>
      <c r="H9">
        <v>9.722293154377784</v>
      </c>
      <c r="I9" t="s">
        <v>242</v>
      </c>
      <c r="J9">
        <v>52.360536245742509</v>
      </c>
      <c r="K9" t="s">
        <v>242</v>
      </c>
      <c r="L9">
        <v>7.1761724976929679</v>
      </c>
    </row>
    <row r="10" spans="1:12">
      <c r="A10" t="s">
        <v>243</v>
      </c>
      <c r="B10">
        <v>0</v>
      </c>
      <c r="C10" t="s">
        <v>243</v>
      </c>
      <c r="D10">
        <v>1</v>
      </c>
      <c r="E10" t="s">
        <v>243</v>
      </c>
      <c r="F10">
        <v>-2.6318835203561162</v>
      </c>
      <c r="G10" t="s">
        <v>243</v>
      </c>
      <c r="H10">
        <v>4.9126548857360524</v>
      </c>
      <c r="I10" t="s">
        <v>243</v>
      </c>
      <c r="J10">
        <v>0.22333891680625348</v>
      </c>
      <c r="K10" t="s">
        <v>243</v>
      </c>
      <c r="L10">
        <v>-0.93427373469683894</v>
      </c>
    </row>
    <row r="11" spans="1:12">
      <c r="A11" t="s">
        <v>244</v>
      </c>
      <c r="B11">
        <v>1</v>
      </c>
      <c r="C11" t="s">
        <v>244</v>
      </c>
      <c r="D11">
        <v>21</v>
      </c>
      <c r="E11" t="s">
        <v>244</v>
      </c>
      <c r="F11">
        <v>1.3678044934962554</v>
      </c>
      <c r="G11" t="s">
        <v>244</v>
      </c>
      <c r="H11">
        <v>14.634948040113837</v>
      </c>
      <c r="I11" t="s">
        <v>244</v>
      </c>
      <c r="J11">
        <v>52.583875162548765</v>
      </c>
      <c r="K11" t="s">
        <v>244</v>
      </c>
      <c r="L11">
        <v>6.2418987629961293</v>
      </c>
    </row>
    <row r="12" spans="1:12">
      <c r="A12" t="s">
        <v>245</v>
      </c>
      <c r="B12">
        <v>406</v>
      </c>
      <c r="C12" t="s">
        <v>245</v>
      </c>
      <c r="D12">
        <v>406</v>
      </c>
      <c r="E12" t="s">
        <v>245</v>
      </c>
      <c r="F12">
        <v>406</v>
      </c>
      <c r="G12" t="s">
        <v>245</v>
      </c>
      <c r="H12">
        <v>406</v>
      </c>
      <c r="I12" t="s">
        <v>245</v>
      </c>
      <c r="J12">
        <v>406</v>
      </c>
      <c r="K12" t="s">
        <v>245</v>
      </c>
      <c r="L12">
        <v>406</v>
      </c>
    </row>
    <row r="13" spans="1:12" ht="17" thickBot="1">
      <c r="A13" s="136" t="s">
        <v>246</v>
      </c>
      <c r="B13" s="136">
        <v>3.2643569066540083E-2</v>
      </c>
      <c r="C13" s="136" t="s">
        <v>246</v>
      </c>
      <c r="D13" s="136">
        <v>0.5449849461819547</v>
      </c>
      <c r="E13" s="136" t="s">
        <v>246</v>
      </c>
      <c r="F13" s="136">
        <v>3.6857905783906721E-2</v>
      </c>
      <c r="G13" s="136" t="s">
        <v>246</v>
      </c>
      <c r="H13" s="136">
        <v>0.12584037808466686</v>
      </c>
      <c r="I13" s="136" t="s">
        <v>246</v>
      </c>
      <c r="J13" s="136">
        <v>0.31075232663455676</v>
      </c>
      <c r="K13" s="136" t="s">
        <v>246</v>
      </c>
      <c r="L13" s="136">
        <v>4.5679058299159261E-2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C845-36ED-E948-BBC8-BF18A3293B13}">
  <dimension ref="A1:G16"/>
  <sheetViews>
    <sheetView workbookViewId="0">
      <selection activeCell="C16" sqref="C16"/>
    </sheetView>
  </sheetViews>
  <sheetFormatPr baseColWidth="10" defaultRowHeight="16"/>
  <cols>
    <col min="1" max="1" width="39.6640625" bestFit="1" customWidth="1"/>
    <col min="2" max="2" width="30.83203125" bestFit="1" customWidth="1"/>
    <col min="3" max="3" width="14.6640625" bestFit="1" customWidth="1"/>
    <col min="4" max="4" width="39.5" bestFit="1" customWidth="1"/>
    <col min="5" max="5" width="30.6640625" bestFit="1" customWidth="1"/>
    <col min="6" max="6" width="32.6640625" bestFit="1" customWidth="1"/>
    <col min="7" max="7" width="7.6640625" bestFit="1" customWidth="1"/>
  </cols>
  <sheetData>
    <row r="1" spans="1:7">
      <c r="A1" s="137"/>
      <c r="B1" s="137" t="s">
        <v>168</v>
      </c>
      <c r="C1" s="137" t="s">
        <v>169</v>
      </c>
      <c r="D1" s="137" t="s">
        <v>233</v>
      </c>
      <c r="E1" s="137" t="s">
        <v>232</v>
      </c>
      <c r="F1" s="137" t="s">
        <v>231</v>
      </c>
      <c r="G1" s="137" t="s">
        <v>247</v>
      </c>
    </row>
    <row r="2" spans="1:7">
      <c r="A2" t="s">
        <v>168</v>
      </c>
      <c r="B2">
        <v>1</v>
      </c>
    </row>
    <row r="3" spans="1:7">
      <c r="A3" t="s">
        <v>169</v>
      </c>
      <c r="B3">
        <v>-0.39917106306337607</v>
      </c>
      <c r="C3">
        <v>1</v>
      </c>
    </row>
    <row r="4" spans="1:7">
      <c r="A4" t="s">
        <v>233</v>
      </c>
      <c r="B4">
        <v>-0.15327368662522359</v>
      </c>
      <c r="C4">
        <v>1.4110864050627372E-3</v>
      </c>
      <c r="D4">
        <v>1</v>
      </c>
    </row>
    <row r="5" spans="1:7">
      <c r="A5" t="s">
        <v>232</v>
      </c>
      <c r="B5">
        <v>0.16925765003036664</v>
      </c>
      <c r="C5">
        <v>-0.49360983232208305</v>
      </c>
      <c r="D5">
        <v>-5.3447650378584191E-2</v>
      </c>
      <c r="E5">
        <v>1</v>
      </c>
    </row>
    <row r="6" spans="1:7">
      <c r="A6" t="s">
        <v>231</v>
      </c>
      <c r="B6">
        <v>-8.8515256968093262E-3</v>
      </c>
      <c r="C6">
        <v>3.6134356745634061E-2</v>
      </c>
      <c r="D6">
        <v>-1.5847221172830859E-2</v>
      </c>
      <c r="E6">
        <v>-0.39569092422238672</v>
      </c>
      <c r="F6">
        <v>1</v>
      </c>
    </row>
    <row r="7" spans="1:7" ht="17" thickBot="1">
      <c r="A7" s="136" t="s">
        <v>247</v>
      </c>
      <c r="B7" s="136">
        <v>-3.8352347589537025E-2</v>
      </c>
      <c r="C7" s="136">
        <v>-2.1817911826563566E-2</v>
      </c>
      <c r="D7" s="136">
        <v>5.2690660655675993E-2</v>
      </c>
      <c r="E7" s="136">
        <v>2.4978153240771558E-2</v>
      </c>
      <c r="F7" s="136">
        <v>-2.013583053511394E-2</v>
      </c>
      <c r="G7" s="136">
        <v>1</v>
      </c>
    </row>
    <row r="9" spans="1:7" ht="17" thickBot="1"/>
    <row r="10" spans="1:7">
      <c r="A10" s="137"/>
      <c r="B10" s="137" t="s">
        <v>168</v>
      </c>
      <c r="C10" s="137" t="s">
        <v>169</v>
      </c>
      <c r="D10" s="137" t="s">
        <v>233</v>
      </c>
      <c r="E10" s="137" t="s">
        <v>232</v>
      </c>
      <c r="F10" s="137" t="s">
        <v>231</v>
      </c>
      <c r="G10" s="137" t="s">
        <v>247</v>
      </c>
    </row>
    <row r="11" spans="1:7">
      <c r="A11" t="s">
        <v>168</v>
      </c>
      <c r="B11">
        <v>1</v>
      </c>
    </row>
    <row r="12" spans="1:7">
      <c r="A12" t="s">
        <v>169</v>
      </c>
      <c r="B12">
        <v>-0.3991710630633778</v>
      </c>
      <c r="C12">
        <v>1</v>
      </c>
    </row>
    <row r="13" spans="1:7">
      <c r="A13" t="s">
        <v>233</v>
      </c>
      <c r="B13">
        <v>-0.15510057734583146</v>
      </c>
      <c r="C13">
        <v>-1.7506987740843259E-3</v>
      </c>
      <c r="D13">
        <v>1</v>
      </c>
    </row>
    <row r="14" spans="1:7">
      <c r="A14" t="s">
        <v>232</v>
      </c>
      <c r="B14">
        <v>0.16926005474903441</v>
      </c>
      <c r="C14">
        <v>-0.49359947134858723</v>
      </c>
      <c r="D14">
        <v>-5.3442145319923674E-2</v>
      </c>
      <c r="E14">
        <v>1</v>
      </c>
    </row>
    <row r="15" spans="1:7">
      <c r="A15" t="s">
        <v>231</v>
      </c>
      <c r="B15">
        <v>-8.8383010295652164E-3</v>
      </c>
      <c r="C15">
        <v>3.6141248574075718E-2</v>
      </c>
      <c r="D15">
        <v>-1.4951297101123157E-2</v>
      </c>
      <c r="E15">
        <v>-0.39573860902545233</v>
      </c>
      <c r="F15">
        <v>1</v>
      </c>
    </row>
    <row r="16" spans="1:7" ht="17" thickBot="1">
      <c r="A16" s="136" t="s">
        <v>247</v>
      </c>
      <c r="B16" s="136">
        <v>3.1484318598634202E-2</v>
      </c>
      <c r="C16" s="136">
        <v>3.8715590879337618E-2</v>
      </c>
      <c r="D16" s="136">
        <v>-6.3424252835797452E-3</v>
      </c>
      <c r="E16" s="136">
        <v>-5.5005758553398345E-4</v>
      </c>
      <c r="F16" s="136">
        <v>-3.7056394479218452E-3</v>
      </c>
      <c r="G16" s="13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4C81-9766-0D43-B2B0-A39758C79A5A}">
  <dimension ref="A1:T407"/>
  <sheetViews>
    <sheetView workbookViewId="0">
      <selection sqref="A1:T407"/>
    </sheetView>
  </sheetViews>
  <sheetFormatPr baseColWidth="10" defaultRowHeight="16"/>
  <sheetData>
    <row r="1" spans="1:20" ht="23">
      <c r="A1" s="20" t="s">
        <v>166</v>
      </c>
      <c r="B1" s="20" t="s">
        <v>0</v>
      </c>
      <c r="C1" s="20" t="s">
        <v>167</v>
      </c>
      <c r="D1" s="20" t="s">
        <v>168</v>
      </c>
      <c r="E1" s="20" t="s">
        <v>169</v>
      </c>
      <c r="F1" s="20" t="s">
        <v>233</v>
      </c>
      <c r="G1" s="20" t="s">
        <v>232</v>
      </c>
      <c r="H1" s="20" t="s">
        <v>231</v>
      </c>
      <c r="I1" s="20" t="s">
        <v>247</v>
      </c>
      <c r="J1" s="20"/>
      <c r="K1" s="20"/>
      <c r="L1" s="70" t="s">
        <v>207</v>
      </c>
      <c r="M1" s="20" t="s">
        <v>170</v>
      </c>
      <c r="N1" s="33" t="s">
        <v>208</v>
      </c>
      <c r="O1" s="33" t="s">
        <v>209</v>
      </c>
      <c r="P1" s="33" t="s">
        <v>210</v>
      </c>
      <c r="Q1" s="33" t="s">
        <v>211</v>
      </c>
      <c r="R1" s="33" t="s">
        <v>212</v>
      </c>
      <c r="S1" s="33" t="s">
        <v>213</v>
      </c>
      <c r="T1" s="33" t="s">
        <v>214</v>
      </c>
    </row>
    <row r="2" spans="1:20" ht="17">
      <c r="A2" s="132" t="s">
        <v>3</v>
      </c>
      <c r="B2" s="132" t="s">
        <v>198</v>
      </c>
      <c r="C2" s="132" t="s">
        <v>205</v>
      </c>
      <c r="D2" s="132">
        <v>1</v>
      </c>
      <c r="E2" s="10">
        <v>6</v>
      </c>
      <c r="F2" s="130">
        <f t="shared" ref="F2:F65" si="0">L2/P2</f>
        <v>-0.50478673972953925</v>
      </c>
      <c r="G2" s="130">
        <f t="shared" ref="G2:G65" si="1">LN(O2)</f>
        <v>12.983480548495667</v>
      </c>
      <c r="H2" s="130">
        <f t="shared" ref="H2:H65" si="2">T2/O2</f>
        <v>1.0828260544850803</v>
      </c>
      <c r="I2" s="130">
        <f>IF(A2=A3, (P2-P3)/P3, "")</f>
        <v>9.6202231501850796E-2</v>
      </c>
      <c r="J2" s="130"/>
      <c r="K2" s="130"/>
      <c r="L2" s="99">
        <v>-126019</v>
      </c>
      <c r="M2" s="100">
        <v>339</v>
      </c>
      <c r="N2" s="101">
        <v>140271</v>
      </c>
      <c r="O2" s="101">
        <v>435165</v>
      </c>
      <c r="P2" s="101">
        <v>249648</v>
      </c>
      <c r="Q2" s="101">
        <v>-36043</v>
      </c>
      <c r="R2" s="101">
        <v>46042</v>
      </c>
      <c r="S2" s="101">
        <v>425166</v>
      </c>
      <c r="T2" s="102">
        <f t="shared" ref="T2:T7" si="3">R2+S2</f>
        <v>471208</v>
      </c>
    </row>
    <row r="3" spans="1:20" ht="17">
      <c r="A3" s="132" t="s">
        <v>3</v>
      </c>
      <c r="B3" s="132" t="s">
        <v>198</v>
      </c>
      <c r="C3" s="132" t="s">
        <v>203</v>
      </c>
      <c r="D3" s="132">
        <v>1</v>
      </c>
      <c r="E3" s="10">
        <v>5</v>
      </c>
      <c r="F3" s="130">
        <f t="shared" si="0"/>
        <v>-0.64101888565419185</v>
      </c>
      <c r="G3" s="130">
        <f t="shared" si="1"/>
        <v>13.030147206215094</v>
      </c>
      <c r="H3" s="130">
        <f t="shared" si="2"/>
        <v>0.81733683661071077</v>
      </c>
      <c r="I3" s="130">
        <f t="shared" ref="I3:I66" si="4">IF(A3=A4, (P3-P4)/P4, "")</f>
        <v>0.20574018286839724</v>
      </c>
      <c r="J3" s="130"/>
      <c r="K3" s="130"/>
      <c r="L3" s="99">
        <v>-145985</v>
      </c>
      <c r="M3" s="100">
        <v>382</v>
      </c>
      <c r="N3" s="101">
        <v>95543</v>
      </c>
      <c r="O3" s="101">
        <v>455954</v>
      </c>
      <c r="P3" s="101">
        <v>227739</v>
      </c>
      <c r="Q3" s="101">
        <v>83286</v>
      </c>
      <c r="R3" s="101">
        <v>26664</v>
      </c>
      <c r="S3" s="101">
        <v>346004</v>
      </c>
      <c r="T3" s="102">
        <f t="shared" si="3"/>
        <v>372668</v>
      </c>
    </row>
    <row r="4" spans="1:20" ht="17">
      <c r="A4" s="132" t="s">
        <v>3</v>
      </c>
      <c r="B4" s="132" t="s">
        <v>198</v>
      </c>
      <c r="C4" s="132" t="s">
        <v>202</v>
      </c>
      <c r="D4" s="132">
        <v>0</v>
      </c>
      <c r="E4" s="10">
        <v>6</v>
      </c>
      <c r="F4" s="130">
        <f t="shared" si="0"/>
        <v>-1.0303739431064332</v>
      </c>
      <c r="G4" s="130">
        <f t="shared" si="1"/>
        <v>12.849472704182654</v>
      </c>
      <c r="H4" s="130">
        <f t="shared" si="2"/>
        <v>0.9103387390038572</v>
      </c>
      <c r="I4" s="130">
        <f t="shared" si="4"/>
        <v>-0.23253300393731183</v>
      </c>
      <c r="J4" s="130"/>
      <c r="K4" s="130"/>
      <c r="L4" s="99">
        <v>-194616</v>
      </c>
      <c r="M4" s="100">
        <v>407</v>
      </c>
      <c r="N4" s="101">
        <v>96517</v>
      </c>
      <c r="O4" s="101">
        <v>380588</v>
      </c>
      <c r="P4" s="101">
        <v>188879</v>
      </c>
      <c r="Q4" s="101">
        <v>34124</v>
      </c>
      <c r="R4" s="101">
        <v>45702</v>
      </c>
      <c r="S4" s="101">
        <v>300762</v>
      </c>
      <c r="T4" s="102">
        <f t="shared" si="3"/>
        <v>346464</v>
      </c>
    </row>
    <row r="5" spans="1:20" ht="17">
      <c r="A5" s="132" t="s">
        <v>3</v>
      </c>
      <c r="B5" s="132" t="s">
        <v>198</v>
      </c>
      <c r="C5" s="132" t="s">
        <v>201</v>
      </c>
      <c r="D5" s="132">
        <v>0</v>
      </c>
      <c r="E5" s="132">
        <v>2</v>
      </c>
      <c r="F5" s="130">
        <f t="shared" si="0"/>
        <v>-0.39176455769238583</v>
      </c>
      <c r="G5" s="130">
        <f t="shared" si="1"/>
        <v>12.91346783935532</v>
      </c>
      <c r="H5" s="130">
        <f t="shared" si="2"/>
        <v>0.83414501897767046</v>
      </c>
      <c r="I5" s="130">
        <f t="shared" si="4"/>
        <v>-0.17300532272372912</v>
      </c>
      <c r="J5" s="130"/>
      <c r="K5" s="130"/>
      <c r="L5" s="99">
        <v>-96416</v>
      </c>
      <c r="M5" s="100">
        <v>411</v>
      </c>
      <c r="N5" s="101">
        <v>71684</v>
      </c>
      <c r="O5" s="101">
        <v>405740</v>
      </c>
      <c r="P5" s="101">
        <v>246107</v>
      </c>
      <c r="Q5" s="101">
        <v>67294</v>
      </c>
      <c r="R5" s="101">
        <v>104256</v>
      </c>
      <c r="S5" s="101">
        <v>234190</v>
      </c>
      <c r="T5" s="102">
        <f t="shared" si="3"/>
        <v>338446</v>
      </c>
    </row>
    <row r="6" spans="1:20" ht="17">
      <c r="A6" s="132" t="s">
        <v>3</v>
      </c>
      <c r="B6" s="132" t="s">
        <v>198</v>
      </c>
      <c r="C6" s="132" t="s">
        <v>173</v>
      </c>
      <c r="D6" s="132">
        <v>1</v>
      </c>
      <c r="E6" s="10">
        <v>1</v>
      </c>
      <c r="F6" s="130">
        <f t="shared" si="0"/>
        <v>-0.22358463937202613</v>
      </c>
      <c r="G6" s="130">
        <f t="shared" si="1"/>
        <v>13.128144633691187</v>
      </c>
      <c r="H6" s="130">
        <f t="shared" si="2"/>
        <v>0.73905297087486754</v>
      </c>
      <c r="I6" s="130">
        <v>-2.5898978072698225E-2</v>
      </c>
      <c r="J6" s="130"/>
      <c r="K6" s="130"/>
      <c r="L6" s="99">
        <v>-66537</v>
      </c>
      <c r="M6" s="100">
        <v>427</v>
      </c>
      <c r="N6" s="101">
        <v>25961</v>
      </c>
      <c r="O6" s="101">
        <v>502899</v>
      </c>
      <c r="P6" s="101">
        <v>297592</v>
      </c>
      <c r="Q6" s="101">
        <v>131230</v>
      </c>
      <c r="R6" s="101">
        <v>139040</v>
      </c>
      <c r="S6" s="101">
        <v>232629</v>
      </c>
      <c r="T6" s="102">
        <f t="shared" si="3"/>
        <v>371669</v>
      </c>
    </row>
    <row r="7" spans="1:20">
      <c r="A7" s="133" t="s">
        <v>5</v>
      </c>
      <c r="B7" s="133" t="s">
        <v>199</v>
      </c>
      <c r="C7" s="133" t="s">
        <v>173</v>
      </c>
      <c r="D7" s="133">
        <v>1</v>
      </c>
      <c r="E7" s="135">
        <v>9</v>
      </c>
      <c r="F7" s="130">
        <f t="shared" si="0"/>
        <v>-0.89170511767060656</v>
      </c>
      <c r="G7" s="130">
        <f t="shared" si="1"/>
        <v>11.586594054895428</v>
      </c>
      <c r="H7" s="130">
        <f t="shared" si="2"/>
        <v>1.5476241348878257</v>
      </c>
      <c r="I7" s="130">
        <v>6.9324230000000001E-2</v>
      </c>
      <c r="J7" s="130"/>
      <c r="K7" s="130"/>
      <c r="L7" s="69">
        <v>-42323</v>
      </c>
      <c r="M7">
        <v>134</v>
      </c>
      <c r="N7" s="32">
        <v>56223</v>
      </c>
      <c r="O7" s="32">
        <v>107645</v>
      </c>
      <c r="P7" s="32">
        <v>47463</v>
      </c>
      <c r="Q7" s="32">
        <f t="shared" ref="Q7:Q15" si="5">O7-T7</f>
        <v>-58949</v>
      </c>
      <c r="R7" s="32">
        <v>128952</v>
      </c>
      <c r="S7" s="32">
        <v>37642</v>
      </c>
      <c r="T7" s="32">
        <f t="shared" si="3"/>
        <v>166594</v>
      </c>
    </row>
    <row r="8" spans="1:20">
      <c r="A8" s="133" t="s">
        <v>9</v>
      </c>
      <c r="B8" s="133" t="s">
        <v>199</v>
      </c>
      <c r="C8" s="133" t="s">
        <v>205</v>
      </c>
      <c r="D8" s="133">
        <v>0</v>
      </c>
      <c r="E8" s="135">
        <v>11</v>
      </c>
      <c r="F8" s="130">
        <f t="shared" si="0"/>
        <v>-6.097560975609756E-2</v>
      </c>
      <c r="G8" s="130">
        <f t="shared" si="1"/>
        <v>11.941019268638666</v>
      </c>
      <c r="H8" s="130">
        <f t="shared" si="2"/>
        <v>0.88785333011803202</v>
      </c>
      <c r="I8" s="130">
        <v>-3.6249629999999998E-2</v>
      </c>
      <c r="J8" s="130"/>
      <c r="K8" s="130"/>
      <c r="L8" s="69">
        <v>-5345</v>
      </c>
      <c r="N8" s="32">
        <v>65437</v>
      </c>
      <c r="O8" s="32">
        <v>153433</v>
      </c>
      <c r="P8" s="32">
        <v>87658</v>
      </c>
      <c r="Q8" s="32">
        <f t="shared" si="5"/>
        <v>17207</v>
      </c>
      <c r="R8" s="32"/>
      <c r="S8" s="32"/>
      <c r="T8" s="32">
        <v>136226</v>
      </c>
    </row>
    <row r="9" spans="1:20" ht="17">
      <c r="A9" s="133" t="s">
        <v>11</v>
      </c>
      <c r="B9" s="133" t="s">
        <v>199</v>
      </c>
      <c r="C9" s="133" t="s">
        <v>203</v>
      </c>
      <c r="D9" s="133">
        <v>0</v>
      </c>
      <c r="E9" s="135">
        <v>18</v>
      </c>
      <c r="F9" s="130">
        <f t="shared" si="0"/>
        <v>-0.5023946700808497</v>
      </c>
      <c r="G9" s="130">
        <f t="shared" si="1"/>
        <v>11.468325509601202</v>
      </c>
      <c r="H9" s="130">
        <f t="shared" si="2"/>
        <v>1.1397457077730608</v>
      </c>
      <c r="I9" s="130">
        <v>5.3162340000000002E-2</v>
      </c>
      <c r="J9" s="130"/>
      <c r="K9" s="130"/>
      <c r="L9" s="69">
        <v>-42379</v>
      </c>
      <c r="M9" s="23">
        <v>201</v>
      </c>
      <c r="N9" s="32">
        <v>52374</v>
      </c>
      <c r="O9" s="32">
        <v>95638</v>
      </c>
      <c r="P9" s="32">
        <v>84354</v>
      </c>
      <c r="Q9" s="32">
        <f t="shared" si="5"/>
        <v>-13365</v>
      </c>
      <c r="R9" s="32">
        <v>45547</v>
      </c>
      <c r="S9" s="32">
        <v>63456</v>
      </c>
      <c r="T9" s="32">
        <f>R9+S9</f>
        <v>109003</v>
      </c>
    </row>
    <row r="10" spans="1:20">
      <c r="A10" s="133" t="s">
        <v>13</v>
      </c>
      <c r="B10" s="133" t="s">
        <v>199</v>
      </c>
      <c r="C10" s="133" t="s">
        <v>205</v>
      </c>
      <c r="D10" s="133">
        <v>0</v>
      </c>
      <c r="E10" s="135">
        <v>12</v>
      </c>
      <c r="F10" s="130">
        <f t="shared" si="0"/>
        <v>6.9697066734981425E-2</v>
      </c>
      <c r="G10" s="130">
        <f t="shared" si="1"/>
        <v>12.489132803371254</v>
      </c>
      <c r="H10" s="130">
        <f t="shared" si="2"/>
        <v>0.95946307410044573</v>
      </c>
      <c r="I10" s="130">
        <f t="shared" si="4"/>
        <v>-0.68197001792406708</v>
      </c>
      <c r="J10" s="130"/>
      <c r="K10" s="130"/>
      <c r="L10" s="69">
        <v>4353</v>
      </c>
      <c r="N10" s="32">
        <v>26361</v>
      </c>
      <c r="O10" s="32">
        <v>265437</v>
      </c>
      <c r="P10" s="32">
        <v>62456</v>
      </c>
      <c r="Q10" s="32">
        <f t="shared" si="5"/>
        <v>10760</v>
      </c>
      <c r="R10" s="32"/>
      <c r="S10" s="32"/>
      <c r="T10" s="32">
        <v>254677</v>
      </c>
    </row>
    <row r="11" spans="1:20">
      <c r="A11" s="133" t="s">
        <v>13</v>
      </c>
      <c r="B11" s="133" t="s">
        <v>199</v>
      </c>
      <c r="C11" s="133" t="s">
        <v>203</v>
      </c>
      <c r="D11" s="133">
        <v>0</v>
      </c>
      <c r="E11" s="135">
        <v>9</v>
      </c>
      <c r="F11" s="130">
        <f t="shared" si="0"/>
        <v>-0.17663862636467328</v>
      </c>
      <c r="G11" s="130">
        <f t="shared" si="1"/>
        <v>11.403713095996656</v>
      </c>
      <c r="H11" s="130">
        <f t="shared" si="2"/>
        <v>0.96210988912931938</v>
      </c>
      <c r="I11" s="130">
        <f t="shared" si="4"/>
        <v>0.68793082701596964</v>
      </c>
      <c r="J11" s="130"/>
      <c r="K11" s="130"/>
      <c r="L11" s="69">
        <v>-34689</v>
      </c>
      <c r="N11" s="32">
        <v>38645</v>
      </c>
      <c r="O11" s="32">
        <v>89654</v>
      </c>
      <c r="P11" s="32">
        <v>196384</v>
      </c>
      <c r="Q11" s="32">
        <f t="shared" si="5"/>
        <v>3397</v>
      </c>
      <c r="R11" s="32"/>
      <c r="S11" s="32"/>
      <c r="T11" s="32">
        <v>86257</v>
      </c>
    </row>
    <row r="12" spans="1:20">
      <c r="A12" s="133" t="s">
        <v>13</v>
      </c>
      <c r="B12" s="133" t="s">
        <v>199</v>
      </c>
      <c r="C12" s="133" t="s">
        <v>202</v>
      </c>
      <c r="D12" s="133">
        <v>0</v>
      </c>
      <c r="E12" s="135">
        <v>5</v>
      </c>
      <c r="F12" s="130">
        <f t="shared" si="0"/>
        <v>0.56164371787599054</v>
      </c>
      <c r="G12" s="130">
        <f t="shared" si="1"/>
        <v>11.817803830000262</v>
      </c>
      <c r="H12" s="130">
        <f t="shared" si="2"/>
        <v>1.2086165460094658</v>
      </c>
      <c r="I12" s="130">
        <f t="shared" si="4"/>
        <v>-0.38484883733226177</v>
      </c>
      <c r="J12" s="130"/>
      <c r="K12" s="130"/>
      <c r="L12" s="69">
        <v>65345</v>
      </c>
      <c r="N12" s="32">
        <v>53472</v>
      </c>
      <c r="O12" s="32">
        <v>135646</v>
      </c>
      <c r="P12" s="32">
        <v>116346</v>
      </c>
      <c r="Q12" s="32">
        <f t="shared" si="5"/>
        <v>-28298</v>
      </c>
      <c r="R12" s="32"/>
      <c r="S12" s="32"/>
      <c r="T12" s="32">
        <v>163944</v>
      </c>
    </row>
    <row r="13" spans="1:20">
      <c r="A13" s="133" t="s">
        <v>13</v>
      </c>
      <c r="B13" s="133" t="s">
        <v>199</v>
      </c>
      <c r="C13" s="133" t="s">
        <v>201</v>
      </c>
      <c r="D13" s="133">
        <v>0</v>
      </c>
      <c r="E13" s="133">
        <v>7</v>
      </c>
      <c r="F13" s="130">
        <f t="shared" si="0"/>
        <v>0.41522941406621761</v>
      </c>
      <c r="G13" s="130">
        <f t="shared" si="1"/>
        <v>12.151912086570738</v>
      </c>
      <c r="H13" s="130">
        <f t="shared" si="2"/>
        <v>1.0093847648002703</v>
      </c>
      <c r="I13" s="130">
        <f t="shared" si="4"/>
        <v>1.1634352515928303</v>
      </c>
      <c r="J13" s="130"/>
      <c r="K13" s="130"/>
      <c r="L13" s="69">
        <v>78534</v>
      </c>
      <c r="M13" s="1"/>
      <c r="N13" s="32">
        <v>98672</v>
      </c>
      <c r="O13" s="32">
        <v>189456</v>
      </c>
      <c r="P13" s="32">
        <v>189134</v>
      </c>
      <c r="Q13" s="32">
        <f t="shared" si="5"/>
        <v>-1778</v>
      </c>
      <c r="R13" s="32"/>
      <c r="S13" s="32"/>
      <c r="T13" s="32">
        <v>191234</v>
      </c>
    </row>
    <row r="14" spans="1:20">
      <c r="A14" s="133" t="s">
        <v>13</v>
      </c>
      <c r="B14" s="133" t="s">
        <v>199</v>
      </c>
      <c r="C14" s="133" t="s">
        <v>173</v>
      </c>
      <c r="D14" s="133">
        <v>0</v>
      </c>
      <c r="E14" s="135">
        <v>5</v>
      </c>
      <c r="F14" s="130">
        <f t="shared" si="0"/>
        <v>-1.0255196001052356</v>
      </c>
      <c r="G14" s="130">
        <f t="shared" si="1"/>
        <v>11.719085611244024</v>
      </c>
      <c r="H14" s="130">
        <f t="shared" si="2"/>
        <v>1.3819602099353105</v>
      </c>
      <c r="I14" s="130">
        <v>0.19613680583811777</v>
      </c>
      <c r="J14" s="130"/>
      <c r="K14" s="130"/>
      <c r="L14" s="69">
        <v>-89654</v>
      </c>
      <c r="N14" s="32">
        <v>65489</v>
      </c>
      <c r="O14" s="32">
        <v>122895</v>
      </c>
      <c r="P14" s="32">
        <v>87423</v>
      </c>
      <c r="Q14" s="32">
        <f t="shared" si="5"/>
        <v>-46941</v>
      </c>
      <c r="R14" s="32"/>
      <c r="S14" s="32"/>
      <c r="T14" s="32">
        <v>169836</v>
      </c>
    </row>
    <row r="15" spans="1:20">
      <c r="A15" s="133" t="s">
        <v>157</v>
      </c>
      <c r="B15" s="133" t="s">
        <v>199</v>
      </c>
      <c r="C15" s="133" t="s">
        <v>173</v>
      </c>
      <c r="D15" s="133">
        <v>0</v>
      </c>
      <c r="E15" s="135">
        <v>18</v>
      </c>
      <c r="F15" s="130">
        <f t="shared" si="0"/>
        <v>-1.2416786870968619</v>
      </c>
      <c r="G15" s="130">
        <f t="shared" si="1"/>
        <v>11.085736084387904</v>
      </c>
      <c r="H15" s="130">
        <f t="shared" si="2"/>
        <v>1.3656682098292301</v>
      </c>
      <c r="I15" s="130">
        <v>-8.9324262299999999E-2</v>
      </c>
      <c r="J15" s="130"/>
      <c r="K15" s="130"/>
      <c r="L15" s="69">
        <v>-45623</v>
      </c>
      <c r="M15">
        <v>94</v>
      </c>
      <c r="N15" s="32">
        <v>26356</v>
      </c>
      <c r="O15" s="32">
        <v>65234</v>
      </c>
      <c r="P15" s="32">
        <v>36743</v>
      </c>
      <c r="Q15" s="32">
        <f t="shared" si="5"/>
        <v>-23854</v>
      </c>
      <c r="R15" s="32">
        <v>62545</v>
      </c>
      <c r="S15" s="32">
        <v>26543</v>
      </c>
      <c r="T15" s="32">
        <f>R15+S15</f>
        <v>89088</v>
      </c>
    </row>
    <row r="16" spans="1:20">
      <c r="A16" s="134" t="s">
        <v>17</v>
      </c>
      <c r="B16" s="134" t="s">
        <v>200</v>
      </c>
      <c r="C16" s="134" t="s">
        <v>205</v>
      </c>
      <c r="D16" s="134">
        <v>0</v>
      </c>
      <c r="E16" s="15">
        <v>13</v>
      </c>
      <c r="F16" s="130">
        <f t="shared" si="0"/>
        <v>0.20757735643530653</v>
      </c>
      <c r="G16" s="130">
        <f t="shared" si="1"/>
        <v>9.9938765522638082</v>
      </c>
      <c r="H16" s="130">
        <f t="shared" si="2"/>
        <v>0.67362506851818016</v>
      </c>
      <c r="I16" s="130">
        <f t="shared" si="4"/>
        <v>-9.4169159137861919E-2</v>
      </c>
      <c r="J16" s="130"/>
      <c r="K16" s="130"/>
      <c r="L16" s="69">
        <v>6098</v>
      </c>
      <c r="N16" s="32"/>
      <c r="O16" s="32">
        <v>21892</v>
      </c>
      <c r="P16" s="32">
        <v>29377</v>
      </c>
      <c r="Q16" s="32">
        <v>7145</v>
      </c>
      <c r="R16" s="32"/>
      <c r="S16" s="32"/>
      <c r="T16" s="32">
        <v>14747</v>
      </c>
    </row>
    <row r="17" spans="1:20">
      <c r="A17" s="134" t="s">
        <v>17</v>
      </c>
      <c r="B17" s="134" t="s">
        <v>200</v>
      </c>
      <c r="C17" s="134" t="s">
        <v>203</v>
      </c>
      <c r="D17" s="134">
        <v>0</v>
      </c>
      <c r="E17" s="15">
        <v>15</v>
      </c>
      <c r="F17" s="130">
        <f t="shared" si="0"/>
        <v>0.10246369214640313</v>
      </c>
      <c r="G17" s="130">
        <f t="shared" si="1"/>
        <v>10.571727097389889</v>
      </c>
      <c r="H17" s="130">
        <f t="shared" si="2"/>
        <v>0.73177670699200326</v>
      </c>
      <c r="I17" s="130">
        <f t="shared" si="4"/>
        <v>0.26288940809968847</v>
      </c>
      <c r="J17" s="130"/>
      <c r="K17" s="130"/>
      <c r="L17" s="69">
        <v>3323</v>
      </c>
      <c r="N17" s="32"/>
      <c r="O17" s="32">
        <v>39016</v>
      </c>
      <c r="P17" s="32">
        <v>32431</v>
      </c>
      <c r="Q17" s="32">
        <v>10465</v>
      </c>
      <c r="R17" s="32"/>
      <c r="S17" s="32"/>
      <c r="T17" s="32">
        <v>28551</v>
      </c>
    </row>
    <row r="18" spans="1:20">
      <c r="A18" s="134" t="s">
        <v>17</v>
      </c>
      <c r="B18" s="134" t="s">
        <v>200</v>
      </c>
      <c r="C18" s="134" t="s">
        <v>202</v>
      </c>
      <c r="D18" s="134">
        <v>0</v>
      </c>
      <c r="E18" s="15">
        <v>19</v>
      </c>
      <c r="F18" s="130">
        <f t="shared" si="0"/>
        <v>0.15619158878504674</v>
      </c>
      <c r="G18" s="130">
        <f t="shared" si="1"/>
        <v>10.891112413014609</v>
      </c>
      <c r="H18" s="130">
        <f t="shared" si="2"/>
        <v>0.73041324468778512</v>
      </c>
      <c r="I18" s="130">
        <v>8.4360124480913276E-2</v>
      </c>
      <c r="J18" s="130"/>
      <c r="K18" s="130"/>
      <c r="L18" s="69">
        <v>4011</v>
      </c>
      <c r="N18" s="32"/>
      <c r="O18" s="32">
        <v>53697</v>
      </c>
      <c r="P18" s="32">
        <v>25680</v>
      </c>
      <c r="Q18" s="32">
        <v>14476</v>
      </c>
      <c r="R18" s="32"/>
      <c r="S18" s="32"/>
      <c r="T18" s="32">
        <v>39221</v>
      </c>
    </row>
    <row r="19" spans="1:20">
      <c r="A19" s="134" t="s">
        <v>18</v>
      </c>
      <c r="B19" s="134" t="s">
        <v>200</v>
      </c>
      <c r="C19" s="134" t="s">
        <v>205</v>
      </c>
      <c r="D19" s="134">
        <v>0</v>
      </c>
      <c r="E19" s="15">
        <v>14</v>
      </c>
      <c r="F19" s="130">
        <f t="shared" si="0"/>
        <v>0.3649803722932759</v>
      </c>
      <c r="G19" s="130">
        <f t="shared" si="1"/>
        <v>10.752462577125415</v>
      </c>
      <c r="H19" s="130">
        <f t="shared" si="2"/>
        <v>0.64188683281634396</v>
      </c>
      <c r="I19" s="130">
        <f t="shared" si="4"/>
        <v>-8.8448330591867949E-2</v>
      </c>
      <c r="J19" s="130"/>
      <c r="K19" s="130"/>
      <c r="L19" s="69">
        <v>11529</v>
      </c>
      <c r="N19" s="32"/>
      <c r="O19" s="32">
        <v>46745</v>
      </c>
      <c r="P19" s="32">
        <v>31588</v>
      </c>
      <c r="Q19" s="32">
        <v>16740</v>
      </c>
      <c r="R19" s="32"/>
      <c r="S19" s="32"/>
      <c r="T19" s="32">
        <v>30005</v>
      </c>
    </row>
    <row r="20" spans="1:20" ht="17">
      <c r="A20" s="134" t="s">
        <v>18</v>
      </c>
      <c r="B20" s="134" t="s">
        <v>200</v>
      </c>
      <c r="C20" s="134" t="s">
        <v>203</v>
      </c>
      <c r="D20" s="134">
        <v>0</v>
      </c>
      <c r="E20" s="15">
        <v>13</v>
      </c>
      <c r="F20" s="130">
        <f t="shared" si="0"/>
        <v>-0.3270423917121173</v>
      </c>
      <c r="G20" s="130">
        <f t="shared" si="1"/>
        <v>10.023712049842496</v>
      </c>
      <c r="H20" s="130">
        <f t="shared" si="2"/>
        <v>0.76023054755043229</v>
      </c>
      <c r="I20" s="130">
        <f t="shared" si="4"/>
        <v>0.26415438494090182</v>
      </c>
      <c r="J20" s="130"/>
      <c r="K20" s="130"/>
      <c r="L20" s="89">
        <v>-11333</v>
      </c>
      <c r="M20" s="25"/>
      <c r="N20" s="38"/>
      <c r="O20" s="38">
        <v>22555</v>
      </c>
      <c r="P20" s="38">
        <v>34653</v>
      </c>
      <c r="Q20" s="38">
        <v>5408</v>
      </c>
      <c r="R20" s="38"/>
      <c r="S20" s="38"/>
      <c r="T20" s="32">
        <v>17147</v>
      </c>
    </row>
    <row r="21" spans="1:20">
      <c r="A21" s="134" t="s">
        <v>18</v>
      </c>
      <c r="B21" s="134" t="s">
        <v>200</v>
      </c>
      <c r="C21" s="134" t="s">
        <v>202</v>
      </c>
      <c r="D21" s="134">
        <v>0</v>
      </c>
      <c r="E21" s="15">
        <v>11</v>
      </c>
      <c r="F21" s="130">
        <f t="shared" si="0"/>
        <v>0.29177002772508392</v>
      </c>
      <c r="G21" s="130">
        <f t="shared" si="1"/>
        <v>11.0483152650012</v>
      </c>
      <c r="H21" s="130">
        <f t="shared" si="2"/>
        <v>0.78665775486170786</v>
      </c>
      <c r="I21" s="130">
        <f t="shared" si="4"/>
        <v>1.2111801242236024</v>
      </c>
      <c r="J21" s="130"/>
      <c r="K21" s="130"/>
      <c r="L21" s="69">
        <v>7998</v>
      </c>
      <c r="N21" s="32"/>
      <c r="O21" s="32">
        <v>62838</v>
      </c>
      <c r="P21" s="32">
        <v>27412</v>
      </c>
      <c r="Q21" s="32">
        <v>13406</v>
      </c>
      <c r="R21" s="32"/>
      <c r="S21" s="32"/>
      <c r="T21" s="32">
        <v>49432</v>
      </c>
    </row>
    <row r="22" spans="1:20">
      <c r="A22" s="134" t="s">
        <v>18</v>
      </c>
      <c r="B22" s="134" t="s">
        <v>200</v>
      </c>
      <c r="C22" s="134" t="s">
        <v>201</v>
      </c>
      <c r="D22" s="134">
        <v>0</v>
      </c>
      <c r="E22" s="15">
        <v>13</v>
      </c>
      <c r="F22" s="130">
        <f t="shared" si="0"/>
        <v>0.45543276599177218</v>
      </c>
      <c r="G22" s="130">
        <f t="shared" si="1"/>
        <v>10.503120439721929</v>
      </c>
      <c r="H22" s="130">
        <f t="shared" si="2"/>
        <v>1.1715117077053996</v>
      </c>
      <c r="I22" s="130">
        <f t="shared" si="4"/>
        <v>-0.64783250951650473</v>
      </c>
      <c r="J22" s="130"/>
      <c r="K22" s="130"/>
      <c r="L22" s="69">
        <v>5646</v>
      </c>
      <c r="N22" s="32">
        <v>7969</v>
      </c>
      <c r="O22" s="32">
        <v>36429</v>
      </c>
      <c r="P22" s="32">
        <v>12397</v>
      </c>
      <c r="Q22" s="32">
        <v>-6248</v>
      </c>
      <c r="R22" s="32"/>
      <c r="S22" s="32"/>
      <c r="T22" s="32">
        <v>42677</v>
      </c>
    </row>
    <row r="23" spans="1:20">
      <c r="A23" s="134" t="s">
        <v>18</v>
      </c>
      <c r="B23" s="134" t="s">
        <v>200</v>
      </c>
      <c r="C23" s="134" t="s">
        <v>173</v>
      </c>
      <c r="D23" s="134">
        <v>0</v>
      </c>
      <c r="E23" s="15">
        <v>14</v>
      </c>
      <c r="F23" s="130">
        <f t="shared" si="0"/>
        <v>0.247571160729504</v>
      </c>
      <c r="G23" s="130">
        <f t="shared" si="1"/>
        <v>10.388564506279341</v>
      </c>
      <c r="H23" s="130">
        <f t="shared" si="2"/>
        <v>0.92427507233885364</v>
      </c>
      <c r="I23" s="130">
        <v>0.18476341726403289</v>
      </c>
      <c r="J23" s="130"/>
      <c r="K23" s="130"/>
      <c r="L23" s="69">
        <v>8715</v>
      </c>
      <c r="N23" s="32">
        <v>12735</v>
      </c>
      <c r="O23" s="32">
        <v>32486</v>
      </c>
      <c r="P23" s="32">
        <v>35202</v>
      </c>
      <c r="Q23" s="32">
        <v>2460</v>
      </c>
      <c r="R23" s="32"/>
      <c r="S23" s="32"/>
      <c r="T23" s="32">
        <v>30026</v>
      </c>
    </row>
    <row r="24" spans="1:20">
      <c r="A24" s="133" t="s">
        <v>19</v>
      </c>
      <c r="B24" s="133" t="s">
        <v>199</v>
      </c>
      <c r="C24" s="133" t="s">
        <v>203</v>
      </c>
      <c r="D24" s="133">
        <v>0</v>
      </c>
      <c r="E24" s="135">
        <v>13</v>
      </c>
      <c r="F24" s="130">
        <f t="shared" si="0"/>
        <v>-0.47777420886517891</v>
      </c>
      <c r="G24" s="130">
        <f t="shared" si="1"/>
        <v>11.444871438344773</v>
      </c>
      <c r="H24" s="130">
        <f t="shared" si="2"/>
        <v>0.97220111109921747</v>
      </c>
      <c r="I24" s="130">
        <f t="shared" si="4"/>
        <v>0.60274861785706291</v>
      </c>
      <c r="J24" s="130"/>
      <c r="K24" s="130"/>
      <c r="L24" s="69">
        <v>-68423</v>
      </c>
      <c r="N24" s="32">
        <v>77231</v>
      </c>
      <c r="O24" s="32">
        <v>93421</v>
      </c>
      <c r="P24" s="32">
        <v>143212</v>
      </c>
      <c r="Q24" s="32">
        <f t="shared" ref="Q24:Q31" si="6">O24-T24</f>
        <v>2597</v>
      </c>
      <c r="R24" s="32"/>
      <c r="S24" s="32"/>
      <c r="T24" s="32">
        <v>90824</v>
      </c>
    </row>
    <row r="25" spans="1:20">
      <c r="A25" s="133" t="s">
        <v>19</v>
      </c>
      <c r="B25" s="133" t="s">
        <v>199</v>
      </c>
      <c r="C25" s="133" t="s">
        <v>202</v>
      </c>
      <c r="D25" s="133">
        <v>0</v>
      </c>
      <c r="E25" s="135">
        <v>18</v>
      </c>
      <c r="F25" s="130">
        <f t="shared" si="0"/>
        <v>-4.2057434474114197E-2</v>
      </c>
      <c r="G25" s="130">
        <f t="shared" si="1"/>
        <v>10.938147814711721</v>
      </c>
      <c r="H25" s="130">
        <f t="shared" si="2"/>
        <v>1.2852904074054332</v>
      </c>
      <c r="I25" s="130">
        <f t="shared" si="4"/>
        <v>2.5694249649368863E-3</v>
      </c>
      <c r="J25" s="130"/>
      <c r="K25" s="130"/>
      <c r="L25" s="69">
        <v>-3758</v>
      </c>
      <c r="N25" s="32">
        <v>8791</v>
      </c>
      <c r="O25" s="32">
        <v>56283</v>
      </c>
      <c r="P25" s="32">
        <v>89354</v>
      </c>
      <c r="Q25" s="32">
        <f t="shared" si="6"/>
        <v>-16057</v>
      </c>
      <c r="R25" s="32"/>
      <c r="S25" s="32"/>
      <c r="T25" s="32">
        <v>72340</v>
      </c>
    </row>
    <row r="26" spans="1:20" ht="18">
      <c r="A26" s="133" t="s">
        <v>19</v>
      </c>
      <c r="B26" s="133" t="s">
        <v>199</v>
      </c>
      <c r="C26" s="133" t="s">
        <v>201</v>
      </c>
      <c r="D26" s="133">
        <v>0</v>
      </c>
      <c r="E26" s="133">
        <v>19</v>
      </c>
      <c r="F26" s="130">
        <f t="shared" si="0"/>
        <v>-1.0944403927068724</v>
      </c>
      <c r="G26" s="130">
        <f t="shared" si="1"/>
        <v>11.774011990399837</v>
      </c>
      <c r="H26" s="130">
        <f t="shared" si="2"/>
        <v>1.4575765978095105</v>
      </c>
      <c r="I26" s="130">
        <v>0.30265902141099987</v>
      </c>
      <c r="J26" s="130"/>
      <c r="K26" s="130"/>
      <c r="L26" s="82">
        <v>-97542</v>
      </c>
      <c r="M26" s="1"/>
      <c r="N26" s="32">
        <v>81234</v>
      </c>
      <c r="O26" s="32">
        <v>129834</v>
      </c>
      <c r="P26" s="32">
        <v>89125</v>
      </c>
      <c r="Q26" s="32">
        <f t="shared" si="6"/>
        <v>-59409</v>
      </c>
      <c r="R26" s="32"/>
      <c r="S26" s="32"/>
      <c r="T26" s="32">
        <v>189243</v>
      </c>
    </row>
    <row r="27" spans="1:20">
      <c r="A27" s="133" t="s">
        <v>20</v>
      </c>
      <c r="B27" s="133" t="s">
        <v>199</v>
      </c>
      <c r="C27" s="133" t="s">
        <v>205</v>
      </c>
      <c r="D27" s="133">
        <v>0</v>
      </c>
      <c r="E27" s="135">
        <v>14</v>
      </c>
      <c r="F27" s="130">
        <f t="shared" si="0"/>
        <v>3.3946297980320513E-2</v>
      </c>
      <c r="G27" s="130">
        <f t="shared" si="1"/>
        <v>12.016315513233597</v>
      </c>
      <c r="H27" s="130">
        <f t="shared" si="2"/>
        <v>1.0436553991972533</v>
      </c>
      <c r="I27" s="130">
        <f t="shared" si="4"/>
        <v>-3.5214819329011382E-2</v>
      </c>
      <c r="J27" s="130"/>
      <c r="K27" s="130"/>
      <c r="L27" s="69">
        <v>6234</v>
      </c>
      <c r="N27" s="32">
        <v>69572</v>
      </c>
      <c r="O27" s="32">
        <v>165432</v>
      </c>
      <c r="P27" s="32">
        <v>183643</v>
      </c>
      <c r="Q27" s="32">
        <f t="shared" si="6"/>
        <v>-7222</v>
      </c>
      <c r="R27" s="32"/>
      <c r="S27" s="32"/>
      <c r="T27" s="32">
        <v>172654</v>
      </c>
    </row>
    <row r="28" spans="1:20">
      <c r="A28" s="133" t="s">
        <v>20</v>
      </c>
      <c r="B28" s="133" t="s">
        <v>199</v>
      </c>
      <c r="C28" s="133" t="s">
        <v>203</v>
      </c>
      <c r="D28" s="133">
        <v>0</v>
      </c>
      <c r="E28" s="135">
        <v>7</v>
      </c>
      <c r="F28" s="130">
        <f t="shared" si="0"/>
        <v>-0.39530644195307491</v>
      </c>
      <c r="G28" s="130">
        <f t="shared" si="1"/>
        <v>12.13861787627158</v>
      </c>
      <c r="H28" s="130">
        <f t="shared" si="2"/>
        <v>0.74593215443371097</v>
      </c>
      <c r="I28" s="130">
        <f t="shared" si="4"/>
        <v>2.0011194324004729</v>
      </c>
      <c r="J28" s="130"/>
      <c r="K28" s="130"/>
      <c r="L28" s="69">
        <v>-75245</v>
      </c>
      <c r="N28" s="32">
        <v>45679</v>
      </c>
      <c r="O28" s="32">
        <v>186954</v>
      </c>
      <c r="P28" s="32">
        <v>190346</v>
      </c>
      <c r="Q28" s="32">
        <f t="shared" si="6"/>
        <v>47499</v>
      </c>
      <c r="R28" s="32"/>
      <c r="S28" s="32"/>
      <c r="T28" s="32">
        <v>139455</v>
      </c>
    </row>
    <row r="29" spans="1:20">
      <c r="A29" s="133" t="s">
        <v>20</v>
      </c>
      <c r="B29" s="133" t="s">
        <v>199</v>
      </c>
      <c r="C29" s="133" t="s">
        <v>202</v>
      </c>
      <c r="D29" s="133">
        <v>0</v>
      </c>
      <c r="E29" s="135">
        <v>9</v>
      </c>
      <c r="F29" s="130">
        <f t="shared" si="0"/>
        <v>1.3678044934962554</v>
      </c>
      <c r="G29" s="130">
        <f t="shared" si="1"/>
        <v>11.998716317616294</v>
      </c>
      <c r="H29" s="130">
        <f t="shared" si="2"/>
        <v>1.0391089291646671</v>
      </c>
      <c r="I29" s="130">
        <f t="shared" si="4"/>
        <v>-0.66556109804583274</v>
      </c>
      <c r="J29" s="130"/>
      <c r="K29" s="130"/>
      <c r="L29" s="69">
        <v>86753</v>
      </c>
      <c r="N29" s="32">
        <v>65824</v>
      </c>
      <c r="O29" s="32">
        <v>162546</v>
      </c>
      <c r="P29" s="32">
        <v>63425</v>
      </c>
      <c r="Q29" s="32">
        <f t="shared" si="6"/>
        <v>-6357</v>
      </c>
      <c r="R29" s="32"/>
      <c r="S29" s="32"/>
      <c r="T29" s="32">
        <v>168903</v>
      </c>
    </row>
    <row r="30" spans="1:20" ht="18">
      <c r="A30" s="133" t="s">
        <v>20</v>
      </c>
      <c r="B30" s="133" t="s">
        <v>199</v>
      </c>
      <c r="C30" s="133" t="s">
        <v>201</v>
      </c>
      <c r="D30" s="133">
        <v>0</v>
      </c>
      <c r="E30" s="133">
        <v>16</v>
      </c>
      <c r="F30" s="130">
        <f t="shared" si="0"/>
        <v>-0.40408972506670321</v>
      </c>
      <c r="G30" s="130">
        <f t="shared" si="1"/>
        <v>12.497233659441383</v>
      </c>
      <c r="H30" s="130">
        <f t="shared" si="2"/>
        <v>0.91801446957353627</v>
      </c>
      <c r="I30" s="130">
        <f t="shared" si="4"/>
        <v>1.9667417558350542</v>
      </c>
      <c r="J30" s="130"/>
      <c r="K30" s="130"/>
      <c r="L30" s="82">
        <v>-76634</v>
      </c>
      <c r="M30" s="1"/>
      <c r="N30" s="32">
        <v>125688</v>
      </c>
      <c r="O30" s="32">
        <v>267596</v>
      </c>
      <c r="P30" s="32">
        <v>189646</v>
      </c>
      <c r="Q30" s="32">
        <f t="shared" si="6"/>
        <v>21939</v>
      </c>
      <c r="R30" s="32"/>
      <c r="S30" s="32"/>
      <c r="T30" s="32">
        <v>245657</v>
      </c>
    </row>
    <row r="31" spans="1:20">
      <c r="A31" s="133" t="s">
        <v>20</v>
      </c>
      <c r="B31" s="133" t="s">
        <v>199</v>
      </c>
      <c r="C31" s="133" t="s">
        <v>173</v>
      </c>
      <c r="D31" s="133">
        <v>0</v>
      </c>
      <c r="E31" s="135">
        <v>7</v>
      </c>
      <c r="F31" s="130">
        <f t="shared" si="0"/>
        <v>0.38553594893936549</v>
      </c>
      <c r="G31" s="130">
        <f t="shared" si="1"/>
        <v>12.157118717952248</v>
      </c>
      <c r="H31" s="130">
        <f t="shared" si="2"/>
        <v>1.4121452387828506</v>
      </c>
      <c r="I31" s="130">
        <v>0.81677131771517075</v>
      </c>
      <c r="J31" s="130"/>
      <c r="K31" s="130"/>
      <c r="L31" s="69">
        <v>24645</v>
      </c>
      <c r="N31" s="32">
        <v>74563</v>
      </c>
      <c r="O31" s="32">
        <v>190445</v>
      </c>
      <c r="P31" s="32">
        <v>63924</v>
      </c>
      <c r="Q31" s="32">
        <f t="shared" si="6"/>
        <v>-78491</v>
      </c>
      <c r="R31" s="32"/>
      <c r="S31" s="32"/>
      <c r="T31" s="32">
        <v>268936</v>
      </c>
    </row>
    <row r="32" spans="1:20" ht="17">
      <c r="A32" s="130" t="s">
        <v>21</v>
      </c>
      <c r="B32" s="130" t="s">
        <v>172</v>
      </c>
      <c r="C32" s="130" t="s">
        <v>205</v>
      </c>
      <c r="D32" s="130">
        <v>0</v>
      </c>
      <c r="E32" s="7">
        <v>6</v>
      </c>
      <c r="F32" s="130">
        <f t="shared" si="0"/>
        <v>0.14023885821766313</v>
      </c>
      <c r="G32" s="130">
        <f t="shared" si="1"/>
        <v>13.974365583556121</v>
      </c>
      <c r="H32" s="130">
        <f t="shared" si="2"/>
        <v>0.59194074569515631</v>
      </c>
      <c r="I32" s="130">
        <f t="shared" si="4"/>
        <v>2.9318705351940987E-2</v>
      </c>
      <c r="J32" s="130"/>
      <c r="K32" s="130"/>
      <c r="L32" s="79">
        <v>64419</v>
      </c>
      <c r="M32" s="26">
        <v>733</v>
      </c>
      <c r="N32" s="48">
        <v>9687</v>
      </c>
      <c r="O32" s="48">
        <v>1172168</v>
      </c>
      <c r="P32" s="48">
        <v>459352</v>
      </c>
      <c r="Q32" s="48">
        <v>478314</v>
      </c>
      <c r="R32" s="48">
        <v>413739</v>
      </c>
      <c r="S32" s="48">
        <v>280115</v>
      </c>
      <c r="T32" s="35">
        <f>R32+S32</f>
        <v>693854</v>
      </c>
    </row>
    <row r="33" spans="1:20" ht="17">
      <c r="A33" s="130" t="s">
        <v>21</v>
      </c>
      <c r="B33" s="130" t="s">
        <v>172</v>
      </c>
      <c r="C33" s="130" t="s">
        <v>203</v>
      </c>
      <c r="D33" s="130">
        <v>0</v>
      </c>
      <c r="E33" s="7">
        <v>5</v>
      </c>
      <c r="F33" s="130">
        <f t="shared" si="0"/>
        <v>-6.844541844810742E-2</v>
      </c>
      <c r="G33" s="130">
        <f t="shared" si="1"/>
        <v>13.85501776853479</v>
      </c>
      <c r="H33" s="130">
        <f t="shared" si="2"/>
        <v>0.57395477065225542</v>
      </c>
      <c r="I33" s="130">
        <f t="shared" si="4"/>
        <v>0.16110097853773522</v>
      </c>
      <c r="J33" s="130"/>
      <c r="K33" s="130"/>
      <c r="L33" s="79">
        <v>-30545</v>
      </c>
      <c r="M33" s="26">
        <v>724</v>
      </c>
      <c r="N33" s="48">
        <v>10172</v>
      </c>
      <c r="O33" s="48">
        <v>1040298</v>
      </c>
      <c r="P33" s="48">
        <v>446268</v>
      </c>
      <c r="Q33" s="48">
        <v>443214</v>
      </c>
      <c r="R33" s="48">
        <v>319195</v>
      </c>
      <c r="S33" s="48">
        <v>277889</v>
      </c>
      <c r="T33" s="35">
        <f>R33+S33</f>
        <v>597084</v>
      </c>
    </row>
    <row r="34" spans="1:20" ht="17">
      <c r="A34" s="130" t="s">
        <v>21</v>
      </c>
      <c r="B34" s="130" t="s">
        <v>172</v>
      </c>
      <c r="C34" s="130" t="s">
        <v>202</v>
      </c>
      <c r="D34" s="130">
        <v>0</v>
      </c>
      <c r="E34" s="7">
        <v>8</v>
      </c>
      <c r="F34" s="130">
        <f t="shared" si="0"/>
        <v>-3.3521617071984054E-2</v>
      </c>
      <c r="G34" s="130">
        <f t="shared" si="1"/>
        <v>13.993186339838335</v>
      </c>
      <c r="H34" s="130">
        <f t="shared" si="2"/>
        <v>0.53695629241534515</v>
      </c>
      <c r="I34" s="130">
        <f t="shared" si="4"/>
        <v>1.1497973577556714E-2</v>
      </c>
      <c r="J34" s="130"/>
      <c r="K34" s="130"/>
      <c r="L34" s="111">
        <v>-12884</v>
      </c>
      <c r="M34" s="112">
        <v>394</v>
      </c>
      <c r="N34" s="113">
        <v>274396</v>
      </c>
      <c r="O34" s="113">
        <v>1194438</v>
      </c>
      <c r="P34" s="113">
        <v>384349</v>
      </c>
      <c r="Q34" s="113">
        <v>553077</v>
      </c>
      <c r="R34" s="113">
        <v>154444</v>
      </c>
      <c r="S34" s="113">
        <v>486917</v>
      </c>
      <c r="T34" s="48">
        <f>R34+S34</f>
        <v>641361</v>
      </c>
    </row>
    <row r="35" spans="1:20" ht="17">
      <c r="A35" s="130" t="s">
        <v>21</v>
      </c>
      <c r="B35" s="130" t="s">
        <v>172</v>
      </c>
      <c r="C35" s="130" t="s">
        <v>201</v>
      </c>
      <c r="D35" s="130">
        <v>0</v>
      </c>
      <c r="E35" s="130">
        <v>8</v>
      </c>
      <c r="F35" s="130">
        <f t="shared" si="0"/>
        <v>-0.32688562555923995</v>
      </c>
      <c r="G35" s="130">
        <f t="shared" si="1"/>
        <v>13.723526839348086</v>
      </c>
      <c r="H35" s="130">
        <f t="shared" si="2"/>
        <v>0.71740889356663595</v>
      </c>
      <c r="I35" s="130">
        <f t="shared" si="4"/>
        <v>-0.13054620589291885</v>
      </c>
      <c r="J35" s="130"/>
      <c r="K35" s="130"/>
      <c r="L35" s="79">
        <v>-124210</v>
      </c>
      <c r="M35" s="26">
        <v>634</v>
      </c>
      <c r="N35" s="48">
        <v>0</v>
      </c>
      <c r="O35" s="48">
        <v>912120</v>
      </c>
      <c r="P35" s="48">
        <v>379980</v>
      </c>
      <c r="Q35" s="48">
        <v>275247</v>
      </c>
      <c r="R35" s="48">
        <v>381014</v>
      </c>
      <c r="S35" s="48">
        <v>255859</v>
      </c>
      <c r="T35" s="35">
        <v>654363</v>
      </c>
    </row>
    <row r="36" spans="1:20">
      <c r="A36" s="130" t="s">
        <v>21</v>
      </c>
      <c r="B36" s="130" t="s">
        <v>172</v>
      </c>
      <c r="C36" s="130" t="s">
        <v>173</v>
      </c>
      <c r="D36" s="130">
        <v>0</v>
      </c>
      <c r="E36" s="130">
        <v>5</v>
      </c>
      <c r="F36" s="130">
        <f t="shared" si="0"/>
        <v>-0.12229511272604128</v>
      </c>
      <c r="G36" s="130">
        <f t="shared" si="1"/>
        <v>13.794257299010576</v>
      </c>
      <c r="H36" s="130">
        <f t="shared" si="2"/>
        <v>0.7691800880720675</v>
      </c>
      <c r="I36" s="130">
        <v>1.7842862893578518E-2</v>
      </c>
      <c r="J36" s="130"/>
      <c r="K36" s="130"/>
      <c r="L36" s="71">
        <v>-53447</v>
      </c>
      <c r="M36" s="27">
        <v>649</v>
      </c>
      <c r="N36" s="34">
        <v>0</v>
      </c>
      <c r="O36" s="34">
        <v>978971</v>
      </c>
      <c r="P36" s="34">
        <v>437033</v>
      </c>
      <c r="Q36" s="34">
        <v>225966</v>
      </c>
      <c r="R36" s="34">
        <v>433857</v>
      </c>
      <c r="S36" s="34">
        <v>319148</v>
      </c>
      <c r="T36" s="34">
        <f>R36+S36</f>
        <v>753005</v>
      </c>
    </row>
    <row r="37" spans="1:20">
      <c r="A37" s="134" t="s">
        <v>22</v>
      </c>
      <c r="B37" s="134" t="s">
        <v>200</v>
      </c>
      <c r="C37" s="134" t="s">
        <v>205</v>
      </c>
      <c r="D37" s="134">
        <v>1</v>
      </c>
      <c r="E37" s="15">
        <v>2</v>
      </c>
      <c r="F37" s="130">
        <f t="shared" si="0"/>
        <v>1.1327777328262804E-4</v>
      </c>
      <c r="G37" s="130">
        <f t="shared" si="1"/>
        <v>13.31808968769692</v>
      </c>
      <c r="H37" s="130">
        <f t="shared" si="2"/>
        <v>0.98701522947819176</v>
      </c>
      <c r="I37" s="130">
        <f t="shared" si="4"/>
        <v>0.10697107848845021</v>
      </c>
      <c r="J37" s="130"/>
      <c r="K37" s="130"/>
      <c r="L37" s="69">
        <v>14</v>
      </c>
      <c r="N37" s="32"/>
      <c r="O37" s="32">
        <v>608097</v>
      </c>
      <c r="P37" s="32">
        <v>123590</v>
      </c>
      <c r="Q37" s="32">
        <v>7896</v>
      </c>
      <c r="R37" s="32"/>
      <c r="S37" s="32"/>
      <c r="T37" s="32">
        <v>600201</v>
      </c>
    </row>
    <row r="38" spans="1:20">
      <c r="A38" s="134" t="s">
        <v>22</v>
      </c>
      <c r="B38" s="134" t="s">
        <v>200</v>
      </c>
      <c r="C38" s="134" t="s">
        <v>203</v>
      </c>
      <c r="D38" s="134">
        <v>0</v>
      </c>
      <c r="E38" s="15">
        <v>17</v>
      </c>
      <c r="F38" s="130">
        <f t="shared" si="0"/>
        <v>2.6870404041308767E-5</v>
      </c>
      <c r="G38" s="130">
        <f t="shared" si="1"/>
        <v>13.079522680007152</v>
      </c>
      <c r="H38" s="130">
        <f t="shared" si="2"/>
        <v>0.99681023397184321</v>
      </c>
      <c r="I38" s="130">
        <f t="shared" si="4"/>
        <v>0.79116665597125069</v>
      </c>
      <c r="J38" s="130"/>
      <c r="K38" s="130"/>
      <c r="L38" s="69">
        <v>3</v>
      </c>
      <c r="N38" s="32"/>
      <c r="O38" s="32">
        <v>479032</v>
      </c>
      <c r="P38" s="32">
        <v>111647</v>
      </c>
      <c r="Q38" s="32">
        <v>1528</v>
      </c>
      <c r="R38" s="32"/>
      <c r="S38" s="32"/>
      <c r="T38" s="32">
        <v>477504</v>
      </c>
    </row>
    <row r="39" spans="1:20">
      <c r="A39" s="134" t="s">
        <v>22</v>
      </c>
      <c r="B39" s="134" t="s">
        <v>200</v>
      </c>
      <c r="C39" s="134" t="s">
        <v>202</v>
      </c>
      <c r="D39" s="134">
        <v>0</v>
      </c>
      <c r="E39" s="15">
        <v>9</v>
      </c>
      <c r="F39" s="130">
        <f t="shared" si="0"/>
        <v>-3.2086247834178273E-5</v>
      </c>
      <c r="G39" s="130">
        <f t="shared" si="1"/>
        <v>12.82657386160524</v>
      </c>
      <c r="H39" s="130">
        <f t="shared" si="2"/>
        <v>0.99589754067510461</v>
      </c>
      <c r="I39" s="130">
        <f t="shared" si="4"/>
        <v>-1.743434534506132E-2</v>
      </c>
      <c r="J39" s="130"/>
      <c r="K39" s="130"/>
      <c r="L39" s="69">
        <v>-2</v>
      </c>
      <c r="N39" s="32"/>
      <c r="O39" s="32">
        <v>371972</v>
      </c>
      <c r="P39" s="32">
        <v>62332</v>
      </c>
      <c r="Q39" s="32">
        <v>1526</v>
      </c>
      <c r="R39" s="32"/>
      <c r="S39" s="32"/>
      <c r="T39" s="32">
        <v>370446</v>
      </c>
    </row>
    <row r="40" spans="1:20">
      <c r="A40" s="134" t="s">
        <v>22</v>
      </c>
      <c r="B40" s="134" t="s">
        <v>200</v>
      </c>
      <c r="C40" s="134" t="s">
        <v>201</v>
      </c>
      <c r="D40" s="134">
        <v>0</v>
      </c>
      <c r="E40" s="15">
        <v>3</v>
      </c>
      <c r="F40" s="130">
        <f t="shared" si="0"/>
        <v>-1.8285570162993789E-3</v>
      </c>
      <c r="G40" s="130">
        <f t="shared" si="1"/>
        <v>12.66130204636505</v>
      </c>
      <c r="H40" s="130">
        <f t="shared" si="2"/>
        <v>0.99552816778568187</v>
      </c>
      <c r="I40" s="130">
        <f t="shared" si="4"/>
        <v>-0.26419690080727476</v>
      </c>
      <c r="J40" s="130"/>
      <c r="K40" s="130"/>
      <c r="L40" s="69">
        <v>-116</v>
      </c>
      <c r="N40" s="32"/>
      <c r="O40" s="32">
        <v>315307</v>
      </c>
      <c r="P40" s="32">
        <v>63438</v>
      </c>
      <c r="Q40" s="32">
        <v>1410</v>
      </c>
      <c r="R40" s="32"/>
      <c r="S40" s="32"/>
      <c r="T40" s="32">
        <v>313897</v>
      </c>
    </row>
    <row r="41" spans="1:20">
      <c r="A41" s="134" t="s">
        <v>22</v>
      </c>
      <c r="B41" s="134" t="s">
        <v>200</v>
      </c>
      <c r="C41" s="134" t="s">
        <v>173</v>
      </c>
      <c r="D41" s="134">
        <v>1</v>
      </c>
      <c r="E41" s="15">
        <v>3</v>
      </c>
      <c r="F41" s="130">
        <f t="shared" si="0"/>
        <v>-2.1689709566669758E-3</v>
      </c>
      <c r="G41" s="130">
        <f t="shared" si="1"/>
        <v>12.675488602130162</v>
      </c>
      <c r="H41" s="130">
        <f t="shared" si="2"/>
        <v>0.99617587832851795</v>
      </c>
      <c r="I41" s="130">
        <v>0.15412662207684122</v>
      </c>
      <c r="J41" s="130"/>
      <c r="K41" s="130"/>
      <c r="L41" s="69">
        <v>-187</v>
      </c>
      <c r="N41" s="32"/>
      <c r="O41" s="32">
        <v>319812</v>
      </c>
      <c r="P41" s="32">
        <v>86216</v>
      </c>
      <c r="Q41" s="32">
        <v>1223</v>
      </c>
      <c r="R41" s="32"/>
      <c r="S41" s="32"/>
      <c r="T41" s="32">
        <v>318589</v>
      </c>
    </row>
    <row r="42" spans="1:20">
      <c r="A42" s="134" t="s">
        <v>23</v>
      </c>
      <c r="B42" s="134" t="s">
        <v>200</v>
      </c>
      <c r="C42" s="134" t="s">
        <v>205</v>
      </c>
      <c r="D42" s="134">
        <v>0</v>
      </c>
      <c r="E42" s="15">
        <v>7</v>
      </c>
      <c r="F42" s="130">
        <f t="shared" si="0"/>
        <v>8.0868907245097415E-3</v>
      </c>
      <c r="G42" s="130">
        <f t="shared" si="1"/>
        <v>11.001216117502114</v>
      </c>
      <c r="H42" s="130">
        <f t="shared" si="2"/>
        <v>0.7934175188082806</v>
      </c>
      <c r="I42" s="130">
        <f t="shared" si="4"/>
        <v>-0.14706752359695593</v>
      </c>
      <c r="J42" s="130"/>
      <c r="K42" s="130"/>
      <c r="L42" s="69">
        <v>513</v>
      </c>
      <c r="N42" s="32"/>
      <c r="O42" s="32">
        <v>59947</v>
      </c>
      <c r="P42" s="32">
        <v>63436</v>
      </c>
      <c r="Q42" s="32">
        <v>12384</v>
      </c>
      <c r="R42" s="32"/>
      <c r="S42" s="32"/>
      <c r="T42" s="32">
        <v>47563</v>
      </c>
    </row>
    <row r="43" spans="1:20">
      <c r="A43" s="134" t="s">
        <v>23</v>
      </c>
      <c r="B43" s="134" t="s">
        <v>200</v>
      </c>
      <c r="C43" s="134" t="s">
        <v>203</v>
      </c>
      <c r="D43" s="134">
        <v>0</v>
      </c>
      <c r="E43" s="15">
        <v>4</v>
      </c>
      <c r="F43" s="130">
        <f t="shared" si="0"/>
        <v>7.2068195874902524E-3</v>
      </c>
      <c r="G43" s="130">
        <f t="shared" si="1"/>
        <v>11.324533520598992</v>
      </c>
      <c r="H43" s="130">
        <f t="shared" si="2"/>
        <v>0.85014910236752828</v>
      </c>
      <c r="I43" s="130">
        <f t="shared" si="4"/>
        <v>-0.28379107122221792</v>
      </c>
      <c r="J43" s="130"/>
      <c r="K43" s="130"/>
      <c r="L43" s="69">
        <v>536</v>
      </c>
      <c r="N43" s="32"/>
      <c r="O43" s="32">
        <v>82829</v>
      </c>
      <c r="P43" s="32">
        <v>74374</v>
      </c>
      <c r="Q43" s="32">
        <v>12412</v>
      </c>
      <c r="R43" s="32"/>
      <c r="S43" s="32"/>
      <c r="T43" s="32">
        <v>70417</v>
      </c>
    </row>
    <row r="44" spans="1:20">
      <c r="A44" s="134" t="s">
        <v>23</v>
      </c>
      <c r="B44" s="134" t="s">
        <v>200</v>
      </c>
      <c r="C44" s="134" t="s">
        <v>202</v>
      </c>
      <c r="D44" s="134">
        <v>0</v>
      </c>
      <c r="E44" s="15">
        <v>17</v>
      </c>
      <c r="F44" s="130">
        <f t="shared" si="0"/>
        <v>3.9097107199260427E-3</v>
      </c>
      <c r="G44" s="130">
        <f t="shared" si="1"/>
        <v>11.445609757685361</v>
      </c>
      <c r="H44" s="130">
        <f t="shared" si="2"/>
        <v>0.8650764787677826</v>
      </c>
      <c r="I44" s="130">
        <f t="shared" si="4"/>
        <v>2.4173266399061078E-2</v>
      </c>
      <c r="J44" s="130"/>
      <c r="K44" s="130"/>
      <c r="L44" s="69">
        <v>406</v>
      </c>
      <c r="N44" s="32"/>
      <c r="O44" s="32">
        <v>93490</v>
      </c>
      <c r="P44" s="32">
        <v>103844</v>
      </c>
      <c r="Q44" s="32">
        <v>12614</v>
      </c>
      <c r="R44" s="32"/>
      <c r="S44" s="32"/>
      <c r="T44" s="32">
        <v>80876</v>
      </c>
    </row>
    <row r="45" spans="1:20">
      <c r="A45" s="134" t="s">
        <v>23</v>
      </c>
      <c r="B45" s="134" t="s">
        <v>200</v>
      </c>
      <c r="C45" s="134" t="s">
        <v>201</v>
      </c>
      <c r="D45" s="134">
        <v>0</v>
      </c>
      <c r="E45" s="15">
        <v>11</v>
      </c>
      <c r="F45" s="130">
        <f t="shared" si="0"/>
        <v>6.1148205497420932E-4</v>
      </c>
      <c r="G45" s="130">
        <f t="shared" si="1"/>
        <v>11.542299784176407</v>
      </c>
      <c r="H45" s="130">
        <f t="shared" si="2"/>
        <v>0.77473514531806842</v>
      </c>
      <c r="I45" s="130">
        <f t="shared" si="4"/>
        <v>0.40392683568491161</v>
      </c>
      <c r="J45" s="130"/>
      <c r="K45" s="130"/>
      <c r="L45" s="69">
        <v>62</v>
      </c>
      <c r="N45" s="32"/>
      <c r="O45" s="32">
        <v>102981</v>
      </c>
      <c r="P45" s="32">
        <v>101393</v>
      </c>
      <c r="Q45" s="32">
        <v>23198</v>
      </c>
      <c r="R45" s="32"/>
      <c r="S45" s="32"/>
      <c r="T45" s="32">
        <v>79783</v>
      </c>
    </row>
    <row r="46" spans="1:20">
      <c r="A46" s="134" t="s">
        <v>23</v>
      </c>
      <c r="B46" s="134" t="s">
        <v>200</v>
      </c>
      <c r="C46" s="134" t="s">
        <v>173</v>
      </c>
      <c r="D46" s="134">
        <v>0</v>
      </c>
      <c r="E46" s="15">
        <v>18</v>
      </c>
      <c r="F46" s="130">
        <f t="shared" si="0"/>
        <v>-9.4155439553592443E-2</v>
      </c>
      <c r="G46" s="130">
        <f t="shared" si="1"/>
        <v>11.129437089665434</v>
      </c>
      <c r="H46" s="130">
        <f t="shared" si="2"/>
        <v>0.75795327815930036</v>
      </c>
      <c r="I46" s="130">
        <v>-6.8962318380029475E-4</v>
      </c>
      <c r="J46" s="130"/>
      <c r="K46" s="130"/>
      <c r="L46" s="69">
        <v>-6800</v>
      </c>
      <c r="N46" s="32"/>
      <c r="O46" s="32">
        <v>68148</v>
      </c>
      <c r="P46" s="32">
        <v>72221</v>
      </c>
      <c r="Q46" s="32">
        <v>16495</v>
      </c>
      <c r="R46" s="32"/>
      <c r="S46" s="32"/>
      <c r="T46" s="32">
        <v>51653</v>
      </c>
    </row>
    <row r="47" spans="1:20" ht="17">
      <c r="A47" s="130" t="s">
        <v>24</v>
      </c>
      <c r="B47" s="130" t="s">
        <v>172</v>
      </c>
      <c r="C47" s="130" t="s">
        <v>202</v>
      </c>
      <c r="D47" s="130">
        <v>0</v>
      </c>
      <c r="E47" s="7">
        <v>17</v>
      </c>
      <c r="F47" s="130">
        <f t="shared" si="0"/>
        <v>-0.84266697941711133</v>
      </c>
      <c r="G47" s="130">
        <f t="shared" si="1"/>
        <v>12.143287253430135</v>
      </c>
      <c r="H47" s="130">
        <f t="shared" si="2"/>
        <v>1.5518050993190615</v>
      </c>
      <c r="I47" s="130">
        <f t="shared" si="4"/>
        <v>-0.41290255946174581</v>
      </c>
      <c r="J47" s="130"/>
      <c r="K47" s="130"/>
      <c r="L47" s="79">
        <v>-100590</v>
      </c>
      <c r="M47" s="26">
        <v>658</v>
      </c>
      <c r="N47" s="48">
        <v>238020</v>
      </c>
      <c r="O47" s="48">
        <v>187829</v>
      </c>
      <c r="P47" s="48">
        <v>119371</v>
      </c>
      <c r="Q47" s="48">
        <v>-103645</v>
      </c>
      <c r="R47" s="48">
        <v>0</v>
      </c>
      <c r="S47" s="48">
        <v>291474</v>
      </c>
      <c r="T47" s="48">
        <f t="shared" ref="T47:T69" si="7">R47+S47</f>
        <v>291474</v>
      </c>
    </row>
    <row r="48" spans="1:20" ht="17">
      <c r="A48" s="130" t="s">
        <v>24</v>
      </c>
      <c r="B48" s="130" t="s">
        <v>172</v>
      </c>
      <c r="C48" s="130" t="s">
        <v>201</v>
      </c>
      <c r="D48" s="130">
        <v>0</v>
      </c>
      <c r="E48" s="130">
        <v>11</v>
      </c>
      <c r="F48" s="130">
        <f t="shared" si="0"/>
        <v>-0.18269855009738151</v>
      </c>
      <c r="G48" s="130">
        <f t="shared" si="1"/>
        <v>12.404894815339226</v>
      </c>
      <c r="H48" s="130">
        <f t="shared" si="2"/>
        <v>1.1363727647924327</v>
      </c>
      <c r="I48" s="130">
        <f t="shared" si="4"/>
        <v>5.6678689103929987E-2</v>
      </c>
      <c r="J48" s="130"/>
      <c r="K48" s="130"/>
      <c r="L48" s="79">
        <v>-37147</v>
      </c>
      <c r="M48" s="26">
        <v>663</v>
      </c>
      <c r="N48" s="48">
        <v>248030</v>
      </c>
      <c r="O48" s="48">
        <v>243993</v>
      </c>
      <c r="P48" s="48">
        <v>203324</v>
      </c>
      <c r="Q48" s="48">
        <v>-33274</v>
      </c>
      <c r="R48" s="48">
        <v>0</v>
      </c>
      <c r="S48" s="48">
        <v>277267</v>
      </c>
      <c r="T48" s="35">
        <f t="shared" si="7"/>
        <v>277267</v>
      </c>
    </row>
    <row r="49" spans="1:20">
      <c r="A49" s="130" t="s">
        <v>24</v>
      </c>
      <c r="B49" s="130" t="s">
        <v>172</v>
      </c>
      <c r="C49" s="130" t="s">
        <v>173</v>
      </c>
      <c r="D49" s="130">
        <v>0</v>
      </c>
      <c r="E49" s="130">
        <v>14</v>
      </c>
      <c r="F49" s="130">
        <f t="shared" si="0"/>
        <v>3.9528526437235603E-2</v>
      </c>
      <c r="G49" s="130">
        <f t="shared" si="1"/>
        <v>12.605184279666164</v>
      </c>
      <c r="H49" s="130">
        <f t="shared" si="2"/>
        <v>1.0877859778597787</v>
      </c>
      <c r="I49" s="130">
        <v>-0.17811193517890792</v>
      </c>
      <c r="J49" s="130"/>
      <c r="K49" s="130"/>
      <c r="L49" s="71">
        <v>7606</v>
      </c>
      <c r="M49" s="27">
        <v>642</v>
      </c>
      <c r="N49" s="34">
        <v>275311</v>
      </c>
      <c r="O49" s="34">
        <v>298100</v>
      </c>
      <c r="P49" s="34">
        <v>192418</v>
      </c>
      <c r="Q49" s="34">
        <v>-26169</v>
      </c>
      <c r="R49" s="34">
        <v>0</v>
      </c>
      <c r="S49" s="34">
        <v>324269</v>
      </c>
      <c r="T49" s="34">
        <f t="shared" si="7"/>
        <v>324269</v>
      </c>
    </row>
    <row r="50" spans="1:20" ht="17">
      <c r="A50" s="132" t="s">
        <v>25</v>
      </c>
      <c r="B50" s="132" t="s">
        <v>198</v>
      </c>
      <c r="C50" s="132" t="s">
        <v>205</v>
      </c>
      <c r="D50" s="132">
        <v>0</v>
      </c>
      <c r="E50" s="10">
        <v>7</v>
      </c>
      <c r="F50" s="130">
        <f t="shared" si="0"/>
        <v>0.15663300355035664</v>
      </c>
      <c r="G50" s="130">
        <f t="shared" si="1"/>
        <v>12.043194828110421</v>
      </c>
      <c r="H50" s="130">
        <f t="shared" si="2"/>
        <v>0.69616744831969113</v>
      </c>
      <c r="I50" s="130">
        <f t="shared" si="4"/>
        <v>-0.17150349464367401</v>
      </c>
      <c r="J50" s="130"/>
      <c r="K50" s="130"/>
      <c r="L50" s="99">
        <v>24397</v>
      </c>
      <c r="M50" s="100">
        <v>156</v>
      </c>
      <c r="N50" s="101">
        <v>1049</v>
      </c>
      <c r="O50" s="101">
        <v>169939</v>
      </c>
      <c r="P50" s="101">
        <v>155759</v>
      </c>
      <c r="Q50" s="101">
        <v>51632</v>
      </c>
      <c r="R50" s="101">
        <v>43758</v>
      </c>
      <c r="S50" s="101">
        <v>74548</v>
      </c>
      <c r="T50" s="102">
        <f t="shared" si="7"/>
        <v>118306</v>
      </c>
    </row>
    <row r="51" spans="1:20" ht="17">
      <c r="A51" s="132" t="s">
        <v>25</v>
      </c>
      <c r="B51" s="132" t="s">
        <v>198</v>
      </c>
      <c r="C51" s="132" t="s">
        <v>203</v>
      </c>
      <c r="D51" s="132">
        <v>0</v>
      </c>
      <c r="E51" s="10">
        <v>3</v>
      </c>
      <c r="F51" s="130">
        <f t="shared" si="0"/>
        <v>0.14139211284986331</v>
      </c>
      <c r="G51" s="130">
        <f t="shared" si="1"/>
        <v>12.241965712821539</v>
      </c>
      <c r="H51" s="130">
        <f t="shared" si="2"/>
        <v>0.62271777877467938</v>
      </c>
      <c r="I51" s="130">
        <f t="shared" si="4"/>
        <v>-0.21984397045397958</v>
      </c>
      <c r="J51" s="130"/>
      <c r="K51" s="130"/>
      <c r="L51" s="99">
        <v>26582</v>
      </c>
      <c r="M51" s="100">
        <v>176</v>
      </c>
      <c r="N51" s="101">
        <v>740</v>
      </c>
      <c r="O51" s="101">
        <v>207309</v>
      </c>
      <c r="P51" s="101">
        <v>188002</v>
      </c>
      <c r="Q51" s="101">
        <v>78214</v>
      </c>
      <c r="R51" s="101">
        <v>48469</v>
      </c>
      <c r="S51" s="101">
        <v>80626</v>
      </c>
      <c r="T51" s="102">
        <f t="shared" si="7"/>
        <v>129095</v>
      </c>
    </row>
    <row r="52" spans="1:20" ht="17">
      <c r="A52" s="132" t="s">
        <v>25</v>
      </c>
      <c r="B52" s="132" t="s">
        <v>198</v>
      </c>
      <c r="C52" s="132" t="s">
        <v>202</v>
      </c>
      <c r="D52" s="132">
        <v>0</v>
      </c>
      <c r="E52" s="10">
        <v>3</v>
      </c>
      <c r="F52" s="130">
        <f t="shared" si="0"/>
        <v>0.21855340692173625</v>
      </c>
      <c r="G52" s="130">
        <f t="shared" si="1"/>
        <v>12.694646525360701</v>
      </c>
      <c r="H52" s="130">
        <f t="shared" si="2"/>
        <v>0.5985220768225572</v>
      </c>
      <c r="I52" s="130">
        <f t="shared" si="4"/>
        <v>3.9578386035078947E-3</v>
      </c>
      <c r="J52" s="130"/>
      <c r="K52" s="130"/>
      <c r="L52" s="99">
        <v>52667</v>
      </c>
      <c r="M52" s="100">
        <v>175</v>
      </c>
      <c r="N52" s="101">
        <v>830</v>
      </c>
      <c r="O52" s="101">
        <v>325998</v>
      </c>
      <c r="P52" s="101">
        <v>240980</v>
      </c>
      <c r="Q52" s="101">
        <v>130882</v>
      </c>
      <c r="R52" s="101">
        <v>76340</v>
      </c>
      <c r="S52" s="101">
        <v>118777</v>
      </c>
      <c r="T52" s="102">
        <f t="shared" si="7"/>
        <v>195117</v>
      </c>
    </row>
    <row r="53" spans="1:20" ht="17">
      <c r="A53" s="132" t="s">
        <v>25</v>
      </c>
      <c r="B53" s="132" t="s">
        <v>198</v>
      </c>
      <c r="C53" s="132" t="s">
        <v>201</v>
      </c>
      <c r="D53" s="132">
        <v>0</v>
      </c>
      <c r="E53" s="132">
        <v>3</v>
      </c>
      <c r="F53" s="130">
        <f t="shared" si="0"/>
        <v>0.14676082156397116</v>
      </c>
      <c r="G53" s="130">
        <f t="shared" si="1"/>
        <v>12.758770272364451</v>
      </c>
      <c r="H53" s="130">
        <f t="shared" si="2"/>
        <v>0.5221081340786623</v>
      </c>
      <c r="I53" s="130">
        <f t="shared" si="4"/>
        <v>1.0069733607585412</v>
      </c>
      <c r="J53" s="130"/>
      <c r="K53" s="130"/>
      <c r="L53" s="99">
        <v>35227</v>
      </c>
      <c r="M53" s="100">
        <v>171</v>
      </c>
      <c r="N53" s="101">
        <v>852</v>
      </c>
      <c r="O53" s="101">
        <v>347587</v>
      </c>
      <c r="P53" s="101">
        <v>240030</v>
      </c>
      <c r="Q53" s="101">
        <v>166109</v>
      </c>
      <c r="R53" s="101">
        <v>72572</v>
      </c>
      <c r="S53" s="101">
        <v>108906</v>
      </c>
      <c r="T53" s="102">
        <f t="shared" si="7"/>
        <v>181478</v>
      </c>
    </row>
    <row r="54" spans="1:20" ht="17">
      <c r="A54" s="132" t="s">
        <v>25</v>
      </c>
      <c r="B54" s="132" t="s">
        <v>198</v>
      </c>
      <c r="C54" s="132" t="s">
        <v>173</v>
      </c>
      <c r="D54" s="132">
        <v>0</v>
      </c>
      <c r="E54" s="10">
        <v>8</v>
      </c>
      <c r="F54" s="130">
        <f t="shared" si="0"/>
        <v>9.2810916570511215E-2</v>
      </c>
      <c r="G54" s="130">
        <f t="shared" si="1"/>
        <v>12.782517456303976</v>
      </c>
      <c r="H54" s="130">
        <f t="shared" si="2"/>
        <v>0.50214081024891832</v>
      </c>
      <c r="I54" s="130">
        <v>-0.17811193517890792</v>
      </c>
      <c r="J54" s="130"/>
      <c r="K54" s="130"/>
      <c r="L54" s="99">
        <v>11100</v>
      </c>
      <c r="M54" s="100">
        <v>187</v>
      </c>
      <c r="N54" s="101">
        <v>864</v>
      </c>
      <c r="O54" s="101">
        <v>355940</v>
      </c>
      <c r="P54" s="101">
        <v>119598</v>
      </c>
      <c r="Q54" s="101">
        <v>177208</v>
      </c>
      <c r="R54" s="101">
        <v>91148</v>
      </c>
      <c r="S54" s="101">
        <v>87584</v>
      </c>
      <c r="T54" s="102">
        <f t="shared" si="7"/>
        <v>178732</v>
      </c>
    </row>
    <row r="55" spans="1:20" ht="17">
      <c r="A55" s="131" t="s">
        <v>26</v>
      </c>
      <c r="B55" s="131" t="s">
        <v>193</v>
      </c>
      <c r="C55" s="131" t="s">
        <v>205</v>
      </c>
      <c r="D55" s="131">
        <v>0</v>
      </c>
      <c r="E55" s="131">
        <v>16</v>
      </c>
      <c r="F55" s="130">
        <f t="shared" si="0"/>
        <v>-5.9855437342645985E-2</v>
      </c>
      <c r="G55" s="130">
        <f t="shared" si="1"/>
        <v>12.49419087285259</v>
      </c>
      <c r="H55" s="130">
        <f t="shared" si="2"/>
        <v>0.48306676212502297</v>
      </c>
      <c r="I55" s="130">
        <f t="shared" si="4"/>
        <v>-6.0524558893657605E-2</v>
      </c>
      <c r="J55" s="130"/>
      <c r="K55" s="130"/>
      <c r="L55" s="94">
        <v>-5896</v>
      </c>
      <c r="M55" s="98">
        <v>324</v>
      </c>
      <c r="N55" s="114">
        <v>20034</v>
      </c>
      <c r="O55" s="96">
        <v>266783</v>
      </c>
      <c r="P55" s="42">
        <v>98504</v>
      </c>
      <c r="Q55" s="96">
        <f>O55-T55</f>
        <v>137909</v>
      </c>
      <c r="R55" s="96">
        <v>89890</v>
      </c>
      <c r="S55" s="96">
        <v>38984</v>
      </c>
      <c r="T55" s="42">
        <f t="shared" si="7"/>
        <v>128874</v>
      </c>
    </row>
    <row r="56" spans="1:20" ht="17">
      <c r="A56" s="131" t="s">
        <v>26</v>
      </c>
      <c r="B56" s="131" t="s">
        <v>193</v>
      </c>
      <c r="C56" s="131" t="s">
        <v>203</v>
      </c>
      <c r="D56" s="131">
        <v>0</v>
      </c>
      <c r="E56" s="131">
        <v>8</v>
      </c>
      <c r="F56" s="130">
        <f t="shared" si="0"/>
        <v>-0.16499761564139245</v>
      </c>
      <c r="G56" s="130">
        <f t="shared" si="1"/>
        <v>12.322588211619593</v>
      </c>
      <c r="H56" s="130">
        <f t="shared" si="2"/>
        <v>0.59197650357119014</v>
      </c>
      <c r="I56" s="130">
        <f t="shared" si="4"/>
        <v>9.8529284290213535E-3</v>
      </c>
      <c r="J56" s="130"/>
      <c r="K56" s="130"/>
      <c r="L56" s="94">
        <v>-17300</v>
      </c>
      <c r="M56" s="98">
        <v>324</v>
      </c>
      <c r="N56" s="116">
        <v>2307</v>
      </c>
      <c r="O56" s="96">
        <v>224715</v>
      </c>
      <c r="P56" s="96">
        <v>104850</v>
      </c>
      <c r="Q56" s="96">
        <v>112455</v>
      </c>
      <c r="R56" s="96">
        <v>82173</v>
      </c>
      <c r="S56" s="96">
        <v>50853</v>
      </c>
      <c r="T56" s="42">
        <f t="shared" si="7"/>
        <v>133026</v>
      </c>
    </row>
    <row r="57" spans="1:20" ht="17">
      <c r="A57" s="131" t="s">
        <v>26</v>
      </c>
      <c r="B57" s="131" t="s">
        <v>193</v>
      </c>
      <c r="C57" s="131" t="s">
        <v>202</v>
      </c>
      <c r="D57" s="131">
        <v>0</v>
      </c>
      <c r="E57" s="131">
        <v>11</v>
      </c>
      <c r="F57" s="130">
        <f t="shared" si="0"/>
        <v>-0.20078592273686036</v>
      </c>
      <c r="G57" s="130">
        <f t="shared" si="1"/>
        <v>12.639253434426379</v>
      </c>
      <c r="H57" s="130">
        <f t="shared" si="2"/>
        <v>0.55533976805184948</v>
      </c>
      <c r="I57" s="130">
        <f t="shared" si="4"/>
        <v>1.9400889534712473E-2</v>
      </c>
      <c r="J57" s="130"/>
      <c r="K57" s="130"/>
      <c r="L57" s="94">
        <v>-20847</v>
      </c>
      <c r="M57" s="98">
        <v>337</v>
      </c>
      <c r="N57" s="96">
        <v>0</v>
      </c>
      <c r="O57" s="96">
        <v>308431</v>
      </c>
      <c r="P57" s="96">
        <v>103827</v>
      </c>
      <c r="Q57" s="96">
        <v>137147</v>
      </c>
      <c r="R57" s="96">
        <v>102195</v>
      </c>
      <c r="S57" s="96">
        <v>69089</v>
      </c>
      <c r="T57" s="42">
        <f t="shared" si="7"/>
        <v>171284</v>
      </c>
    </row>
    <row r="58" spans="1:20" ht="17">
      <c r="A58" s="131" t="s">
        <v>26</v>
      </c>
      <c r="B58" s="131" t="s">
        <v>193</v>
      </c>
      <c r="C58" s="131" t="s">
        <v>201</v>
      </c>
      <c r="D58" s="131">
        <v>0</v>
      </c>
      <c r="E58" s="131">
        <v>10</v>
      </c>
      <c r="F58" s="130">
        <f t="shared" si="0"/>
        <v>-0.24959008748073166</v>
      </c>
      <c r="G58" s="130">
        <f t="shared" si="1"/>
        <v>12.410974830146356</v>
      </c>
      <c r="H58" s="130">
        <f t="shared" si="2"/>
        <v>0.54189937306756941</v>
      </c>
      <c r="I58" s="130">
        <f t="shared" si="4"/>
        <v>5.4904194717762818E-2</v>
      </c>
      <c r="J58" s="130"/>
      <c r="K58" s="130"/>
      <c r="L58" s="94">
        <v>-25421</v>
      </c>
      <c r="M58" s="98">
        <v>341</v>
      </c>
      <c r="N58" s="96">
        <v>0</v>
      </c>
      <c r="O58" s="96">
        <v>245481</v>
      </c>
      <c r="P58" s="96">
        <v>101851</v>
      </c>
      <c r="Q58" s="96">
        <v>112455</v>
      </c>
      <c r="R58" s="96">
        <v>82173</v>
      </c>
      <c r="S58" s="96">
        <v>50853</v>
      </c>
      <c r="T58" s="42">
        <f t="shared" si="7"/>
        <v>133026</v>
      </c>
    </row>
    <row r="59" spans="1:20">
      <c r="A59" s="131" t="s">
        <v>26</v>
      </c>
      <c r="B59" s="131" t="s">
        <v>193</v>
      </c>
      <c r="C59" s="131" t="s">
        <v>173</v>
      </c>
      <c r="D59" s="131">
        <v>0</v>
      </c>
      <c r="E59" s="131">
        <v>8</v>
      </c>
      <c r="F59" s="130">
        <f t="shared" si="0"/>
        <v>-0.10999482133609528</v>
      </c>
      <c r="G59" s="130">
        <f t="shared" si="1"/>
        <v>7.7437032581737535</v>
      </c>
      <c r="H59" s="130">
        <f t="shared" si="2"/>
        <v>52.583875162548765</v>
      </c>
      <c r="I59" s="130">
        <v>5.9083634469597589E-3</v>
      </c>
      <c r="J59" s="130"/>
      <c r="K59" s="130"/>
      <c r="L59" s="91">
        <v>-10620</v>
      </c>
      <c r="M59" s="92">
        <v>327</v>
      </c>
      <c r="N59" s="42">
        <v>1379</v>
      </c>
      <c r="O59" s="42">
        <v>2307</v>
      </c>
      <c r="P59" s="93">
        <f>96550</f>
        <v>96550</v>
      </c>
      <c r="Q59" s="42">
        <v>103403</v>
      </c>
      <c r="R59" s="42">
        <v>60877</v>
      </c>
      <c r="S59" s="42">
        <v>60434</v>
      </c>
      <c r="T59" s="42">
        <f t="shared" si="7"/>
        <v>121311</v>
      </c>
    </row>
    <row r="60" spans="1:20" ht="17">
      <c r="A60" s="131" t="s">
        <v>27</v>
      </c>
      <c r="B60" s="131" t="s">
        <v>193</v>
      </c>
      <c r="C60" s="131" t="s">
        <v>205</v>
      </c>
      <c r="D60" s="131">
        <v>0</v>
      </c>
      <c r="E60" s="131">
        <v>2</v>
      </c>
      <c r="F60" s="130">
        <f t="shared" si="0"/>
        <v>8.6179020361654188E-2</v>
      </c>
      <c r="G60" s="130">
        <f t="shared" si="1"/>
        <v>13.706203375563934</v>
      </c>
      <c r="H60" s="130">
        <f t="shared" si="2"/>
        <v>0.93785744962100714</v>
      </c>
      <c r="I60" s="130">
        <f t="shared" si="4"/>
        <v>5.8842391304347826E-2</v>
      </c>
      <c r="J60" s="130"/>
      <c r="K60" s="130"/>
      <c r="L60" s="94">
        <v>33580</v>
      </c>
      <c r="M60" s="95">
        <v>964</v>
      </c>
      <c r="N60" s="96">
        <v>41534</v>
      </c>
      <c r="O60" s="96">
        <v>896455</v>
      </c>
      <c r="P60" s="96">
        <v>389654</v>
      </c>
      <c r="Q60" s="95">
        <f>O60-T60</f>
        <v>55708</v>
      </c>
      <c r="R60" s="96">
        <v>95053</v>
      </c>
      <c r="S60" s="96">
        <v>745694</v>
      </c>
      <c r="T60" s="42">
        <f t="shared" si="7"/>
        <v>840747</v>
      </c>
    </row>
    <row r="61" spans="1:20" ht="17">
      <c r="A61" s="131" t="s">
        <v>27</v>
      </c>
      <c r="B61" s="131" t="s">
        <v>193</v>
      </c>
      <c r="C61" s="131" t="s">
        <v>203</v>
      </c>
      <c r="D61" s="131">
        <v>0</v>
      </c>
      <c r="E61" s="131">
        <v>2</v>
      </c>
      <c r="F61" s="130">
        <f t="shared" si="0"/>
        <v>0.12690217391304348</v>
      </c>
      <c r="G61" s="130">
        <f t="shared" si="1"/>
        <v>13.75847660696674</v>
      </c>
      <c r="H61" s="130">
        <f t="shared" si="2"/>
        <v>1.0104630505991137</v>
      </c>
      <c r="I61" s="130">
        <f t="shared" si="4"/>
        <v>2.145896538419903E-2</v>
      </c>
      <c r="J61" s="130"/>
      <c r="K61" s="130"/>
      <c r="L61" s="94">
        <v>46700</v>
      </c>
      <c r="M61" s="95">
        <v>1044</v>
      </c>
      <c r="N61" s="96">
        <v>48543</v>
      </c>
      <c r="O61" s="96">
        <v>944562</v>
      </c>
      <c r="P61" s="96">
        <v>368000</v>
      </c>
      <c r="Q61" s="96">
        <f>O61-T61</f>
        <v>-9883</v>
      </c>
      <c r="R61" s="96">
        <v>539867</v>
      </c>
      <c r="S61" s="96">
        <v>414578</v>
      </c>
      <c r="T61" s="42">
        <f t="shared" si="7"/>
        <v>954445</v>
      </c>
    </row>
    <row r="62" spans="1:20" ht="17">
      <c r="A62" s="131" t="s">
        <v>27</v>
      </c>
      <c r="B62" s="131" t="s">
        <v>193</v>
      </c>
      <c r="C62" s="131" t="s">
        <v>202</v>
      </c>
      <c r="D62" s="131">
        <v>1</v>
      </c>
      <c r="E62" s="131">
        <v>3</v>
      </c>
      <c r="F62" s="130">
        <f t="shared" si="0"/>
        <v>5.0156966044816514E-3</v>
      </c>
      <c r="G62" s="130">
        <f t="shared" si="1"/>
        <v>13.907356562618329</v>
      </c>
      <c r="H62" s="130">
        <f t="shared" si="2"/>
        <v>0.925788818787881</v>
      </c>
      <c r="I62" s="130">
        <f t="shared" si="4"/>
        <v>-7.1377587437544609E-3</v>
      </c>
      <c r="J62" s="130"/>
      <c r="K62" s="130"/>
      <c r="L62" s="94">
        <v>1807</v>
      </c>
      <c r="M62" s="95">
        <v>1061</v>
      </c>
      <c r="N62" s="96">
        <v>56005</v>
      </c>
      <c r="O62" s="96">
        <v>1096196</v>
      </c>
      <c r="P62" s="96">
        <v>360269</v>
      </c>
      <c r="Q62" s="96">
        <v>81349</v>
      </c>
      <c r="R62" s="96">
        <v>517275</v>
      </c>
      <c r="S62" s="96">
        <v>497571</v>
      </c>
      <c r="T62" s="42">
        <f t="shared" si="7"/>
        <v>1014846</v>
      </c>
    </row>
    <row r="63" spans="1:20" ht="17">
      <c r="A63" s="131" t="s">
        <v>27</v>
      </c>
      <c r="B63" s="131" t="s">
        <v>193</v>
      </c>
      <c r="C63" s="131" t="s">
        <v>201</v>
      </c>
      <c r="D63" s="131">
        <v>1</v>
      </c>
      <c r="E63" s="131">
        <v>1</v>
      </c>
      <c r="F63" s="130">
        <f t="shared" si="0"/>
        <v>-0.29589730446261497</v>
      </c>
      <c r="G63" s="130">
        <f t="shared" si="1"/>
        <v>13.78564498867453</v>
      </c>
      <c r="H63" s="130">
        <f t="shared" si="2"/>
        <v>1.0285819966700187</v>
      </c>
      <c r="I63" s="130">
        <f t="shared" si="4"/>
        <v>-0.1528735283337341</v>
      </c>
      <c r="J63" s="130"/>
      <c r="K63" s="130"/>
      <c r="L63" s="94">
        <v>-107369</v>
      </c>
      <c r="M63" s="95">
        <v>1020</v>
      </c>
      <c r="N63" s="96">
        <v>82010</v>
      </c>
      <c r="O63" s="96">
        <v>970576</v>
      </c>
      <c r="P63" s="96">
        <v>362859</v>
      </c>
      <c r="Q63" s="96">
        <v>-27741</v>
      </c>
      <c r="R63" s="96">
        <v>415150</v>
      </c>
      <c r="S63" s="96">
        <v>583167</v>
      </c>
      <c r="T63" s="42">
        <f t="shared" si="7"/>
        <v>998317</v>
      </c>
    </row>
    <row r="64" spans="1:20" ht="17">
      <c r="A64" s="131" t="s">
        <v>27</v>
      </c>
      <c r="B64" s="131" t="s">
        <v>193</v>
      </c>
      <c r="C64" s="131" t="s">
        <v>173</v>
      </c>
      <c r="D64" s="131">
        <v>0</v>
      </c>
      <c r="E64" s="131">
        <v>3</v>
      </c>
      <c r="F64" s="130">
        <f t="shared" si="0"/>
        <v>-5.8775601681837604E-2</v>
      </c>
      <c r="G64" s="130">
        <f t="shared" si="1"/>
        <v>13.80624879999038</v>
      </c>
      <c r="H64" s="130">
        <f t="shared" si="2"/>
        <v>0.93085252946917629</v>
      </c>
      <c r="I64" s="130">
        <v>-1.9927482597235428E-2</v>
      </c>
      <c r="J64" s="130"/>
      <c r="K64" s="130"/>
      <c r="L64" s="94">
        <v>-25176</v>
      </c>
      <c r="M64" s="95">
        <v>1193</v>
      </c>
      <c r="N64" s="96">
        <v>49911</v>
      </c>
      <c r="O64" s="96">
        <v>990781</v>
      </c>
      <c r="P64" s="96">
        <v>428341</v>
      </c>
      <c r="Q64" s="96">
        <v>68510</v>
      </c>
      <c r="R64" s="96">
        <v>541190</v>
      </c>
      <c r="S64" s="96">
        <v>381081</v>
      </c>
      <c r="T64" s="42">
        <f t="shared" si="7"/>
        <v>922271</v>
      </c>
    </row>
    <row r="65" spans="1:20" ht="17">
      <c r="A65" s="131" t="s">
        <v>28</v>
      </c>
      <c r="B65" s="131" t="s">
        <v>193</v>
      </c>
      <c r="C65" s="131" t="s">
        <v>205</v>
      </c>
      <c r="D65" s="131">
        <v>0</v>
      </c>
      <c r="E65" s="131">
        <v>1</v>
      </c>
      <c r="F65" s="130">
        <f t="shared" si="0"/>
        <v>1.7912925705048387E-2</v>
      </c>
      <c r="G65" s="130">
        <f t="shared" si="1"/>
        <v>13.779442868802397</v>
      </c>
      <c r="H65" s="130">
        <f t="shared" si="2"/>
        <v>0.7257279112562528</v>
      </c>
      <c r="I65" s="130">
        <f t="shared" si="4"/>
        <v>-0.14051053133702038</v>
      </c>
      <c r="J65" s="130"/>
      <c r="K65" s="130"/>
      <c r="L65" s="94">
        <v>13120</v>
      </c>
      <c r="M65" s="95">
        <v>1194</v>
      </c>
      <c r="N65" s="96">
        <v>148434</v>
      </c>
      <c r="O65" s="96">
        <v>964575</v>
      </c>
      <c r="P65" s="96">
        <v>732432</v>
      </c>
      <c r="Q65" s="96">
        <f>P65-T65</f>
        <v>32413</v>
      </c>
      <c r="R65" s="96">
        <v>454343</v>
      </c>
      <c r="S65" s="96">
        <v>245676</v>
      </c>
      <c r="T65" s="42">
        <f t="shared" si="7"/>
        <v>700019</v>
      </c>
    </row>
    <row r="66" spans="1:20" ht="17">
      <c r="A66" s="131" t="s">
        <v>28</v>
      </c>
      <c r="B66" s="131" t="s">
        <v>193</v>
      </c>
      <c r="C66" s="131" t="s">
        <v>203</v>
      </c>
      <c r="D66" s="131">
        <v>0</v>
      </c>
      <c r="E66" s="131">
        <v>1</v>
      </c>
      <c r="F66" s="130">
        <f t="shared" ref="F66:F129" si="8">L66/P66</f>
        <v>5.3123140778083269E-3</v>
      </c>
      <c r="G66" s="130">
        <f t="shared" ref="G66:G129" si="9">LN(O66)</f>
        <v>14.122258221461852</v>
      </c>
      <c r="H66" s="130">
        <f t="shared" ref="H66:H129" si="10">T66/O66</f>
        <v>0.90242296162319591</v>
      </c>
      <c r="I66" s="130">
        <f t="shared" si="4"/>
        <v>0.16930691303172549</v>
      </c>
      <c r="J66" s="130"/>
      <c r="K66" s="130"/>
      <c r="L66" s="94">
        <v>4527</v>
      </c>
      <c r="M66" s="95">
        <v>1338</v>
      </c>
      <c r="N66" s="96">
        <v>11935</v>
      </c>
      <c r="O66" s="96">
        <v>1358998</v>
      </c>
      <c r="P66" s="96">
        <v>852171</v>
      </c>
      <c r="Q66" s="96">
        <v>132607</v>
      </c>
      <c r="R66" s="96">
        <v>539226</v>
      </c>
      <c r="S66" s="96">
        <v>687165</v>
      </c>
      <c r="T66" s="42">
        <f t="shared" si="7"/>
        <v>1226391</v>
      </c>
    </row>
    <row r="67" spans="1:20" ht="17">
      <c r="A67" s="131" t="s">
        <v>28</v>
      </c>
      <c r="B67" s="131" t="s">
        <v>193</v>
      </c>
      <c r="C67" s="131" t="s">
        <v>202</v>
      </c>
      <c r="D67" s="131">
        <v>0</v>
      </c>
      <c r="E67" s="131">
        <v>2</v>
      </c>
      <c r="F67" s="130">
        <f t="shared" si="8"/>
        <v>-0.1335637631503479</v>
      </c>
      <c r="G67" s="130">
        <f t="shared" si="9"/>
        <v>14.203508669067048</v>
      </c>
      <c r="H67" s="130">
        <f t="shared" si="10"/>
        <v>0.97612865978710028</v>
      </c>
      <c r="I67" s="130">
        <f t="shared" ref="I67:I129" si="11">IF(A67=A68, (P67-P68)/P68, "")</f>
        <v>0.23485496723864197</v>
      </c>
      <c r="J67" s="130"/>
      <c r="K67" s="130"/>
      <c r="L67" s="94">
        <v>-97339</v>
      </c>
      <c r="M67" s="95">
        <v>1412</v>
      </c>
      <c r="N67" s="96">
        <v>268474</v>
      </c>
      <c r="O67" s="96">
        <v>1474027</v>
      </c>
      <c r="P67" s="96">
        <v>728783</v>
      </c>
      <c r="Q67" s="96">
        <v>35187</v>
      </c>
      <c r="R67" s="96">
        <v>468491</v>
      </c>
      <c r="S67" s="96">
        <v>970349</v>
      </c>
      <c r="T67" s="42">
        <f t="shared" si="7"/>
        <v>1438840</v>
      </c>
    </row>
    <row r="68" spans="1:20" ht="17">
      <c r="A68" s="131" t="s">
        <v>28</v>
      </c>
      <c r="B68" s="131" t="s">
        <v>193</v>
      </c>
      <c r="C68" s="131" t="s">
        <v>201</v>
      </c>
      <c r="D68" s="131">
        <v>0</v>
      </c>
      <c r="E68" s="131">
        <v>3</v>
      </c>
      <c r="F68" s="130">
        <f t="shared" si="8"/>
        <v>-0.81554855577225138</v>
      </c>
      <c r="G68" s="130">
        <f t="shared" si="9"/>
        <v>13.845989325257689</v>
      </c>
      <c r="H68" s="130">
        <f t="shared" si="10"/>
        <v>1.4372014883388882</v>
      </c>
      <c r="I68" s="130">
        <f t="shared" si="11"/>
        <v>-7.6171110672815331E-2</v>
      </c>
      <c r="J68" s="130"/>
      <c r="K68" s="130"/>
      <c r="L68" s="94">
        <v>-481318</v>
      </c>
      <c r="M68" s="95">
        <v>1289</v>
      </c>
      <c r="N68" s="96">
        <v>188172</v>
      </c>
      <c r="O68" s="96">
        <v>1030948</v>
      </c>
      <c r="P68" s="96">
        <v>590177</v>
      </c>
      <c r="Q68" s="96">
        <v>-450732</v>
      </c>
      <c r="R68" s="96">
        <v>669060</v>
      </c>
      <c r="S68" s="96">
        <v>812620</v>
      </c>
      <c r="T68" s="42">
        <f t="shared" si="7"/>
        <v>1481680</v>
      </c>
    </row>
    <row r="69" spans="1:20" ht="17">
      <c r="A69" s="131" t="s">
        <v>28</v>
      </c>
      <c r="B69" s="131" t="s">
        <v>193</v>
      </c>
      <c r="C69" s="131" t="s">
        <v>173</v>
      </c>
      <c r="D69" s="131">
        <v>1</v>
      </c>
      <c r="E69" s="131">
        <v>2</v>
      </c>
      <c r="F69" s="130">
        <f t="shared" si="8"/>
        <v>0.15274138357455255</v>
      </c>
      <c r="G69" s="130">
        <f t="shared" si="9"/>
        <v>14.153129993444031</v>
      </c>
      <c r="H69" s="130">
        <f t="shared" si="10"/>
        <v>1.2520057334188541</v>
      </c>
      <c r="I69" s="130">
        <v>4.6870059565132932E-2</v>
      </c>
      <c r="J69" s="130"/>
      <c r="K69" s="130"/>
      <c r="L69" s="94">
        <v>97577</v>
      </c>
      <c r="M69" s="95">
        <v>1392</v>
      </c>
      <c r="N69" s="96">
        <v>175306</v>
      </c>
      <c r="O69" s="96">
        <v>1401607</v>
      </c>
      <c r="P69" s="96">
        <v>638838</v>
      </c>
      <c r="Q69" s="96">
        <v>-353213</v>
      </c>
      <c r="R69" s="96">
        <v>914154</v>
      </c>
      <c r="S69" s="96">
        <v>840666</v>
      </c>
      <c r="T69" s="42">
        <f t="shared" si="7"/>
        <v>1754820</v>
      </c>
    </row>
    <row r="70" spans="1:20" ht="18">
      <c r="A70" s="133" t="s">
        <v>29</v>
      </c>
      <c r="B70" s="133" t="s">
        <v>199</v>
      </c>
      <c r="C70" s="133" t="s">
        <v>203</v>
      </c>
      <c r="D70" s="133">
        <v>0</v>
      </c>
      <c r="E70" s="135">
        <v>17</v>
      </c>
      <c r="F70" s="130">
        <f t="shared" si="8"/>
        <v>-1.1273348255634454</v>
      </c>
      <c r="G70" s="130">
        <f t="shared" si="9"/>
        <v>11.936505502503564</v>
      </c>
      <c r="H70" s="130">
        <f t="shared" si="10"/>
        <v>0.98397297403464667</v>
      </c>
      <c r="I70" s="130">
        <f t="shared" si="11"/>
        <v>-2.9930928626247123E-2</v>
      </c>
      <c r="J70" s="130"/>
      <c r="K70" s="130"/>
      <c r="L70" s="87">
        <v>-58423</v>
      </c>
      <c r="M70" s="23"/>
      <c r="N70" s="39">
        <v>51276</v>
      </c>
      <c r="O70" s="39">
        <v>152742</v>
      </c>
      <c r="P70" s="39">
        <v>51824</v>
      </c>
      <c r="Q70" s="39">
        <f>O70-T70</f>
        <v>2448</v>
      </c>
      <c r="R70" s="39"/>
      <c r="S70" s="39"/>
      <c r="T70" s="39">
        <v>150294</v>
      </c>
    </row>
    <row r="71" spans="1:20" ht="18">
      <c r="A71" s="133" t="s">
        <v>29</v>
      </c>
      <c r="B71" s="133" t="s">
        <v>199</v>
      </c>
      <c r="C71" s="133" t="s">
        <v>201</v>
      </c>
      <c r="D71" s="133">
        <v>0</v>
      </c>
      <c r="E71" s="133">
        <v>18</v>
      </c>
      <c r="F71" s="130">
        <f t="shared" si="8"/>
        <v>-0.15991239728206952</v>
      </c>
      <c r="G71" s="130">
        <f t="shared" si="9"/>
        <v>11.838286196836723</v>
      </c>
      <c r="H71" s="130">
        <f t="shared" si="10"/>
        <v>1.0043697139101355</v>
      </c>
      <c r="I71" s="130">
        <v>8.5423190999999996E-2</v>
      </c>
      <c r="J71" s="130"/>
      <c r="K71" s="130"/>
      <c r="L71" s="82">
        <v>-8543</v>
      </c>
      <c r="M71" s="1"/>
      <c r="N71" s="32">
        <v>58276</v>
      </c>
      <c r="O71" s="32">
        <v>138453</v>
      </c>
      <c r="P71" s="32">
        <v>53423</v>
      </c>
      <c r="Q71" s="32">
        <f>O71-T71</f>
        <v>-605</v>
      </c>
      <c r="R71" s="32"/>
      <c r="S71" s="32"/>
      <c r="T71" s="32">
        <v>139058</v>
      </c>
    </row>
    <row r="72" spans="1:20" ht="17">
      <c r="A72" s="133" t="s">
        <v>31</v>
      </c>
      <c r="B72" s="133" t="s">
        <v>199</v>
      </c>
      <c r="C72" s="133" t="s">
        <v>205</v>
      </c>
      <c r="D72" s="133">
        <v>1</v>
      </c>
      <c r="E72" s="135">
        <v>4</v>
      </c>
      <c r="F72" s="130">
        <f t="shared" si="8"/>
        <v>1.1037680357081071E-2</v>
      </c>
      <c r="G72" s="130">
        <f t="shared" si="9"/>
        <v>12.10903297101169</v>
      </c>
      <c r="H72" s="130">
        <f t="shared" si="10"/>
        <v>1.5342086124823695</v>
      </c>
      <c r="I72" s="130">
        <f t="shared" si="11"/>
        <v>0.62727801655374338</v>
      </c>
      <c r="J72" s="130"/>
      <c r="K72" s="130"/>
      <c r="L72" s="72">
        <v>1914</v>
      </c>
      <c r="M72" s="24">
        <v>345</v>
      </c>
      <c r="N72" s="38">
        <v>88552</v>
      </c>
      <c r="O72" s="38">
        <v>181504</v>
      </c>
      <c r="P72" s="38">
        <v>173406</v>
      </c>
      <c r="Q72" s="38">
        <v>-96961</v>
      </c>
      <c r="R72" s="38">
        <v>81897</v>
      </c>
      <c r="S72" s="38">
        <v>196568</v>
      </c>
      <c r="T72" s="32">
        <f t="shared" ref="T72:T95" si="12">R72+S72</f>
        <v>278465</v>
      </c>
    </row>
    <row r="73" spans="1:20" ht="17">
      <c r="A73" s="133" t="s">
        <v>31</v>
      </c>
      <c r="B73" s="133" t="s">
        <v>199</v>
      </c>
      <c r="C73" s="133" t="s">
        <v>203</v>
      </c>
      <c r="D73" s="133">
        <v>1</v>
      </c>
      <c r="E73" s="135">
        <v>3</v>
      </c>
      <c r="F73" s="130">
        <f t="shared" si="8"/>
        <v>-0.43393517388937897</v>
      </c>
      <c r="G73" s="130">
        <f t="shared" si="9"/>
        <v>12.067643564500559</v>
      </c>
      <c r="H73" s="130">
        <f t="shared" si="10"/>
        <v>1.7080306641017542</v>
      </c>
      <c r="I73" s="130">
        <f t="shared" si="11"/>
        <v>0.62221985416127512</v>
      </c>
      <c r="J73" s="130"/>
      <c r="K73" s="130"/>
      <c r="L73" s="72">
        <v>-46241</v>
      </c>
      <c r="M73" s="24">
        <v>344</v>
      </c>
      <c r="N73" s="38">
        <v>151295</v>
      </c>
      <c r="O73" s="38">
        <v>174145</v>
      </c>
      <c r="P73" s="38">
        <v>106562</v>
      </c>
      <c r="Q73" s="38">
        <v>-123300</v>
      </c>
      <c r="R73" s="38">
        <v>54089</v>
      </c>
      <c r="S73" s="38">
        <v>243356</v>
      </c>
      <c r="T73" s="32">
        <f t="shared" si="12"/>
        <v>297445</v>
      </c>
    </row>
    <row r="74" spans="1:20" ht="17">
      <c r="A74" s="133" t="s">
        <v>31</v>
      </c>
      <c r="B74" s="133" t="s">
        <v>199</v>
      </c>
      <c r="C74" s="133" t="s">
        <v>202</v>
      </c>
      <c r="D74" s="133">
        <v>1</v>
      </c>
      <c r="E74" s="135">
        <v>3</v>
      </c>
      <c r="F74" s="130">
        <f t="shared" si="8"/>
        <v>-0.95754235869019166</v>
      </c>
      <c r="G74" s="130">
        <f t="shared" si="9"/>
        <v>12.131349099334237</v>
      </c>
      <c r="H74" s="130">
        <f t="shared" si="10"/>
        <v>1.9171821120689656</v>
      </c>
      <c r="I74" s="130">
        <f t="shared" si="11"/>
        <v>0.27314132878517716</v>
      </c>
      <c r="J74" s="130"/>
      <c r="K74" s="130"/>
      <c r="L74" s="72">
        <v>-62900</v>
      </c>
      <c r="M74" s="24">
        <v>286</v>
      </c>
      <c r="N74" s="38">
        <v>42062</v>
      </c>
      <c r="O74" s="38">
        <v>185600</v>
      </c>
      <c r="P74" s="38">
        <v>65689</v>
      </c>
      <c r="Q74" s="38">
        <v>-170229</v>
      </c>
      <c r="R74" s="38">
        <v>200417</v>
      </c>
      <c r="S74" s="38">
        <v>155412</v>
      </c>
      <c r="T74" s="38">
        <f t="shared" si="12"/>
        <v>355829</v>
      </c>
    </row>
    <row r="75" spans="1:20" ht="18">
      <c r="A75" s="133" t="s">
        <v>31</v>
      </c>
      <c r="B75" s="133" t="s">
        <v>199</v>
      </c>
      <c r="C75" s="133" t="s">
        <v>201</v>
      </c>
      <c r="D75" s="133">
        <v>0</v>
      </c>
      <c r="E75" s="133">
        <v>1</v>
      </c>
      <c r="F75" s="130">
        <f t="shared" si="8"/>
        <v>-0.74098767346305916</v>
      </c>
      <c r="G75" s="130">
        <f t="shared" si="9"/>
        <v>12.247104218087419</v>
      </c>
      <c r="H75" s="130">
        <f t="shared" si="10"/>
        <v>1.7778929536369177</v>
      </c>
      <c r="I75" s="130">
        <f t="shared" si="11"/>
        <v>-0.20827387254676302</v>
      </c>
      <c r="J75" s="130"/>
      <c r="K75" s="130"/>
      <c r="L75" s="72">
        <v>-38232</v>
      </c>
      <c r="M75" s="24">
        <v>265</v>
      </c>
      <c r="N75" s="38">
        <v>19</v>
      </c>
      <c r="O75" s="38">
        <v>208377</v>
      </c>
      <c r="P75" s="38">
        <v>51596</v>
      </c>
      <c r="Q75" s="38">
        <v>-162095</v>
      </c>
      <c r="R75" s="38">
        <v>291339</v>
      </c>
      <c r="S75" s="38">
        <v>79133</v>
      </c>
      <c r="T75" s="37">
        <f t="shared" si="12"/>
        <v>370472</v>
      </c>
    </row>
    <row r="76" spans="1:20" ht="17">
      <c r="A76" s="133" t="s">
        <v>31</v>
      </c>
      <c r="B76" s="133" t="s">
        <v>199</v>
      </c>
      <c r="C76" s="133" t="s">
        <v>173</v>
      </c>
      <c r="D76" s="133">
        <v>1</v>
      </c>
      <c r="E76" s="135">
        <v>6</v>
      </c>
      <c r="F76" s="130">
        <f t="shared" si="8"/>
        <v>-0.62721539382221614</v>
      </c>
      <c r="G76" s="130">
        <f t="shared" si="9"/>
        <v>11.815308940274901</v>
      </c>
      <c r="H76" s="130">
        <f t="shared" si="10"/>
        <v>2.0168504449108702</v>
      </c>
      <c r="I76" s="130">
        <v>0.32859133173835819</v>
      </c>
      <c r="J76" s="130"/>
      <c r="K76" s="130"/>
      <c r="L76" s="72">
        <v>-40875</v>
      </c>
      <c r="M76" s="24">
        <v>344</v>
      </c>
      <c r="N76" s="38">
        <v>9533</v>
      </c>
      <c r="O76" s="38">
        <v>135308</v>
      </c>
      <c r="P76" s="38">
        <v>65169</v>
      </c>
      <c r="Q76" s="38">
        <v>-137588</v>
      </c>
      <c r="R76" s="38">
        <v>204231</v>
      </c>
      <c r="S76" s="38">
        <v>68665</v>
      </c>
      <c r="T76" s="32">
        <f t="shared" si="12"/>
        <v>272896</v>
      </c>
    </row>
    <row r="77" spans="1:20" ht="17">
      <c r="A77" s="132" t="s">
        <v>32</v>
      </c>
      <c r="B77" s="132" t="s">
        <v>198</v>
      </c>
      <c r="C77" s="132" t="s">
        <v>205</v>
      </c>
      <c r="D77" s="132">
        <v>0</v>
      </c>
      <c r="E77" s="10">
        <v>15</v>
      </c>
      <c r="F77" s="130">
        <f t="shared" si="8"/>
        <v>-5.1920486990249419E-2</v>
      </c>
      <c r="G77" s="130">
        <f t="shared" si="9"/>
        <v>11.66899715561698</v>
      </c>
      <c r="H77" s="130">
        <f t="shared" si="10"/>
        <v>0.73926991812885512</v>
      </c>
      <c r="I77" s="130">
        <f t="shared" si="11"/>
        <v>0.1438871087010106</v>
      </c>
      <c r="J77" s="130"/>
      <c r="K77" s="130"/>
      <c r="L77" s="99">
        <v>-4819</v>
      </c>
      <c r="M77" s="100">
        <v>172</v>
      </c>
      <c r="N77" s="101">
        <v>9819</v>
      </c>
      <c r="O77" s="101">
        <v>116891</v>
      </c>
      <c r="P77" s="101">
        <v>92815</v>
      </c>
      <c r="Q77" s="101">
        <v>30477</v>
      </c>
      <c r="R77" s="101">
        <v>31422</v>
      </c>
      <c r="S77" s="101">
        <v>54992</v>
      </c>
      <c r="T77" s="102">
        <f t="shared" si="12"/>
        <v>86414</v>
      </c>
    </row>
    <row r="78" spans="1:20" ht="17">
      <c r="A78" s="132" t="s">
        <v>32</v>
      </c>
      <c r="B78" s="132" t="s">
        <v>198</v>
      </c>
      <c r="C78" s="132" t="s">
        <v>203</v>
      </c>
      <c r="D78" s="132">
        <v>0</v>
      </c>
      <c r="E78" s="10">
        <v>10</v>
      </c>
      <c r="F78" s="130">
        <f t="shared" si="8"/>
        <v>-0.26763618437268916</v>
      </c>
      <c r="G78" s="130">
        <f t="shared" si="9"/>
        <v>11.880785620547261</v>
      </c>
      <c r="H78" s="130">
        <f t="shared" si="10"/>
        <v>0.81823845387086058</v>
      </c>
      <c r="I78" s="130">
        <f t="shared" si="11"/>
        <v>0.12708533011070827</v>
      </c>
      <c r="J78" s="130"/>
      <c r="K78" s="130"/>
      <c r="L78" s="99">
        <v>-21716</v>
      </c>
      <c r="M78" s="100">
        <v>200</v>
      </c>
      <c r="N78" s="101">
        <v>14482</v>
      </c>
      <c r="O78" s="101">
        <v>144464</v>
      </c>
      <c r="P78" s="101">
        <v>81140</v>
      </c>
      <c r="Q78" s="101">
        <v>26257</v>
      </c>
      <c r="R78" s="101">
        <v>40899</v>
      </c>
      <c r="S78" s="101">
        <v>77307</v>
      </c>
      <c r="T78" s="102">
        <f t="shared" si="12"/>
        <v>118206</v>
      </c>
    </row>
    <row r="79" spans="1:20" ht="17">
      <c r="A79" s="132" t="s">
        <v>32</v>
      </c>
      <c r="B79" s="132" t="s">
        <v>198</v>
      </c>
      <c r="C79" s="132" t="s">
        <v>202</v>
      </c>
      <c r="D79" s="132">
        <v>0</v>
      </c>
      <c r="E79" s="10">
        <v>12</v>
      </c>
      <c r="F79" s="130">
        <f t="shared" si="8"/>
        <v>-0.54892972732702694</v>
      </c>
      <c r="G79" s="130">
        <f t="shared" si="9"/>
        <v>11.830629824470885</v>
      </c>
      <c r="H79" s="130">
        <f t="shared" si="10"/>
        <v>0.78142171954263917</v>
      </c>
      <c r="I79" s="130">
        <f t="shared" si="11"/>
        <v>-9.848978160689241E-2</v>
      </c>
      <c r="J79" s="130"/>
      <c r="K79" s="130"/>
      <c r="L79" s="99">
        <v>-39518</v>
      </c>
      <c r="M79" s="100">
        <v>198</v>
      </c>
      <c r="N79" s="101">
        <v>8416</v>
      </c>
      <c r="O79" s="101">
        <v>137397</v>
      </c>
      <c r="P79" s="101">
        <v>71991</v>
      </c>
      <c r="Q79" s="101">
        <v>30032</v>
      </c>
      <c r="R79" s="101">
        <v>25010</v>
      </c>
      <c r="S79" s="101">
        <v>82355</v>
      </c>
      <c r="T79" s="102">
        <f t="shared" si="12"/>
        <v>107365</v>
      </c>
    </row>
    <row r="80" spans="1:20" ht="17">
      <c r="A80" s="132" t="s">
        <v>32</v>
      </c>
      <c r="B80" s="132" t="s">
        <v>198</v>
      </c>
      <c r="C80" s="132" t="s">
        <v>201</v>
      </c>
      <c r="D80" s="132">
        <v>0</v>
      </c>
      <c r="E80" s="132">
        <v>12</v>
      </c>
      <c r="F80" s="130">
        <f t="shared" si="8"/>
        <v>-0.38627028651572831</v>
      </c>
      <c r="G80" s="130">
        <f t="shared" si="9"/>
        <v>11.707488455408749</v>
      </c>
      <c r="H80" s="130">
        <f t="shared" si="10"/>
        <v>0.8671529001136008</v>
      </c>
      <c r="I80" s="130">
        <f t="shared" si="11"/>
        <v>-6.5190345857178405E-3</v>
      </c>
      <c r="J80" s="130"/>
      <c r="K80" s="130"/>
      <c r="L80" s="99">
        <v>-30846</v>
      </c>
      <c r="M80" s="100">
        <v>183</v>
      </c>
      <c r="N80" s="101">
        <v>6528</v>
      </c>
      <c r="O80" s="101">
        <v>121478</v>
      </c>
      <c r="P80" s="101">
        <v>79856</v>
      </c>
      <c r="Q80" s="101">
        <v>16139</v>
      </c>
      <c r="R80" s="101">
        <v>27562</v>
      </c>
      <c r="S80" s="101">
        <v>77778</v>
      </c>
      <c r="T80" s="102">
        <f t="shared" si="12"/>
        <v>105340</v>
      </c>
    </row>
    <row r="81" spans="1:20" ht="17">
      <c r="A81" s="132" t="s">
        <v>32</v>
      </c>
      <c r="B81" s="132" t="s">
        <v>198</v>
      </c>
      <c r="C81" s="132" t="s">
        <v>173</v>
      </c>
      <c r="D81" s="132">
        <v>0</v>
      </c>
      <c r="E81" s="10">
        <v>13</v>
      </c>
      <c r="F81" s="130">
        <f t="shared" si="8"/>
        <v>-0.58091565065936801</v>
      </c>
      <c r="G81" s="130">
        <f t="shared" si="9"/>
        <v>11.611493967036091</v>
      </c>
      <c r="H81" s="130">
        <f t="shared" si="10"/>
        <v>0.91529462934604333</v>
      </c>
      <c r="I81" s="130">
        <v>4.1490905654777144E-2</v>
      </c>
      <c r="J81" s="130"/>
      <c r="K81" s="130"/>
      <c r="L81" s="99">
        <v>-46694</v>
      </c>
      <c r="M81" s="100">
        <v>204</v>
      </c>
      <c r="N81" s="101">
        <v>4342</v>
      </c>
      <c r="O81" s="101">
        <v>110359</v>
      </c>
      <c r="P81" s="101">
        <v>80380</v>
      </c>
      <c r="Q81" s="101">
        <v>9348</v>
      </c>
      <c r="R81" s="101">
        <v>36212</v>
      </c>
      <c r="S81" s="101">
        <v>64799</v>
      </c>
      <c r="T81" s="102">
        <f t="shared" si="12"/>
        <v>101011</v>
      </c>
    </row>
    <row r="82" spans="1:20" ht="17">
      <c r="A82" s="130" t="s">
        <v>33</v>
      </c>
      <c r="B82" s="130" t="s">
        <v>172</v>
      </c>
      <c r="C82" s="130" t="s">
        <v>205</v>
      </c>
      <c r="D82" s="130">
        <v>0</v>
      </c>
      <c r="E82" s="7">
        <v>12</v>
      </c>
      <c r="F82" s="130">
        <f t="shared" si="8"/>
        <v>-7.8228694730129542E-2</v>
      </c>
      <c r="G82" s="130">
        <f t="shared" si="9"/>
        <v>11.675979251406526</v>
      </c>
      <c r="H82" s="130">
        <f t="shared" si="10"/>
        <v>1.3210092600458754</v>
      </c>
      <c r="I82" s="130">
        <f t="shared" si="11"/>
        <v>2.8421309500205896E-2</v>
      </c>
      <c r="J82" s="130"/>
      <c r="K82" s="130"/>
      <c r="L82" s="79">
        <v>-10550</v>
      </c>
      <c r="M82" s="26">
        <v>582</v>
      </c>
      <c r="N82" s="48">
        <v>16700</v>
      </c>
      <c r="O82" s="48">
        <v>117710</v>
      </c>
      <c r="P82" s="48">
        <v>134861</v>
      </c>
      <c r="Q82" s="48">
        <v>-37801</v>
      </c>
      <c r="R82" s="48">
        <v>32644</v>
      </c>
      <c r="S82" s="48">
        <v>122852</v>
      </c>
      <c r="T82" s="35">
        <f t="shared" si="12"/>
        <v>155496</v>
      </c>
    </row>
    <row r="83" spans="1:20" ht="17">
      <c r="A83" s="130" t="s">
        <v>33</v>
      </c>
      <c r="B83" s="130" t="s">
        <v>172</v>
      </c>
      <c r="C83" s="130" t="s">
        <v>203</v>
      </c>
      <c r="D83" s="130">
        <v>0</v>
      </c>
      <c r="E83" s="7">
        <v>14</v>
      </c>
      <c r="F83" s="130">
        <f t="shared" si="8"/>
        <v>-0.24723565208107737</v>
      </c>
      <c r="G83" s="130">
        <f t="shared" si="9"/>
        <v>12.022522334126382</v>
      </c>
      <c r="H83" s="130">
        <f t="shared" si="10"/>
        <v>1.3517859931996492</v>
      </c>
      <c r="I83" s="130">
        <f t="shared" si="11"/>
        <v>0.37485846089326902</v>
      </c>
      <c r="J83" s="130"/>
      <c r="K83" s="130"/>
      <c r="L83" s="79">
        <v>-32421</v>
      </c>
      <c r="M83" s="26">
        <v>621</v>
      </c>
      <c r="N83" s="48">
        <v>39600</v>
      </c>
      <c r="O83" s="48">
        <v>166462</v>
      </c>
      <c r="P83" s="48">
        <v>131134</v>
      </c>
      <c r="Q83" s="48">
        <v>-58686</v>
      </c>
      <c r="R83" s="48">
        <v>120739</v>
      </c>
      <c r="S83" s="48">
        <v>104282</v>
      </c>
      <c r="T83" s="35">
        <f t="shared" si="12"/>
        <v>225021</v>
      </c>
    </row>
    <row r="84" spans="1:20">
      <c r="A84" s="130" t="s">
        <v>33</v>
      </c>
      <c r="B84" s="130" t="s">
        <v>172</v>
      </c>
      <c r="C84" s="130" t="s">
        <v>202</v>
      </c>
      <c r="D84" s="130">
        <v>0</v>
      </c>
      <c r="E84" s="7">
        <v>18</v>
      </c>
      <c r="F84" s="130">
        <f t="shared" si="8"/>
        <v>-0.63000629062696578</v>
      </c>
      <c r="G84" s="130">
        <f t="shared" si="9"/>
        <v>12.022858690667483</v>
      </c>
      <c r="H84" s="130">
        <f t="shared" si="10"/>
        <v>1.7078453980951007</v>
      </c>
      <c r="I84" s="130">
        <v>0.20163988519673745</v>
      </c>
      <c r="J84" s="130"/>
      <c r="K84" s="130"/>
      <c r="L84" s="83">
        <v>-60090</v>
      </c>
      <c r="M84" s="6">
        <v>622</v>
      </c>
      <c r="N84" s="35">
        <v>36625</v>
      </c>
      <c r="O84" s="35">
        <v>166518</v>
      </c>
      <c r="P84" s="6">
        <v>95380</v>
      </c>
      <c r="Q84" s="35">
        <v>-117964</v>
      </c>
      <c r="R84" s="35">
        <v>72634</v>
      </c>
      <c r="S84" s="35">
        <v>211753</v>
      </c>
      <c r="T84" s="35">
        <f t="shared" si="12"/>
        <v>284387</v>
      </c>
    </row>
    <row r="85" spans="1:20">
      <c r="A85" s="130" t="s">
        <v>34</v>
      </c>
      <c r="B85" s="130" t="s">
        <v>172</v>
      </c>
      <c r="C85" s="130" t="s">
        <v>173</v>
      </c>
      <c r="D85" s="130">
        <v>0</v>
      </c>
      <c r="E85" s="130">
        <v>13</v>
      </c>
      <c r="F85" s="130">
        <f t="shared" si="8"/>
        <v>0.18214690090945615</v>
      </c>
      <c r="G85" s="130">
        <f t="shared" si="9"/>
        <v>12.236616399440733</v>
      </c>
      <c r="H85" s="130">
        <f t="shared" si="10"/>
        <v>0.732671202649816</v>
      </c>
      <c r="I85" s="130">
        <v>0.15903133999999999</v>
      </c>
      <c r="J85" s="130"/>
      <c r="K85" s="130"/>
      <c r="L85" s="71">
        <v>29922</v>
      </c>
      <c r="M85" s="27">
        <v>190</v>
      </c>
      <c r="N85" s="34">
        <v>27324</v>
      </c>
      <c r="O85" s="34">
        <v>206203</v>
      </c>
      <c r="P85" s="34">
        <v>164274</v>
      </c>
      <c r="Q85" s="34">
        <v>55124</v>
      </c>
      <c r="R85" s="34">
        <v>72809</v>
      </c>
      <c r="S85" s="34">
        <v>78270</v>
      </c>
      <c r="T85" s="34">
        <f t="shared" si="12"/>
        <v>151079</v>
      </c>
    </row>
    <row r="86" spans="1:20" ht="17">
      <c r="A86" s="130" t="s">
        <v>36</v>
      </c>
      <c r="B86" s="130" t="s">
        <v>172</v>
      </c>
      <c r="C86" s="130" t="s">
        <v>205</v>
      </c>
      <c r="D86" s="130">
        <v>0</v>
      </c>
      <c r="E86" s="7">
        <v>15</v>
      </c>
      <c r="F86" s="130">
        <f t="shared" si="8"/>
        <v>0.1218765740663993</v>
      </c>
      <c r="G86" s="130">
        <f t="shared" si="9"/>
        <v>11.654563906488647</v>
      </c>
      <c r="H86" s="130">
        <f t="shared" si="10"/>
        <v>2.0797545479794475</v>
      </c>
      <c r="I86" s="130">
        <f t="shared" si="11"/>
        <v>-1.7157861095270621E-2</v>
      </c>
      <c r="J86" s="130"/>
      <c r="K86" s="130"/>
      <c r="L86" s="79">
        <v>19115</v>
      </c>
      <c r="M86" s="26">
        <v>294</v>
      </c>
      <c r="N86" s="48">
        <v>180048</v>
      </c>
      <c r="O86" s="48">
        <v>115216</v>
      </c>
      <c r="P86" s="48">
        <v>156839</v>
      </c>
      <c r="Q86" s="48">
        <v>-124405</v>
      </c>
      <c r="R86" s="48">
        <v>10241</v>
      </c>
      <c r="S86" s="48">
        <v>229380</v>
      </c>
      <c r="T86" s="35">
        <f t="shared" si="12"/>
        <v>239621</v>
      </c>
    </row>
    <row r="87" spans="1:20" ht="17">
      <c r="A87" s="130" t="s">
        <v>36</v>
      </c>
      <c r="B87" s="130" t="s">
        <v>172</v>
      </c>
      <c r="C87" s="130" t="s">
        <v>203</v>
      </c>
      <c r="D87" s="130">
        <v>0</v>
      </c>
      <c r="E87" s="7">
        <v>17</v>
      </c>
      <c r="F87" s="130">
        <f t="shared" si="8"/>
        <v>-0.11192715742243556</v>
      </c>
      <c r="G87" s="130">
        <f t="shared" si="9"/>
        <v>12.007786327401963</v>
      </c>
      <c r="H87" s="130">
        <f t="shared" si="10"/>
        <v>1.8591329476244765</v>
      </c>
      <c r="I87" s="130">
        <f t="shared" si="11"/>
        <v>0.18118564904255399</v>
      </c>
      <c r="J87" s="130"/>
      <c r="K87" s="130"/>
      <c r="L87" s="79">
        <v>-17861</v>
      </c>
      <c r="M87" s="26">
        <v>954</v>
      </c>
      <c r="N87" s="48">
        <v>243646</v>
      </c>
      <c r="O87" s="48">
        <v>164027</v>
      </c>
      <c r="P87" s="48">
        <v>159577</v>
      </c>
      <c r="Q87" s="48">
        <v>-140921</v>
      </c>
      <c r="R87" s="48">
        <v>9758</v>
      </c>
      <c r="S87" s="48">
        <v>295190</v>
      </c>
      <c r="T87" s="35">
        <f t="shared" si="12"/>
        <v>304948</v>
      </c>
    </row>
    <row r="88" spans="1:20" ht="17">
      <c r="A88" s="130" t="s">
        <v>36</v>
      </c>
      <c r="B88" s="130" t="s">
        <v>172</v>
      </c>
      <c r="C88" s="130" t="s">
        <v>202</v>
      </c>
      <c r="D88" s="130">
        <v>0</v>
      </c>
      <c r="E88" s="7">
        <v>15</v>
      </c>
      <c r="F88" s="130">
        <f t="shared" si="8"/>
        <v>-0.50859739894447775</v>
      </c>
      <c r="G88" s="130">
        <f t="shared" si="9"/>
        <v>12.128062454228429</v>
      </c>
      <c r="H88" s="130">
        <f t="shared" si="10"/>
        <v>2.1201301684946836</v>
      </c>
      <c r="I88" s="130">
        <f t="shared" si="11"/>
        <v>-0.17117177914110429</v>
      </c>
      <c r="J88" s="130"/>
      <c r="K88" s="130"/>
      <c r="L88" s="79">
        <v>-68711</v>
      </c>
      <c r="M88" s="26">
        <v>979</v>
      </c>
      <c r="N88" s="48">
        <v>269058</v>
      </c>
      <c r="O88" s="48">
        <v>184991</v>
      </c>
      <c r="P88" s="48">
        <v>135099</v>
      </c>
      <c r="Q88" s="48">
        <v>-207215</v>
      </c>
      <c r="R88" s="48">
        <v>14635</v>
      </c>
      <c r="S88" s="48">
        <v>377570</v>
      </c>
      <c r="T88" s="48">
        <f t="shared" si="12"/>
        <v>392205</v>
      </c>
    </row>
    <row r="89" spans="1:20" ht="17">
      <c r="A89" s="130" t="s">
        <v>36</v>
      </c>
      <c r="B89" s="130" t="s">
        <v>172</v>
      </c>
      <c r="C89" s="130" t="s">
        <v>201</v>
      </c>
      <c r="D89" s="130">
        <v>0</v>
      </c>
      <c r="E89" s="130">
        <v>16</v>
      </c>
      <c r="F89" s="130">
        <f t="shared" si="8"/>
        <v>-0.35464417177914109</v>
      </c>
      <c r="G89" s="130">
        <f t="shared" si="9"/>
        <v>12.026012529749854</v>
      </c>
      <c r="H89" s="130">
        <f t="shared" si="10"/>
        <v>2.6666327434687869</v>
      </c>
      <c r="I89" s="130">
        <f t="shared" si="11"/>
        <v>-0.1648991218632484</v>
      </c>
      <c r="J89" s="130"/>
      <c r="K89" s="130"/>
      <c r="L89" s="79">
        <v>-57807</v>
      </c>
      <c r="M89" s="26">
        <v>821</v>
      </c>
      <c r="N89" s="48">
        <v>350810</v>
      </c>
      <c r="O89" s="48">
        <v>167044</v>
      </c>
      <c r="P89" s="48">
        <v>163000</v>
      </c>
      <c r="Q89" s="48">
        <v>-278401</v>
      </c>
      <c r="R89" s="48">
        <v>13485</v>
      </c>
      <c r="S89" s="48">
        <v>431960</v>
      </c>
      <c r="T89" s="35">
        <f t="shared" si="12"/>
        <v>445445</v>
      </c>
    </row>
    <row r="90" spans="1:20">
      <c r="A90" s="130" t="s">
        <v>36</v>
      </c>
      <c r="B90" s="130" t="s">
        <v>172</v>
      </c>
      <c r="C90" s="130" t="s">
        <v>173</v>
      </c>
      <c r="D90" s="130">
        <v>0</v>
      </c>
      <c r="E90" s="130">
        <v>9</v>
      </c>
      <c r="F90" s="130">
        <f t="shared" si="8"/>
        <v>0.16362341561382476</v>
      </c>
      <c r="G90" s="130">
        <f t="shared" si="9"/>
        <v>12.501763809412871</v>
      </c>
      <c r="H90" s="130">
        <f t="shared" si="10"/>
        <v>1.9162087860987831</v>
      </c>
      <c r="I90" s="130">
        <v>-4.301077826426733E-2</v>
      </c>
      <c r="J90" s="130"/>
      <c r="K90" s="130"/>
      <c r="L90" s="71">
        <v>31937</v>
      </c>
      <c r="M90" s="27">
        <v>828</v>
      </c>
      <c r="N90" s="34">
        <v>395201</v>
      </c>
      <c r="O90" s="34">
        <v>268811</v>
      </c>
      <c r="P90" s="34">
        <v>195186</v>
      </c>
      <c r="Q90" s="34">
        <v>-246287</v>
      </c>
      <c r="R90" s="34">
        <v>12695</v>
      </c>
      <c r="S90" s="34">
        <v>502403</v>
      </c>
      <c r="T90" s="34">
        <f t="shared" si="12"/>
        <v>515098</v>
      </c>
    </row>
    <row r="91" spans="1:20" ht="17">
      <c r="A91" s="130" t="s">
        <v>37</v>
      </c>
      <c r="B91" s="130" t="s">
        <v>172</v>
      </c>
      <c r="C91" s="130" t="s">
        <v>205</v>
      </c>
      <c r="D91" s="130">
        <v>0</v>
      </c>
      <c r="E91" s="7">
        <v>7</v>
      </c>
      <c r="F91" s="130">
        <f t="shared" si="8"/>
        <v>0.26702880742494939</v>
      </c>
      <c r="G91" s="130">
        <f t="shared" si="9"/>
        <v>11.925803032793846</v>
      </c>
      <c r="H91" s="130">
        <f t="shared" si="10"/>
        <v>0.46465629053177693</v>
      </c>
      <c r="I91" s="130">
        <f t="shared" si="11"/>
        <v>1.9775684630556623E-2</v>
      </c>
      <c r="J91" s="130"/>
      <c r="K91" s="130"/>
      <c r="L91" s="79">
        <v>41833</v>
      </c>
      <c r="M91" s="26">
        <v>184</v>
      </c>
      <c r="N91" s="48">
        <v>669</v>
      </c>
      <c r="O91" s="48">
        <v>151116</v>
      </c>
      <c r="P91" s="48">
        <v>156661</v>
      </c>
      <c r="Q91" s="48">
        <v>80898</v>
      </c>
      <c r="R91" s="48">
        <v>11834</v>
      </c>
      <c r="S91" s="48">
        <v>58383</v>
      </c>
      <c r="T91" s="35">
        <f t="shared" si="12"/>
        <v>70217</v>
      </c>
    </row>
    <row r="92" spans="1:20" ht="17">
      <c r="A92" s="130" t="s">
        <v>37</v>
      </c>
      <c r="B92" s="130" t="s">
        <v>172</v>
      </c>
      <c r="C92" s="130" t="s">
        <v>203</v>
      </c>
      <c r="D92" s="130">
        <v>0</v>
      </c>
      <c r="E92" s="7">
        <v>15</v>
      </c>
      <c r="F92" s="130">
        <f t="shared" si="8"/>
        <v>3.2781549637749555E-2</v>
      </c>
      <c r="G92" s="130">
        <f t="shared" si="9"/>
        <v>11.896369887709124</v>
      </c>
      <c r="H92" s="130">
        <f t="shared" si="10"/>
        <v>0.42030081849345408</v>
      </c>
      <c r="I92" s="130">
        <f t="shared" si="11"/>
        <v>3.5320995808116887E-2</v>
      </c>
      <c r="J92" s="130"/>
      <c r="K92" s="130"/>
      <c r="L92" s="79">
        <v>5036</v>
      </c>
      <c r="M92" s="26">
        <v>255</v>
      </c>
      <c r="N92" s="48">
        <v>576</v>
      </c>
      <c r="O92" s="48">
        <v>146733</v>
      </c>
      <c r="P92" s="48">
        <v>153623</v>
      </c>
      <c r="Q92" s="48">
        <v>85060</v>
      </c>
      <c r="R92" s="48">
        <v>9989</v>
      </c>
      <c r="S92" s="48">
        <v>51683</v>
      </c>
      <c r="T92" s="35">
        <f t="shared" si="12"/>
        <v>61672</v>
      </c>
    </row>
    <row r="93" spans="1:20" ht="17">
      <c r="A93" s="130" t="s">
        <v>37</v>
      </c>
      <c r="B93" s="130" t="s">
        <v>172</v>
      </c>
      <c r="C93" s="130" t="s">
        <v>202</v>
      </c>
      <c r="D93" s="130">
        <v>0</v>
      </c>
      <c r="E93" s="7">
        <v>10</v>
      </c>
      <c r="F93" s="130">
        <f t="shared" si="8"/>
        <v>4.1851437505896942E-3</v>
      </c>
      <c r="G93" s="130">
        <f t="shared" si="9"/>
        <v>12.049529940423525</v>
      </c>
      <c r="H93" s="130">
        <f t="shared" si="10"/>
        <v>0.50168109976084529</v>
      </c>
      <c r="I93" s="130">
        <f t="shared" si="11"/>
        <v>9.7451296540094379E-2</v>
      </c>
      <c r="J93" s="130"/>
      <c r="K93" s="130"/>
      <c r="L93" s="79">
        <v>621</v>
      </c>
      <c r="M93" s="26">
        <v>225</v>
      </c>
      <c r="N93" s="48">
        <v>573</v>
      </c>
      <c r="O93" s="48">
        <v>171019</v>
      </c>
      <c r="P93" s="48">
        <v>148382</v>
      </c>
      <c r="Q93" s="48">
        <v>85222</v>
      </c>
      <c r="R93" s="48">
        <v>1532</v>
      </c>
      <c r="S93" s="48">
        <v>84265</v>
      </c>
      <c r="T93" s="48">
        <f t="shared" si="12"/>
        <v>85797</v>
      </c>
    </row>
    <row r="94" spans="1:20" ht="17">
      <c r="A94" s="130" t="s">
        <v>37</v>
      </c>
      <c r="B94" s="130" t="s">
        <v>172</v>
      </c>
      <c r="C94" s="130" t="s">
        <v>201</v>
      </c>
      <c r="D94" s="130">
        <v>0</v>
      </c>
      <c r="E94" s="130">
        <v>17</v>
      </c>
      <c r="F94" s="130">
        <f t="shared" si="8"/>
        <v>-2.2314098486753548E-2</v>
      </c>
      <c r="G94" s="130">
        <f t="shared" si="9"/>
        <v>12.145233938299091</v>
      </c>
      <c r="H94" s="130">
        <f t="shared" si="10"/>
        <v>0.53632668243045778</v>
      </c>
      <c r="I94" s="130">
        <f t="shared" si="11"/>
        <v>-8.2826830194822815E-2</v>
      </c>
      <c r="J94" s="130"/>
      <c r="K94" s="130"/>
      <c r="L94" s="79">
        <v>-3017</v>
      </c>
      <c r="M94" s="26">
        <v>267</v>
      </c>
      <c r="N94" s="48">
        <v>607</v>
      </c>
      <c r="O94" s="48">
        <v>188195</v>
      </c>
      <c r="P94" s="48">
        <v>135206</v>
      </c>
      <c r="Q94" s="48">
        <v>87262</v>
      </c>
      <c r="R94" s="48">
        <v>16185</v>
      </c>
      <c r="S94" s="48">
        <v>84749</v>
      </c>
      <c r="T94" s="35">
        <f t="shared" si="12"/>
        <v>100934</v>
      </c>
    </row>
    <row r="95" spans="1:20">
      <c r="A95" s="130" t="s">
        <v>37</v>
      </c>
      <c r="B95" s="130" t="s">
        <v>172</v>
      </c>
      <c r="C95" s="130" t="s">
        <v>173</v>
      </c>
      <c r="D95" s="130">
        <v>0</v>
      </c>
      <c r="E95" s="130">
        <v>18</v>
      </c>
      <c r="F95" s="130">
        <f t="shared" si="8"/>
        <v>0.25295083301676885</v>
      </c>
      <c r="G95" s="130">
        <f t="shared" si="9"/>
        <v>12.524962645106148</v>
      </c>
      <c r="H95" s="130">
        <f t="shared" si="10"/>
        <v>0.52979063681302707</v>
      </c>
      <c r="I95" s="130">
        <v>1.7430286695986265E-2</v>
      </c>
      <c r="J95" s="130"/>
      <c r="K95" s="130"/>
      <c r="L95" s="71">
        <v>37289</v>
      </c>
      <c r="M95" s="27">
        <v>273</v>
      </c>
      <c r="N95" s="34">
        <v>20059</v>
      </c>
      <c r="O95" s="34">
        <v>275120</v>
      </c>
      <c r="P95" s="34">
        <v>147416</v>
      </c>
      <c r="Q95" s="34">
        <v>129364</v>
      </c>
      <c r="R95" s="34">
        <v>38369</v>
      </c>
      <c r="S95" s="34">
        <v>107387</v>
      </c>
      <c r="T95" s="34">
        <f t="shared" si="12"/>
        <v>145756</v>
      </c>
    </row>
    <row r="96" spans="1:20" ht="18">
      <c r="A96" s="133" t="s">
        <v>38</v>
      </c>
      <c r="B96" s="133" t="s">
        <v>199</v>
      </c>
      <c r="C96" s="133" t="s">
        <v>205</v>
      </c>
      <c r="D96" s="133">
        <v>0</v>
      </c>
      <c r="E96" s="135">
        <v>13</v>
      </c>
      <c r="F96" s="130">
        <f t="shared" si="8"/>
        <v>5.8410117198715771E-2</v>
      </c>
      <c r="G96" s="130">
        <f t="shared" si="9"/>
        <v>11.271376060416618</v>
      </c>
      <c r="H96" s="130">
        <f t="shared" si="10"/>
        <v>1.8264727976470887</v>
      </c>
      <c r="I96" s="130">
        <f t="shared" si="11"/>
        <v>-0.17359276076663396</v>
      </c>
      <c r="J96" s="130"/>
      <c r="K96" s="130"/>
      <c r="L96" s="88">
        <v>8951</v>
      </c>
      <c r="M96" s="22"/>
      <c r="N96" s="45">
        <v>5746</v>
      </c>
      <c r="O96" s="32">
        <v>78541</v>
      </c>
      <c r="P96" s="51">
        <v>153244</v>
      </c>
      <c r="Q96" s="40">
        <f>O96-T96</f>
        <v>-64912</v>
      </c>
      <c r="R96" s="40"/>
      <c r="S96" s="40"/>
      <c r="T96" s="32">
        <v>143453</v>
      </c>
    </row>
    <row r="97" spans="1:20" ht="17">
      <c r="A97" s="133" t="s">
        <v>38</v>
      </c>
      <c r="B97" s="133" t="s">
        <v>199</v>
      </c>
      <c r="C97" s="133" t="s">
        <v>203</v>
      </c>
      <c r="D97" s="133">
        <v>0</v>
      </c>
      <c r="E97" s="135">
        <v>16</v>
      </c>
      <c r="F97" s="130">
        <f t="shared" si="8"/>
        <v>-0.18454544474044673</v>
      </c>
      <c r="G97" s="130">
        <f t="shared" si="9"/>
        <v>11.402474235812649</v>
      </c>
      <c r="H97" s="130">
        <f t="shared" si="10"/>
        <v>0.97100834236065359</v>
      </c>
      <c r="I97" s="130">
        <v>1.5432026E-2</v>
      </c>
      <c r="J97" s="130"/>
      <c r="K97" s="130"/>
      <c r="L97" s="76">
        <v>-34221</v>
      </c>
      <c r="M97" s="23"/>
      <c r="N97" s="39">
        <v>79324</v>
      </c>
      <c r="O97" s="39">
        <v>89543</v>
      </c>
      <c r="P97" s="39">
        <v>185434</v>
      </c>
      <c r="Q97" s="39">
        <f>O97-T97</f>
        <v>2596</v>
      </c>
      <c r="R97" s="39"/>
      <c r="S97" s="39"/>
      <c r="T97" s="32">
        <v>86947</v>
      </c>
    </row>
    <row r="98" spans="1:20">
      <c r="A98" s="131" t="s">
        <v>39</v>
      </c>
      <c r="B98" s="131" t="s">
        <v>193</v>
      </c>
      <c r="C98" s="131" t="s">
        <v>201</v>
      </c>
      <c r="D98" s="131">
        <v>0</v>
      </c>
      <c r="E98" s="131">
        <v>12</v>
      </c>
      <c r="F98" s="130">
        <f t="shared" si="8"/>
        <v>-4.6316964285714288E-2</v>
      </c>
      <c r="G98" s="130">
        <f t="shared" si="9"/>
        <v>7.3434262291473669</v>
      </c>
      <c r="H98" s="130">
        <f t="shared" si="10"/>
        <v>18.751617076326003</v>
      </c>
      <c r="I98" s="130">
        <f t="shared" si="11"/>
        <v>0.17783668908704511</v>
      </c>
      <c r="J98" s="130"/>
      <c r="K98" s="130"/>
      <c r="L98" s="75">
        <v>-2490</v>
      </c>
      <c r="M98" s="12">
        <v>254</v>
      </c>
      <c r="N98" s="42">
        <v>876</v>
      </c>
      <c r="O98" s="42">
        <v>1546</v>
      </c>
      <c r="P98" s="42">
        <v>53760</v>
      </c>
      <c r="Q98" s="42">
        <f>O98-T98</f>
        <v>-27444</v>
      </c>
      <c r="R98" s="42">
        <v>26456</v>
      </c>
      <c r="S98" s="42">
        <v>2534</v>
      </c>
      <c r="T98" s="42">
        <f>R98+S98</f>
        <v>28990</v>
      </c>
    </row>
    <row r="99" spans="1:20">
      <c r="A99" s="131" t="s">
        <v>39</v>
      </c>
      <c r="B99" s="131" t="s">
        <v>193</v>
      </c>
      <c r="C99" s="131" t="s">
        <v>173</v>
      </c>
      <c r="D99" s="131">
        <v>0</v>
      </c>
      <c r="E99" s="131">
        <v>17</v>
      </c>
      <c r="F99" s="130">
        <f t="shared" si="8"/>
        <v>1.446004863834542E-2</v>
      </c>
      <c r="G99" s="130">
        <f t="shared" si="9"/>
        <v>7.4109518755836366</v>
      </c>
      <c r="H99" s="130">
        <f t="shared" si="10"/>
        <v>24.909915356711004</v>
      </c>
      <c r="I99" s="130">
        <v>1.643932E-2</v>
      </c>
      <c r="J99" s="130"/>
      <c r="K99" s="130"/>
      <c r="L99" s="75">
        <v>660</v>
      </c>
      <c r="M99" s="12">
        <v>273</v>
      </c>
      <c r="N99" s="42">
        <v>946</v>
      </c>
      <c r="O99" s="42">
        <v>1654</v>
      </c>
      <c r="P99" s="42">
        <v>45643</v>
      </c>
      <c r="Q99" s="42">
        <f>O99-T99</f>
        <v>-39547</v>
      </c>
      <c r="R99" s="42">
        <v>35433</v>
      </c>
      <c r="S99" s="42">
        <v>5768</v>
      </c>
      <c r="T99" s="42">
        <f>R99+S99</f>
        <v>41201</v>
      </c>
    </row>
    <row r="100" spans="1:20">
      <c r="A100" s="134" t="s">
        <v>40</v>
      </c>
      <c r="B100" s="134" t="s">
        <v>200</v>
      </c>
      <c r="C100" s="134" t="s">
        <v>205</v>
      </c>
      <c r="D100" s="134">
        <v>0</v>
      </c>
      <c r="E100" s="15">
        <v>16</v>
      </c>
      <c r="F100" s="130">
        <f t="shared" si="8"/>
        <v>1.4304042802937242E-2</v>
      </c>
      <c r="G100" s="130">
        <f t="shared" si="9"/>
        <v>10.474354098387241</v>
      </c>
      <c r="H100" s="130">
        <f t="shared" si="10"/>
        <v>0.66809809017968136</v>
      </c>
      <c r="I100" s="130">
        <f t="shared" si="11"/>
        <v>1.182157160613175E-2</v>
      </c>
      <c r="J100" s="130"/>
      <c r="K100" s="130"/>
      <c r="L100" s="69">
        <v>524</v>
      </c>
      <c r="N100" s="32"/>
      <c r="O100" s="32">
        <v>35396</v>
      </c>
      <c r="P100" s="32">
        <v>36633</v>
      </c>
      <c r="Q100" s="32">
        <v>11748</v>
      </c>
      <c r="R100" s="32"/>
      <c r="S100" s="32"/>
      <c r="T100" s="32">
        <v>23648</v>
      </c>
    </row>
    <row r="101" spans="1:20">
      <c r="A101" s="134" t="s">
        <v>40</v>
      </c>
      <c r="B101" s="134" t="s">
        <v>200</v>
      </c>
      <c r="C101" s="134" t="s">
        <v>203</v>
      </c>
      <c r="D101" s="134">
        <v>0</v>
      </c>
      <c r="E101" s="15">
        <v>19</v>
      </c>
      <c r="F101" s="130">
        <f t="shared" si="8"/>
        <v>1.9279105095981217E-2</v>
      </c>
      <c r="G101" s="130">
        <f t="shared" si="9"/>
        <v>10.470220808240414</v>
      </c>
      <c r="H101" s="130">
        <f t="shared" si="10"/>
        <v>0.64036879432624116</v>
      </c>
      <c r="I101" s="130">
        <v>-3.6426432000000002E-2</v>
      </c>
      <c r="J101" s="130"/>
      <c r="K101" s="130"/>
      <c r="L101" s="69">
        <v>698</v>
      </c>
      <c r="N101" s="32"/>
      <c r="O101" s="32">
        <v>35250</v>
      </c>
      <c r="P101" s="32">
        <v>36205</v>
      </c>
      <c r="Q101" s="32">
        <v>12677</v>
      </c>
      <c r="R101" s="32"/>
      <c r="S101" s="32"/>
      <c r="T101" s="32">
        <v>22573</v>
      </c>
    </row>
    <row r="102" spans="1:20">
      <c r="A102" s="131" t="s">
        <v>43</v>
      </c>
      <c r="B102" s="131" t="s">
        <v>193</v>
      </c>
      <c r="C102" s="131" t="s">
        <v>205</v>
      </c>
      <c r="D102" s="131">
        <v>0</v>
      </c>
      <c r="E102" s="131">
        <v>13</v>
      </c>
      <c r="F102" s="130">
        <f t="shared" si="8"/>
        <v>0.2091187369099404</v>
      </c>
      <c r="G102" s="130">
        <f t="shared" si="9"/>
        <v>12.814715304311671</v>
      </c>
      <c r="H102" s="130">
        <f t="shared" si="10"/>
        <v>1.1184889563559104</v>
      </c>
      <c r="I102" s="130">
        <f t="shared" si="11"/>
        <v>-8.6803001324113574E-2</v>
      </c>
      <c r="J102" s="130"/>
      <c r="K102" s="130"/>
      <c r="L102" s="75">
        <v>12980</v>
      </c>
      <c r="M102" s="12">
        <v>201</v>
      </c>
      <c r="N102" s="42">
        <v>20925</v>
      </c>
      <c r="O102" s="42">
        <v>367587</v>
      </c>
      <c r="P102" s="115">
        <v>62070</v>
      </c>
      <c r="Q102" s="42">
        <f>O102-T102</f>
        <v>-43555</v>
      </c>
      <c r="R102" s="42">
        <v>268467</v>
      </c>
      <c r="S102" s="42">
        <v>142675</v>
      </c>
      <c r="T102" s="42">
        <f t="shared" ref="T102:T111" si="13">R102+S102</f>
        <v>411142</v>
      </c>
    </row>
    <row r="103" spans="1:20" ht="17">
      <c r="A103" s="131" t="s">
        <v>43</v>
      </c>
      <c r="B103" s="131" t="s">
        <v>193</v>
      </c>
      <c r="C103" s="131" t="s">
        <v>203</v>
      </c>
      <c r="D103" s="131">
        <v>0</v>
      </c>
      <c r="E103" s="131">
        <v>17</v>
      </c>
      <c r="F103" s="130">
        <f t="shared" si="8"/>
        <v>0.22671766956010003</v>
      </c>
      <c r="G103" s="130">
        <f t="shared" si="9"/>
        <v>12.530208385238453</v>
      </c>
      <c r="H103" s="130">
        <f t="shared" si="10"/>
        <v>0.85825134596680008</v>
      </c>
      <c r="I103" s="130">
        <f t="shared" si="11"/>
        <v>-3.7115738773197335E-2</v>
      </c>
      <c r="J103" s="130"/>
      <c r="K103" s="130"/>
      <c r="L103" s="75">
        <v>15410</v>
      </c>
      <c r="M103" s="109">
        <v>235</v>
      </c>
      <c r="N103" s="42">
        <v>45456</v>
      </c>
      <c r="O103" s="42">
        <v>276567</v>
      </c>
      <c r="P103" s="97">
        <v>67970</v>
      </c>
      <c r="Q103" s="42">
        <f>O103-T103</f>
        <v>39203</v>
      </c>
      <c r="R103" s="42">
        <v>179699</v>
      </c>
      <c r="S103" s="42">
        <v>57665</v>
      </c>
      <c r="T103" s="42">
        <f t="shared" si="13"/>
        <v>237364</v>
      </c>
    </row>
    <row r="104" spans="1:20">
      <c r="A104" s="131" t="s">
        <v>43</v>
      </c>
      <c r="B104" s="131" t="s">
        <v>193</v>
      </c>
      <c r="C104" s="131" t="s">
        <v>202</v>
      </c>
      <c r="D104" s="131">
        <v>0</v>
      </c>
      <c r="E104" s="131">
        <v>17</v>
      </c>
      <c r="F104" s="130">
        <f t="shared" si="8"/>
        <v>3.7115738773197335E-2</v>
      </c>
      <c r="G104" s="130">
        <f t="shared" si="9"/>
        <v>11.902863990458304</v>
      </c>
      <c r="H104" s="130">
        <f t="shared" si="10"/>
        <v>0.88945012831016523</v>
      </c>
      <c r="I104" s="130">
        <f t="shared" si="11"/>
        <v>5.6104129263913824E-2</v>
      </c>
      <c r="J104" s="130"/>
      <c r="K104" s="130"/>
      <c r="L104" s="75">
        <v>2620</v>
      </c>
      <c r="M104" s="12">
        <v>235</v>
      </c>
      <c r="N104" s="42">
        <v>38565</v>
      </c>
      <c r="O104" s="42">
        <v>147689</v>
      </c>
      <c r="P104" s="97">
        <v>70590</v>
      </c>
      <c r="Q104" s="42">
        <f>O104-T104</f>
        <v>16327</v>
      </c>
      <c r="R104" s="42">
        <v>84575</v>
      </c>
      <c r="S104" s="42">
        <v>46787</v>
      </c>
      <c r="T104" s="42">
        <f t="shared" si="13"/>
        <v>131362</v>
      </c>
    </row>
    <row r="105" spans="1:20">
      <c r="A105" s="131" t="s">
        <v>43</v>
      </c>
      <c r="B105" s="131" t="s">
        <v>193</v>
      </c>
      <c r="C105" s="131" t="s">
        <v>201</v>
      </c>
      <c r="D105" s="131">
        <v>0</v>
      </c>
      <c r="E105" s="131">
        <v>8</v>
      </c>
      <c r="F105" s="130">
        <f t="shared" si="8"/>
        <v>-0.14332734889287851</v>
      </c>
      <c r="G105" s="130">
        <f t="shared" si="9"/>
        <v>8.8877907641953264</v>
      </c>
      <c r="H105" s="130">
        <f t="shared" si="10"/>
        <v>1.5184315891205302</v>
      </c>
      <c r="I105" s="130">
        <f t="shared" si="11"/>
        <v>-5.7795319988722865E-2</v>
      </c>
      <c r="J105" s="130"/>
      <c r="K105" s="130"/>
      <c r="L105" s="75">
        <v>-9580</v>
      </c>
      <c r="M105" s="12">
        <v>285</v>
      </c>
      <c r="N105" s="42">
        <v>1742</v>
      </c>
      <c r="O105" s="42">
        <v>7243</v>
      </c>
      <c r="P105" s="97">
        <v>66840</v>
      </c>
      <c r="Q105" s="42">
        <f>O105-T105</f>
        <v>-3755</v>
      </c>
      <c r="R105" s="42">
        <v>4566</v>
      </c>
      <c r="S105" s="42">
        <v>6432</v>
      </c>
      <c r="T105" s="42">
        <f t="shared" si="13"/>
        <v>10998</v>
      </c>
    </row>
    <row r="106" spans="1:20">
      <c r="A106" s="131" t="s">
        <v>43</v>
      </c>
      <c r="B106" s="131" t="s">
        <v>193</v>
      </c>
      <c r="C106" s="131" t="s">
        <v>173</v>
      </c>
      <c r="D106" s="131">
        <v>0</v>
      </c>
      <c r="E106" s="131">
        <v>11</v>
      </c>
      <c r="F106" s="130">
        <f t="shared" si="8"/>
        <v>-1.0854243022272343E-2</v>
      </c>
      <c r="G106" s="130">
        <f t="shared" si="9"/>
        <v>7.9280456008747766</v>
      </c>
      <c r="H106" s="130">
        <f t="shared" si="10"/>
        <v>20.563085796683488</v>
      </c>
      <c r="I106" s="130">
        <v>-1.2935643166002125E-2</v>
      </c>
      <c r="J106" s="130"/>
      <c r="K106" s="130"/>
      <c r="L106" s="75">
        <v>-770</v>
      </c>
      <c r="M106" s="12">
        <v>301</v>
      </c>
      <c r="N106" s="42">
        <v>1224</v>
      </c>
      <c r="O106" s="42">
        <v>2774</v>
      </c>
      <c r="P106" s="97">
        <v>70940</v>
      </c>
      <c r="Q106" s="42">
        <f>O106-T106</f>
        <v>-54268</v>
      </c>
      <c r="R106" s="42">
        <v>54675</v>
      </c>
      <c r="S106" s="42">
        <v>2367</v>
      </c>
      <c r="T106" s="42">
        <f t="shared" si="13"/>
        <v>57042</v>
      </c>
    </row>
    <row r="107" spans="1:20" ht="17">
      <c r="A107" s="130" t="s">
        <v>44</v>
      </c>
      <c r="B107" s="130" t="s">
        <v>172</v>
      </c>
      <c r="C107" s="130" t="s">
        <v>205</v>
      </c>
      <c r="D107" s="130">
        <v>0</v>
      </c>
      <c r="E107" s="7">
        <v>5</v>
      </c>
      <c r="F107" s="130">
        <f t="shared" si="8"/>
        <v>0.1398873954085818</v>
      </c>
      <c r="G107" s="130">
        <f t="shared" si="9"/>
        <v>13.654560984617987</v>
      </c>
      <c r="H107" s="130">
        <f t="shared" si="10"/>
        <v>0.48020814368021991</v>
      </c>
      <c r="I107" s="130">
        <f t="shared" si="11"/>
        <v>3.4774228522095286E-3</v>
      </c>
      <c r="J107" s="130"/>
      <c r="K107" s="130"/>
      <c r="L107" s="79">
        <v>69916</v>
      </c>
      <c r="M107" s="26">
        <v>756</v>
      </c>
      <c r="N107" s="48">
        <v>0</v>
      </c>
      <c r="O107" s="48">
        <v>851335</v>
      </c>
      <c r="P107" s="48">
        <v>499802</v>
      </c>
      <c r="Q107" s="48">
        <v>442518</v>
      </c>
      <c r="R107" s="48">
        <v>51190</v>
      </c>
      <c r="S107" s="48">
        <v>357628</v>
      </c>
      <c r="T107" s="35">
        <f t="shared" si="13"/>
        <v>408818</v>
      </c>
    </row>
    <row r="108" spans="1:20" ht="17">
      <c r="A108" s="130" t="s">
        <v>44</v>
      </c>
      <c r="B108" s="130" t="s">
        <v>172</v>
      </c>
      <c r="C108" s="130" t="s">
        <v>203</v>
      </c>
      <c r="D108" s="130">
        <v>1</v>
      </c>
      <c r="E108" s="7">
        <v>3</v>
      </c>
      <c r="F108" s="130">
        <f t="shared" si="8"/>
        <v>-0.21616841006284257</v>
      </c>
      <c r="G108" s="130">
        <f t="shared" si="9"/>
        <v>13.792387263350053</v>
      </c>
      <c r="H108" s="130">
        <f t="shared" si="10"/>
        <v>0.47095202130294267</v>
      </c>
      <c r="I108" s="130">
        <f t="shared" si="11"/>
        <v>0.1156957221994485</v>
      </c>
      <c r="J108" s="130"/>
      <c r="K108" s="130"/>
      <c r="L108" s="79">
        <v>-107667</v>
      </c>
      <c r="M108" s="26">
        <v>798</v>
      </c>
      <c r="N108" s="48">
        <v>79395</v>
      </c>
      <c r="O108" s="48">
        <v>977142</v>
      </c>
      <c r="P108" s="48">
        <v>498070</v>
      </c>
      <c r="Q108" s="48">
        <v>516956</v>
      </c>
      <c r="R108" s="48">
        <v>43274</v>
      </c>
      <c r="S108" s="48">
        <v>416913</v>
      </c>
      <c r="T108" s="35">
        <f t="shared" si="13"/>
        <v>460187</v>
      </c>
    </row>
    <row r="109" spans="1:20" ht="17">
      <c r="A109" s="130" t="s">
        <v>44</v>
      </c>
      <c r="B109" s="130" t="s">
        <v>172</v>
      </c>
      <c r="C109" s="130" t="s">
        <v>202</v>
      </c>
      <c r="D109" s="130">
        <v>0</v>
      </c>
      <c r="E109" s="7">
        <v>4</v>
      </c>
      <c r="F109" s="130">
        <f t="shared" si="8"/>
        <v>7.9707271835330329E-2</v>
      </c>
      <c r="G109" s="130">
        <f t="shared" si="9"/>
        <v>13.779921721555001</v>
      </c>
      <c r="H109" s="130">
        <f t="shared" si="10"/>
        <v>0.41948236181617909</v>
      </c>
      <c r="I109" s="130">
        <f t="shared" si="11"/>
        <v>-0.11996948424831305</v>
      </c>
      <c r="J109" s="130"/>
      <c r="K109" s="130"/>
      <c r="L109" s="79">
        <v>35583</v>
      </c>
      <c r="M109" s="26">
        <v>808</v>
      </c>
      <c r="N109" s="48">
        <v>51039</v>
      </c>
      <c r="O109" s="48">
        <v>965037</v>
      </c>
      <c r="P109" s="48">
        <v>446421</v>
      </c>
      <c r="Q109" s="48">
        <v>560221</v>
      </c>
      <c r="R109" s="48">
        <v>44961</v>
      </c>
      <c r="S109" s="48">
        <v>359855</v>
      </c>
      <c r="T109" s="48">
        <f t="shared" si="13"/>
        <v>404816</v>
      </c>
    </row>
    <row r="110" spans="1:20" ht="17">
      <c r="A110" s="130" t="s">
        <v>44</v>
      </c>
      <c r="B110" s="130" t="s">
        <v>172</v>
      </c>
      <c r="C110" s="130" t="s">
        <v>201</v>
      </c>
      <c r="D110" s="130">
        <v>0</v>
      </c>
      <c r="E110" s="130">
        <v>4</v>
      </c>
      <c r="F110" s="130">
        <f t="shared" si="8"/>
        <v>-0.35280585240074991</v>
      </c>
      <c r="G110" s="130">
        <f t="shared" si="9"/>
        <v>13.775176985813058</v>
      </c>
      <c r="H110" s="130">
        <f t="shared" si="10"/>
        <v>0.51334816636455727</v>
      </c>
      <c r="I110" s="130">
        <f t="shared" si="11"/>
        <v>-9.5865727026766906E-2</v>
      </c>
      <c r="J110" s="130"/>
      <c r="K110" s="130"/>
      <c r="L110" s="79">
        <v>-178971</v>
      </c>
      <c r="M110" s="26">
        <v>817</v>
      </c>
      <c r="N110" s="48">
        <v>34471</v>
      </c>
      <c r="O110" s="48">
        <v>960469</v>
      </c>
      <c r="P110" s="48">
        <v>507279</v>
      </c>
      <c r="Q110" s="48">
        <v>467414</v>
      </c>
      <c r="R110" s="48">
        <v>70307</v>
      </c>
      <c r="S110" s="48">
        <v>422748</v>
      </c>
      <c r="T110" s="35">
        <f t="shared" si="13"/>
        <v>493055</v>
      </c>
    </row>
    <row r="111" spans="1:20">
      <c r="A111" s="130" t="s">
        <v>44</v>
      </c>
      <c r="B111" s="130" t="s">
        <v>172</v>
      </c>
      <c r="C111" s="130" t="s">
        <v>173</v>
      </c>
      <c r="D111" s="130">
        <v>1</v>
      </c>
      <c r="E111" s="130">
        <v>3</v>
      </c>
      <c r="F111" s="130">
        <f t="shared" si="8"/>
        <v>-0.25200065589431547</v>
      </c>
      <c r="G111" s="130">
        <f t="shared" si="9"/>
        <v>13.834276373446992</v>
      </c>
      <c r="H111" s="130">
        <f t="shared" si="10"/>
        <v>0.49564499682514135</v>
      </c>
      <c r="I111" s="130">
        <v>-2.4165516555855481E-2</v>
      </c>
      <c r="J111" s="130"/>
      <c r="K111" s="130"/>
      <c r="L111" s="71">
        <v>-141389</v>
      </c>
      <c r="M111" s="27">
        <v>788</v>
      </c>
      <c r="N111" s="34">
        <v>0</v>
      </c>
      <c r="O111" s="34">
        <v>1018943</v>
      </c>
      <c r="P111" s="34">
        <v>561066</v>
      </c>
      <c r="Q111" s="34">
        <v>513909</v>
      </c>
      <c r="R111" s="34">
        <v>93836</v>
      </c>
      <c r="S111" s="34">
        <v>411198</v>
      </c>
      <c r="T111" s="34">
        <f t="shared" si="13"/>
        <v>505034</v>
      </c>
    </row>
    <row r="112" spans="1:20">
      <c r="A112" s="134" t="s">
        <v>45</v>
      </c>
      <c r="B112" s="134" t="s">
        <v>200</v>
      </c>
      <c r="C112" s="134" t="s">
        <v>173</v>
      </c>
      <c r="D112" s="134">
        <v>0</v>
      </c>
      <c r="E112" s="15">
        <v>17</v>
      </c>
      <c r="F112" s="130">
        <f t="shared" si="8"/>
        <v>4.9157303370786515E-3</v>
      </c>
      <c r="G112" s="130">
        <f t="shared" si="9"/>
        <v>9.406482647787449</v>
      </c>
      <c r="H112" s="130">
        <f t="shared" si="10"/>
        <v>0.91896112435275745</v>
      </c>
      <c r="I112" s="130">
        <v>-6.1384934000000002E-2</v>
      </c>
      <c r="J112" s="130"/>
      <c r="K112" s="130"/>
      <c r="L112" s="69">
        <v>126</v>
      </c>
      <c r="N112" s="32"/>
      <c r="O112" s="32">
        <v>12167</v>
      </c>
      <c r="P112" s="32">
        <v>25632</v>
      </c>
      <c r="Q112" s="32">
        <v>986</v>
      </c>
      <c r="R112" s="32"/>
      <c r="S112" s="32"/>
      <c r="T112" s="32">
        <v>11181</v>
      </c>
    </row>
    <row r="113" spans="1:20" ht="17">
      <c r="A113" s="130" t="s">
        <v>47</v>
      </c>
      <c r="B113" s="130" t="s">
        <v>172</v>
      </c>
      <c r="C113" s="130" t="s">
        <v>205</v>
      </c>
      <c r="D113" s="130">
        <v>0</v>
      </c>
      <c r="E113" s="7">
        <v>11</v>
      </c>
      <c r="F113" s="130">
        <f t="shared" si="8"/>
        <v>-0.23856304790283744</v>
      </c>
      <c r="G113" s="130">
        <f t="shared" si="9"/>
        <v>12.235335287415715</v>
      </c>
      <c r="H113" s="130">
        <f t="shared" si="10"/>
        <v>0.63682449657422824</v>
      </c>
      <c r="I113" s="130">
        <f t="shared" si="11"/>
        <v>-3.2547424776711027E-2</v>
      </c>
      <c r="J113" s="130"/>
      <c r="K113" s="130"/>
      <c r="L113" s="79">
        <v>-35867</v>
      </c>
      <c r="M113" s="26">
        <v>227</v>
      </c>
      <c r="N113" s="48">
        <v>25689</v>
      </c>
      <c r="O113" s="35">
        <v>205939</v>
      </c>
      <c r="P113" s="48">
        <v>150346</v>
      </c>
      <c r="Q113" s="48">
        <v>30688</v>
      </c>
      <c r="R113" s="48">
        <v>25689</v>
      </c>
      <c r="S113" s="48">
        <v>105458</v>
      </c>
      <c r="T113" s="35">
        <f>R113+S113</f>
        <v>131147</v>
      </c>
    </row>
    <row r="114" spans="1:20" ht="17">
      <c r="A114" s="130" t="s">
        <v>47</v>
      </c>
      <c r="B114" s="130" t="s">
        <v>172</v>
      </c>
      <c r="C114" s="130" t="s">
        <v>203</v>
      </c>
      <c r="D114" s="130">
        <v>0</v>
      </c>
      <c r="E114" s="7">
        <v>12</v>
      </c>
      <c r="F114" s="130">
        <f t="shared" si="8"/>
        <v>1.6788499652518597E-2</v>
      </c>
      <c r="G114" s="130">
        <f t="shared" si="9"/>
        <v>12.223087075689303</v>
      </c>
      <c r="H114" s="130">
        <f t="shared" si="10"/>
        <v>0.46974418970466791</v>
      </c>
      <c r="I114" s="130">
        <f t="shared" si="11"/>
        <v>9.1726555529796902E-2</v>
      </c>
      <c r="J114" s="130"/>
      <c r="K114" s="130"/>
      <c r="L114" s="79">
        <v>2609</v>
      </c>
      <c r="M114" s="26">
        <v>236</v>
      </c>
      <c r="N114" s="48">
        <v>24375</v>
      </c>
      <c r="O114" s="35">
        <v>203432</v>
      </c>
      <c r="P114" s="48">
        <v>155404</v>
      </c>
      <c r="Q114" s="48">
        <v>33297</v>
      </c>
      <c r="R114" s="48">
        <v>26101</v>
      </c>
      <c r="S114" s="48">
        <v>69460</v>
      </c>
      <c r="T114" s="35">
        <f>R114+S114</f>
        <v>95561</v>
      </c>
    </row>
    <row r="115" spans="1:20" ht="17">
      <c r="A115" s="130" t="s">
        <v>47</v>
      </c>
      <c r="B115" s="130" t="s">
        <v>172</v>
      </c>
      <c r="C115" s="130" t="s">
        <v>202</v>
      </c>
      <c r="D115" s="130">
        <v>0</v>
      </c>
      <c r="E115" s="7">
        <v>14</v>
      </c>
      <c r="F115" s="130">
        <f t="shared" si="8"/>
        <v>-0.42668970895066283</v>
      </c>
      <c r="G115" s="130">
        <f t="shared" si="9"/>
        <v>12.037056182115251</v>
      </c>
      <c r="H115" s="130">
        <f t="shared" si="10"/>
        <v>0.60683603810561337</v>
      </c>
      <c r="I115" s="130">
        <f t="shared" si="11"/>
        <v>5.9263448501670597E-2</v>
      </c>
      <c r="J115" s="130"/>
      <c r="K115" s="130"/>
      <c r="L115" s="79">
        <v>-60738</v>
      </c>
      <c r="M115" s="26">
        <v>279</v>
      </c>
      <c r="N115" s="48">
        <v>37437</v>
      </c>
      <c r="O115" s="35">
        <v>168899</v>
      </c>
      <c r="P115" s="48">
        <v>142347</v>
      </c>
      <c r="Q115" s="48">
        <v>-6966</v>
      </c>
      <c r="R115" s="48">
        <v>15947</v>
      </c>
      <c r="S115" s="48">
        <v>86547</v>
      </c>
      <c r="T115" s="35">
        <f>R115+S115</f>
        <v>102494</v>
      </c>
    </row>
    <row r="116" spans="1:20" ht="17">
      <c r="A116" s="130" t="s">
        <v>47</v>
      </c>
      <c r="B116" s="130" t="s">
        <v>172</v>
      </c>
      <c r="C116" s="130" t="s">
        <v>201</v>
      </c>
      <c r="D116" s="130">
        <v>0</v>
      </c>
      <c r="E116" s="130">
        <v>14</v>
      </c>
      <c r="F116" s="130">
        <f t="shared" si="8"/>
        <v>-0.31760713780760957</v>
      </c>
      <c r="G116" s="130">
        <f t="shared" si="9"/>
        <v>11.61760074590836</v>
      </c>
      <c r="H116" s="130">
        <f t="shared" si="10"/>
        <v>1.0336650605664881</v>
      </c>
      <c r="I116" s="130">
        <f t="shared" si="11"/>
        <v>-0.16010100063125396</v>
      </c>
      <c r="J116" s="130"/>
      <c r="K116" s="130"/>
      <c r="L116" s="79">
        <v>-42681</v>
      </c>
      <c r="M116" s="26">
        <v>297</v>
      </c>
      <c r="N116" s="48">
        <v>0</v>
      </c>
      <c r="O116" s="35">
        <v>111035</v>
      </c>
      <c r="P116" s="48">
        <v>134383</v>
      </c>
      <c r="Q116" s="48">
        <v>-20497</v>
      </c>
      <c r="R116" s="48">
        <v>27291</v>
      </c>
      <c r="S116" s="48">
        <v>87482</v>
      </c>
      <c r="T116" s="35">
        <f>R116+S116</f>
        <v>114773</v>
      </c>
    </row>
    <row r="117" spans="1:20">
      <c r="A117" s="130" t="s">
        <v>47</v>
      </c>
      <c r="B117" s="130" t="s">
        <v>172</v>
      </c>
      <c r="C117" s="130" t="s">
        <v>173</v>
      </c>
      <c r="D117" s="130">
        <v>0</v>
      </c>
      <c r="E117" s="130">
        <v>12</v>
      </c>
      <c r="F117" s="130">
        <f t="shared" si="8"/>
        <v>-0.17144482153013457</v>
      </c>
      <c r="G117" s="130">
        <f t="shared" si="9"/>
        <v>12.071008650498905</v>
      </c>
      <c r="H117" s="130">
        <f t="shared" si="10"/>
        <v>0.89993246800814963</v>
      </c>
      <c r="I117" s="130">
        <v>-1.0414605344124372E-2</v>
      </c>
      <c r="J117" s="130"/>
      <c r="K117" s="130"/>
      <c r="L117" s="71">
        <v>-27431</v>
      </c>
      <c r="M117" s="27">
        <v>295</v>
      </c>
      <c r="N117" s="34">
        <v>30000</v>
      </c>
      <c r="O117" s="34">
        <v>174732</v>
      </c>
      <c r="P117" s="34">
        <v>159999</v>
      </c>
      <c r="Q117" s="34">
        <v>-6770</v>
      </c>
      <c r="R117" s="34">
        <v>63286</v>
      </c>
      <c r="S117" s="34">
        <v>93961</v>
      </c>
      <c r="T117" s="34">
        <f>R117+S117</f>
        <v>157247</v>
      </c>
    </row>
    <row r="118" spans="1:20" ht="18">
      <c r="A118" s="133" t="s">
        <v>48</v>
      </c>
      <c r="B118" s="133" t="s">
        <v>199</v>
      </c>
      <c r="C118" s="133" t="s">
        <v>202</v>
      </c>
      <c r="D118" s="133">
        <v>0</v>
      </c>
      <c r="E118" s="135">
        <v>14</v>
      </c>
      <c r="F118" s="130">
        <f t="shared" si="8"/>
        <v>-1.6649873501264987</v>
      </c>
      <c r="G118" s="130">
        <f t="shared" si="9"/>
        <v>11.332038878114268</v>
      </c>
      <c r="H118" s="130">
        <f t="shared" si="10"/>
        <v>0.8788779312906666</v>
      </c>
      <c r="I118" s="130">
        <f t="shared" si="11"/>
        <v>0.48871712573281367</v>
      </c>
      <c r="J118" s="130"/>
      <c r="K118" s="130"/>
      <c r="L118" s="77">
        <v>-75682</v>
      </c>
      <c r="M118" s="21"/>
      <c r="N118" s="32">
        <v>34523</v>
      </c>
      <c r="O118" s="40">
        <v>83453</v>
      </c>
      <c r="P118" s="51">
        <v>45455</v>
      </c>
      <c r="Q118" s="40">
        <f>O118-T118</f>
        <v>10108</v>
      </c>
      <c r="R118" s="40"/>
      <c r="S118" s="40"/>
      <c r="T118" s="40">
        <v>73345</v>
      </c>
    </row>
    <row r="119" spans="1:20" ht="18">
      <c r="A119" s="133" t="s">
        <v>48</v>
      </c>
      <c r="B119" s="133" t="s">
        <v>199</v>
      </c>
      <c r="C119" s="133" t="s">
        <v>201</v>
      </c>
      <c r="D119" s="133">
        <v>0</v>
      </c>
      <c r="E119" s="133">
        <v>21</v>
      </c>
      <c r="F119" s="130">
        <f t="shared" si="8"/>
        <v>-0.17806962958110897</v>
      </c>
      <c r="G119" s="130">
        <f t="shared" si="9"/>
        <v>11.396874678104211</v>
      </c>
      <c r="H119" s="130">
        <f t="shared" si="10"/>
        <v>0.89691497366440931</v>
      </c>
      <c r="I119" s="130">
        <v>9.4310610000000003E-2</v>
      </c>
      <c r="J119" s="130"/>
      <c r="K119" s="130"/>
      <c r="L119" s="82">
        <v>-5437</v>
      </c>
      <c r="M119" s="5"/>
      <c r="N119" s="44">
        <v>12937</v>
      </c>
      <c r="O119" s="50">
        <v>89043</v>
      </c>
      <c r="P119" s="32">
        <v>30533</v>
      </c>
      <c r="Q119" s="51">
        <f>N119-T119</f>
        <v>-66927</v>
      </c>
      <c r="R119" s="37"/>
      <c r="S119" s="37"/>
      <c r="T119" s="37">
        <v>79864</v>
      </c>
    </row>
    <row r="120" spans="1:20">
      <c r="A120" s="134" t="s">
        <v>51</v>
      </c>
      <c r="B120" s="134" t="s">
        <v>200</v>
      </c>
      <c r="C120" s="134" t="s">
        <v>205</v>
      </c>
      <c r="D120" s="134">
        <v>0</v>
      </c>
      <c r="E120" s="15">
        <v>11</v>
      </c>
      <c r="F120" s="130">
        <f t="shared" si="8"/>
        <v>0.17917975356366272</v>
      </c>
      <c r="G120" s="130">
        <f t="shared" si="9"/>
        <v>10.277152348094495</v>
      </c>
      <c r="H120" s="130">
        <f t="shared" si="10"/>
        <v>0.60658614638174868</v>
      </c>
      <c r="I120" s="130">
        <f t="shared" si="11"/>
        <v>-2.9798704913709749E-2</v>
      </c>
      <c r="J120" s="130"/>
      <c r="K120" s="130"/>
      <c r="L120" s="69">
        <v>5933</v>
      </c>
      <c r="N120" s="32"/>
      <c r="O120" s="32">
        <v>29061</v>
      </c>
      <c r="P120" s="32">
        <v>33112</v>
      </c>
      <c r="Q120" s="32">
        <v>11433</v>
      </c>
      <c r="R120" s="32"/>
      <c r="S120" s="32"/>
      <c r="T120" s="32">
        <v>17628</v>
      </c>
    </row>
    <row r="121" spans="1:20">
      <c r="A121" s="134" t="s">
        <v>51</v>
      </c>
      <c r="B121" s="134" t="s">
        <v>200</v>
      </c>
      <c r="C121" s="134" t="s">
        <v>203</v>
      </c>
      <c r="D121" s="134">
        <v>0</v>
      </c>
      <c r="E121" s="15">
        <v>18</v>
      </c>
      <c r="F121" s="130">
        <f t="shared" si="8"/>
        <v>4.0698526180081455E-2</v>
      </c>
      <c r="G121" s="130">
        <f t="shared" si="9"/>
        <v>10.358948446965533</v>
      </c>
      <c r="H121" s="130">
        <f t="shared" si="10"/>
        <v>0.60102099055108127</v>
      </c>
      <c r="I121" s="130">
        <f t="shared" si="11"/>
        <v>0.23821790080905561</v>
      </c>
      <c r="J121" s="130"/>
      <c r="K121" s="130"/>
      <c r="L121" s="69">
        <v>1389</v>
      </c>
      <c r="N121" s="32"/>
      <c r="O121" s="32">
        <v>31538</v>
      </c>
      <c r="P121" s="32">
        <v>34129</v>
      </c>
      <c r="Q121" s="32">
        <v>12583</v>
      </c>
      <c r="R121" s="32"/>
      <c r="S121" s="32"/>
      <c r="T121" s="32">
        <v>18955</v>
      </c>
    </row>
    <row r="122" spans="1:20">
      <c r="A122" s="134" t="s">
        <v>51</v>
      </c>
      <c r="B122" s="134" t="s">
        <v>200</v>
      </c>
      <c r="C122" s="134" t="s">
        <v>202</v>
      </c>
      <c r="D122" s="134">
        <v>0</v>
      </c>
      <c r="E122" s="15">
        <v>16</v>
      </c>
      <c r="F122" s="130">
        <f t="shared" si="8"/>
        <v>0.1284693248195044</v>
      </c>
      <c r="G122" s="130">
        <f t="shared" si="9"/>
        <v>10.632050138317028</v>
      </c>
      <c r="H122" s="130">
        <f t="shared" si="10"/>
        <v>0.61367694609333523</v>
      </c>
      <c r="I122" s="130">
        <f t="shared" si="11"/>
        <v>-7.4259420971317255E-2</v>
      </c>
      <c r="J122" s="130"/>
      <c r="K122" s="130"/>
      <c r="L122" s="69">
        <v>3541</v>
      </c>
      <c r="N122" s="32"/>
      <c r="O122" s="32">
        <v>41442</v>
      </c>
      <c r="P122" s="32">
        <v>27563</v>
      </c>
      <c r="Q122" s="32">
        <v>16010</v>
      </c>
      <c r="R122" s="32"/>
      <c r="S122" s="32"/>
      <c r="T122" s="32">
        <v>25432</v>
      </c>
    </row>
    <row r="123" spans="1:20">
      <c r="A123" s="134" t="s">
        <v>51</v>
      </c>
      <c r="B123" s="134" t="s">
        <v>200</v>
      </c>
      <c r="C123" s="134" t="s">
        <v>201</v>
      </c>
      <c r="D123" s="134">
        <v>0</v>
      </c>
      <c r="E123" s="15">
        <v>20</v>
      </c>
      <c r="F123" s="130">
        <f t="shared" si="8"/>
        <v>3.1940619332303355E-2</v>
      </c>
      <c r="G123" s="130">
        <f t="shared" si="9"/>
        <v>10.780184701749807</v>
      </c>
      <c r="H123" s="130">
        <f t="shared" si="10"/>
        <v>0.64768305624336753</v>
      </c>
      <c r="I123" s="130">
        <v>4.4719924974676195E-2</v>
      </c>
      <c r="J123" s="130"/>
      <c r="K123" s="130"/>
      <c r="L123" s="69">
        <v>951</v>
      </c>
      <c r="N123" s="32"/>
      <c r="O123" s="32">
        <v>48059</v>
      </c>
      <c r="P123" s="32">
        <v>29774</v>
      </c>
      <c r="Q123" s="32">
        <v>16932</v>
      </c>
      <c r="R123" s="32"/>
      <c r="S123" s="32"/>
      <c r="T123" s="32">
        <v>31127</v>
      </c>
    </row>
    <row r="124" spans="1:20">
      <c r="A124" s="134" t="s">
        <v>52</v>
      </c>
      <c r="B124" s="134" t="s">
        <v>200</v>
      </c>
      <c r="C124" s="134" t="s">
        <v>205</v>
      </c>
      <c r="D124" s="134">
        <v>0</v>
      </c>
      <c r="E124" s="15">
        <v>17</v>
      </c>
      <c r="F124" s="130">
        <f t="shared" si="8"/>
        <v>2.3481804451283804E-2</v>
      </c>
      <c r="G124" s="130">
        <f t="shared" si="9"/>
        <v>10.319364930991602</v>
      </c>
      <c r="H124" s="130">
        <f t="shared" si="10"/>
        <v>0.56805436432011613</v>
      </c>
      <c r="I124" s="130">
        <f t="shared" si="11"/>
        <v>-0.10308250690113485</v>
      </c>
      <c r="J124" s="130"/>
      <c r="K124" s="130"/>
      <c r="L124" s="69">
        <v>824</v>
      </c>
      <c r="N124" s="32"/>
      <c r="O124" s="32">
        <v>30314</v>
      </c>
      <c r="P124" s="32">
        <v>35091</v>
      </c>
      <c r="Q124" s="32">
        <v>13094</v>
      </c>
      <c r="R124" s="32"/>
      <c r="S124" s="32"/>
      <c r="T124" s="32">
        <v>17220</v>
      </c>
    </row>
    <row r="125" spans="1:20">
      <c r="A125" s="134" t="s">
        <v>52</v>
      </c>
      <c r="B125" s="134" t="s">
        <v>200</v>
      </c>
      <c r="C125" s="134" t="s">
        <v>204</v>
      </c>
      <c r="D125" s="134">
        <v>0</v>
      </c>
      <c r="E125" s="15">
        <v>20</v>
      </c>
      <c r="F125" s="130">
        <f t="shared" si="8"/>
        <v>1.0811777936816277E-2</v>
      </c>
      <c r="G125" s="130">
        <f t="shared" si="9"/>
        <v>10.363346144474624</v>
      </c>
      <c r="H125" s="130">
        <f t="shared" si="10"/>
        <v>0.58215740126905957</v>
      </c>
      <c r="I125" s="130">
        <v>-0.1190543345</v>
      </c>
      <c r="J125" s="130"/>
      <c r="K125" s="130"/>
      <c r="L125" s="69">
        <v>423</v>
      </c>
      <c r="N125" s="32"/>
      <c r="O125" s="32">
        <v>31677</v>
      </c>
      <c r="P125" s="32">
        <v>39124</v>
      </c>
      <c r="Q125" s="32">
        <v>13236</v>
      </c>
      <c r="R125" s="32"/>
      <c r="S125" s="32"/>
      <c r="T125" s="32">
        <v>18441</v>
      </c>
    </row>
    <row r="126" spans="1:20" ht="17">
      <c r="A126" s="131" t="s">
        <v>53</v>
      </c>
      <c r="B126" s="131" t="s">
        <v>193</v>
      </c>
      <c r="C126" s="131" t="s">
        <v>201</v>
      </c>
      <c r="D126" s="131">
        <v>0</v>
      </c>
      <c r="E126" s="131">
        <v>20</v>
      </c>
      <c r="F126" s="130">
        <f t="shared" si="8"/>
        <v>-0.22921271550858016</v>
      </c>
      <c r="G126" s="130">
        <f t="shared" si="9"/>
        <v>12.234465720031391</v>
      </c>
      <c r="H126" s="130">
        <f t="shared" si="10"/>
        <v>0.3843701399688958</v>
      </c>
      <c r="I126" s="130">
        <v>1.34866435342E-2</v>
      </c>
      <c r="J126" s="130"/>
      <c r="K126" s="130"/>
      <c r="L126" s="94">
        <v>-11407</v>
      </c>
      <c r="M126" s="98">
        <v>269</v>
      </c>
      <c r="N126" s="96">
        <v>5940</v>
      </c>
      <c r="O126" s="96">
        <v>205760</v>
      </c>
      <c r="P126" s="96">
        <v>49766</v>
      </c>
      <c r="Q126" s="96">
        <v>126672</v>
      </c>
      <c r="R126" s="96">
        <v>6729</v>
      </c>
      <c r="S126" s="96">
        <v>72359</v>
      </c>
      <c r="T126" s="42">
        <f t="shared" ref="T126:T139" si="14">R126+S126</f>
        <v>79088</v>
      </c>
    </row>
    <row r="127" spans="1:20">
      <c r="A127" s="131" t="s">
        <v>54</v>
      </c>
      <c r="B127" s="131" t="s">
        <v>193</v>
      </c>
      <c r="C127" s="131" t="s">
        <v>201</v>
      </c>
      <c r="D127" s="131">
        <v>0</v>
      </c>
      <c r="E127" s="131">
        <v>17</v>
      </c>
      <c r="F127" s="130">
        <f t="shared" si="8"/>
        <v>0.22191323692992213</v>
      </c>
      <c r="G127" s="130">
        <f t="shared" si="9"/>
        <v>9.2453213408714277</v>
      </c>
      <c r="H127" s="130">
        <f t="shared" si="10"/>
        <v>3.5055040556199306</v>
      </c>
      <c r="I127" s="130">
        <f t="shared" si="11"/>
        <v>9.3164177289585148E-2</v>
      </c>
      <c r="J127" s="130"/>
      <c r="K127" s="130"/>
      <c r="L127" s="75">
        <v>11970</v>
      </c>
      <c r="M127" s="12">
        <v>275</v>
      </c>
      <c r="N127" s="42">
        <v>1714</v>
      </c>
      <c r="O127" s="42">
        <v>10356</v>
      </c>
      <c r="P127" s="42">
        <v>53940</v>
      </c>
      <c r="Q127" s="42">
        <f>O127-T127</f>
        <v>-25947</v>
      </c>
      <c r="R127" s="42">
        <v>8467</v>
      </c>
      <c r="S127" s="42">
        <v>27836</v>
      </c>
      <c r="T127" s="42">
        <f t="shared" si="14"/>
        <v>36303</v>
      </c>
    </row>
    <row r="128" spans="1:20">
      <c r="A128" s="131" t="s">
        <v>54</v>
      </c>
      <c r="B128" s="131" t="s">
        <v>193</v>
      </c>
      <c r="C128" s="131" t="s">
        <v>173</v>
      </c>
      <c r="D128" s="131">
        <v>0</v>
      </c>
      <c r="E128" s="131">
        <v>13</v>
      </c>
      <c r="F128" s="130">
        <f t="shared" si="8"/>
        <v>0.24258760107816713</v>
      </c>
      <c r="G128" s="130">
        <f t="shared" si="9"/>
        <v>7.2841348061952047</v>
      </c>
      <c r="H128" s="130">
        <f t="shared" si="10"/>
        <v>1.0988332189430337</v>
      </c>
      <c r="I128" s="130">
        <v>6.3284045999999997E-2</v>
      </c>
      <c r="J128" s="130"/>
      <c r="K128" s="130"/>
      <c r="L128" s="75">
        <v>11970</v>
      </c>
      <c r="M128" s="12">
        <v>291</v>
      </c>
      <c r="N128" s="42">
        <v>965</v>
      </c>
      <c r="O128" s="42">
        <v>1457</v>
      </c>
      <c r="P128" s="42">
        <v>49343</v>
      </c>
      <c r="Q128" s="42">
        <f>O128-T128</f>
        <v>-144</v>
      </c>
      <c r="R128" s="42">
        <v>1427</v>
      </c>
      <c r="S128" s="42">
        <v>174</v>
      </c>
      <c r="T128" s="42">
        <f t="shared" si="14"/>
        <v>1601</v>
      </c>
    </row>
    <row r="129" spans="1:20" ht="17">
      <c r="A129" s="132" t="s">
        <v>55</v>
      </c>
      <c r="B129" s="132" t="s">
        <v>198</v>
      </c>
      <c r="C129" s="132" t="s">
        <v>203</v>
      </c>
      <c r="D129" s="132">
        <v>0</v>
      </c>
      <c r="E129" s="10">
        <v>18</v>
      </c>
      <c r="F129" s="130">
        <f t="shared" si="8"/>
        <v>-0.25724917032617078</v>
      </c>
      <c r="G129" s="130">
        <f t="shared" si="9"/>
        <v>11.234322056451651</v>
      </c>
      <c r="H129" s="130">
        <f t="shared" si="10"/>
        <v>0.38491623064320069</v>
      </c>
      <c r="I129" s="130">
        <f t="shared" si="11"/>
        <v>-0.57931180369482438</v>
      </c>
      <c r="J129" s="130"/>
      <c r="K129" s="130"/>
      <c r="L129" s="103">
        <v>-7674</v>
      </c>
      <c r="M129" s="100">
        <v>102</v>
      </c>
      <c r="N129" s="102">
        <v>453</v>
      </c>
      <c r="O129" s="102">
        <v>75684</v>
      </c>
      <c r="P129" s="102">
        <v>29831</v>
      </c>
      <c r="Q129" s="102">
        <f>O129-T129</f>
        <v>46552</v>
      </c>
      <c r="R129" s="102">
        <v>27565</v>
      </c>
      <c r="S129" s="102">
        <v>1567</v>
      </c>
      <c r="T129" s="102">
        <f t="shared" si="14"/>
        <v>29132</v>
      </c>
    </row>
    <row r="130" spans="1:20" ht="17">
      <c r="A130" s="132" t="s">
        <v>55</v>
      </c>
      <c r="B130" s="132" t="s">
        <v>198</v>
      </c>
      <c r="C130" s="132" t="s">
        <v>173</v>
      </c>
      <c r="D130" s="132">
        <v>0</v>
      </c>
      <c r="E130" s="10">
        <v>14</v>
      </c>
      <c r="F130" s="130">
        <f t="shared" ref="F130:F193" si="15">L130/P130</f>
        <v>-4.9781413058806935E-2</v>
      </c>
      <c r="G130" s="130">
        <f t="shared" ref="G130:G193" si="16">LN(O130)</f>
        <v>12.447311485113476</v>
      </c>
      <c r="H130" s="130">
        <f t="shared" ref="H130:H193" si="17">T130/O130</f>
        <v>1.3916170722605228</v>
      </c>
      <c r="I130" s="130">
        <v>-6.2300589256000002E-2</v>
      </c>
      <c r="J130" s="130"/>
      <c r="K130" s="130"/>
      <c r="L130" s="103">
        <v>-3530</v>
      </c>
      <c r="M130" s="100">
        <v>192</v>
      </c>
      <c r="N130" s="102">
        <v>2564</v>
      </c>
      <c r="O130" s="102">
        <v>254565</v>
      </c>
      <c r="P130" s="102">
        <v>70910</v>
      </c>
      <c r="Q130" s="102">
        <v>38562</v>
      </c>
      <c r="R130" s="102">
        <v>275668</v>
      </c>
      <c r="S130" s="102">
        <v>78589</v>
      </c>
      <c r="T130" s="102">
        <f t="shared" si="14"/>
        <v>354257</v>
      </c>
    </row>
    <row r="131" spans="1:20" ht="17">
      <c r="A131" s="131" t="s">
        <v>56</v>
      </c>
      <c r="B131" s="131" t="s">
        <v>193</v>
      </c>
      <c r="C131" s="131" t="s">
        <v>205</v>
      </c>
      <c r="D131" s="131">
        <v>0</v>
      </c>
      <c r="E131" s="131">
        <v>11</v>
      </c>
      <c r="F131" s="130">
        <f t="shared" si="15"/>
        <v>8.0156365876038568E-2</v>
      </c>
      <c r="G131" s="130">
        <f t="shared" si="16"/>
        <v>12.161221712392278</v>
      </c>
      <c r="H131" s="130">
        <f t="shared" si="17"/>
        <v>0.7750643211245215</v>
      </c>
      <c r="I131" s="130">
        <f t="shared" ref="I131:I192" si="18">IF(A131=A132, (P131-P132)/P132, "")</f>
        <v>-8.3265155618035797E-2</v>
      </c>
      <c r="J131" s="130"/>
      <c r="K131" s="130"/>
      <c r="L131" s="94">
        <v>6377</v>
      </c>
      <c r="M131" s="98">
        <v>340</v>
      </c>
      <c r="N131" s="96">
        <v>0</v>
      </c>
      <c r="O131" s="96">
        <v>191228</v>
      </c>
      <c r="P131" s="96">
        <v>79557</v>
      </c>
      <c r="Q131" s="96">
        <v>43014</v>
      </c>
      <c r="R131" s="96">
        <v>70628</v>
      </c>
      <c r="S131" s="96">
        <v>77586</v>
      </c>
      <c r="T131" s="42">
        <f t="shared" si="14"/>
        <v>148214</v>
      </c>
    </row>
    <row r="132" spans="1:20" ht="17">
      <c r="A132" s="131" t="s">
        <v>56</v>
      </c>
      <c r="B132" s="131" t="s">
        <v>193</v>
      </c>
      <c r="C132" s="131" t="s">
        <v>203</v>
      </c>
      <c r="D132" s="131">
        <v>0</v>
      </c>
      <c r="E132" s="131">
        <v>7</v>
      </c>
      <c r="F132" s="130">
        <f t="shared" si="15"/>
        <v>2.104098729013747E-2</v>
      </c>
      <c r="G132" s="130">
        <f t="shared" si="16"/>
        <v>12.197556485761835</v>
      </c>
      <c r="H132" s="130">
        <f t="shared" si="17"/>
        <v>0.78244009197999032</v>
      </c>
      <c r="I132" s="130">
        <f t="shared" si="18"/>
        <v>-0.14987804041809116</v>
      </c>
      <c r="J132" s="130"/>
      <c r="K132" s="130"/>
      <c r="L132" s="94">
        <v>1826</v>
      </c>
      <c r="M132" s="98">
        <v>365</v>
      </c>
      <c r="N132" s="96">
        <v>25781</v>
      </c>
      <c r="O132" s="96">
        <v>198304</v>
      </c>
      <c r="P132" s="96">
        <v>86783</v>
      </c>
      <c r="Q132" s="96">
        <v>43142</v>
      </c>
      <c r="R132" s="96">
        <v>66651</v>
      </c>
      <c r="S132" s="96">
        <v>88510</v>
      </c>
      <c r="T132" s="42">
        <f t="shared" si="14"/>
        <v>155161</v>
      </c>
    </row>
    <row r="133" spans="1:20" ht="17">
      <c r="A133" s="131" t="s">
        <v>56</v>
      </c>
      <c r="B133" s="131" t="s">
        <v>193</v>
      </c>
      <c r="C133" s="131" t="s">
        <v>202</v>
      </c>
      <c r="D133" s="131">
        <v>0</v>
      </c>
      <c r="E133" s="131">
        <v>20</v>
      </c>
      <c r="F133" s="130">
        <f t="shared" si="15"/>
        <v>8.9397842931732016E-2</v>
      </c>
      <c r="G133" s="130">
        <f t="shared" si="16"/>
        <v>12.281463009353811</v>
      </c>
      <c r="H133" s="130">
        <f t="shared" si="17"/>
        <v>0.52563977724298783</v>
      </c>
      <c r="I133" s="130">
        <f t="shared" si="18"/>
        <v>-0.40630779430751512</v>
      </c>
      <c r="J133" s="130"/>
      <c r="K133" s="130"/>
      <c r="L133" s="94">
        <v>9126</v>
      </c>
      <c r="M133" s="98">
        <v>289</v>
      </c>
      <c r="N133" s="96">
        <v>9669</v>
      </c>
      <c r="O133" s="96">
        <v>215661</v>
      </c>
      <c r="P133" s="96">
        <v>102083</v>
      </c>
      <c r="Q133" s="96">
        <v>102301</v>
      </c>
      <c r="R133" s="96">
        <v>25882</v>
      </c>
      <c r="S133" s="96">
        <v>87478</v>
      </c>
      <c r="T133" s="42">
        <f t="shared" si="14"/>
        <v>113360</v>
      </c>
    </row>
    <row r="134" spans="1:20" ht="17">
      <c r="A134" s="131" t="s">
        <v>56</v>
      </c>
      <c r="B134" s="131" t="s">
        <v>193</v>
      </c>
      <c r="C134" s="131" t="s">
        <v>173</v>
      </c>
      <c r="D134" s="131">
        <v>0</v>
      </c>
      <c r="E134" s="131">
        <v>14</v>
      </c>
      <c r="F134" s="130">
        <f t="shared" si="15"/>
        <v>7.8425784839426332E-2</v>
      </c>
      <c r="G134" s="130">
        <f t="shared" si="16"/>
        <v>12.568487584134461</v>
      </c>
      <c r="H134" s="130">
        <f t="shared" si="17"/>
        <v>0.48970451595391129</v>
      </c>
      <c r="I134" s="130">
        <v>-0.21315033011454734</v>
      </c>
      <c r="J134" s="130"/>
      <c r="K134" s="130"/>
      <c r="L134" s="94">
        <v>13485</v>
      </c>
      <c r="M134" s="98">
        <v>324</v>
      </c>
      <c r="N134" s="96">
        <v>7546</v>
      </c>
      <c r="O134" s="96">
        <v>287359</v>
      </c>
      <c r="P134" s="96">
        <v>171946</v>
      </c>
      <c r="Q134" s="96">
        <f>O134-T134</f>
        <v>146638</v>
      </c>
      <c r="R134" s="96">
        <v>93076</v>
      </c>
      <c r="S134" s="96">
        <v>47645</v>
      </c>
      <c r="T134" s="42">
        <f t="shared" si="14"/>
        <v>140721</v>
      </c>
    </row>
    <row r="135" spans="1:20" ht="17">
      <c r="A135" s="130" t="s">
        <v>57</v>
      </c>
      <c r="B135" s="130" t="s">
        <v>172</v>
      </c>
      <c r="C135" s="130" t="s">
        <v>205</v>
      </c>
      <c r="D135" s="130">
        <v>0</v>
      </c>
      <c r="E135" s="7">
        <v>8</v>
      </c>
      <c r="F135" s="130">
        <f t="shared" si="15"/>
        <v>-6.9231340443503847E-2</v>
      </c>
      <c r="G135" s="130">
        <f t="shared" si="16"/>
        <v>12.985012126975004</v>
      </c>
      <c r="H135" s="130">
        <f t="shared" si="17"/>
        <v>0.67757300978358637</v>
      </c>
      <c r="I135" s="130">
        <f t="shared" si="18"/>
        <v>2.9824209228298586E-2</v>
      </c>
      <c r="J135" s="130"/>
      <c r="K135" s="130"/>
      <c r="L135" s="79">
        <v>-14917</v>
      </c>
      <c r="M135" s="26">
        <v>427</v>
      </c>
      <c r="N135" s="48">
        <v>85645</v>
      </c>
      <c r="O135" s="48">
        <v>435832</v>
      </c>
      <c r="P135" s="48">
        <v>215466</v>
      </c>
      <c r="Q135" s="48">
        <v>140524</v>
      </c>
      <c r="R135" s="48">
        <v>65149</v>
      </c>
      <c r="S135" s="48">
        <v>230159</v>
      </c>
      <c r="T135" s="35">
        <f t="shared" si="14"/>
        <v>295308</v>
      </c>
    </row>
    <row r="136" spans="1:20" ht="17">
      <c r="A136" s="130" t="s">
        <v>57</v>
      </c>
      <c r="B136" s="130" t="s">
        <v>172</v>
      </c>
      <c r="C136" s="130" t="s">
        <v>203</v>
      </c>
      <c r="D136" s="130">
        <v>0</v>
      </c>
      <c r="E136" s="7">
        <v>8</v>
      </c>
      <c r="F136" s="130">
        <f t="shared" si="15"/>
        <v>-0.59582461070803816</v>
      </c>
      <c r="G136" s="130">
        <f t="shared" si="16"/>
        <v>13.001690670667118</v>
      </c>
      <c r="H136" s="130">
        <f t="shared" si="17"/>
        <v>0.59545719172672751</v>
      </c>
      <c r="I136" s="130">
        <f t="shared" si="18"/>
        <v>2.7203770528021209E-2</v>
      </c>
      <c r="J136" s="130"/>
      <c r="K136" s="130"/>
      <c r="L136" s="79">
        <v>-124662</v>
      </c>
      <c r="M136" s="26">
        <v>456</v>
      </c>
      <c r="N136" s="48">
        <v>19999</v>
      </c>
      <c r="O136" s="48">
        <v>443162</v>
      </c>
      <c r="P136" s="48">
        <v>209226</v>
      </c>
      <c r="Q136" s="48">
        <v>179277</v>
      </c>
      <c r="R136" s="48">
        <v>77885</v>
      </c>
      <c r="S136" s="48">
        <v>185999</v>
      </c>
      <c r="T136" s="35">
        <f t="shared" si="14"/>
        <v>263884</v>
      </c>
    </row>
    <row r="137" spans="1:20" ht="17">
      <c r="A137" s="130" t="s">
        <v>57</v>
      </c>
      <c r="B137" s="130" t="s">
        <v>172</v>
      </c>
      <c r="C137" s="130" t="s">
        <v>202</v>
      </c>
      <c r="D137" s="130">
        <v>0</v>
      </c>
      <c r="E137" s="7">
        <v>12</v>
      </c>
      <c r="F137" s="130">
        <f t="shared" si="15"/>
        <v>-0.75246090777425922</v>
      </c>
      <c r="G137" s="130">
        <f t="shared" si="16"/>
        <v>12.926409318879077</v>
      </c>
      <c r="H137" s="130">
        <f t="shared" si="17"/>
        <v>0.81089714737546381</v>
      </c>
      <c r="I137" s="130">
        <f t="shared" si="18"/>
        <v>-9.5962823892839069E-2</v>
      </c>
      <c r="J137" s="130"/>
      <c r="K137" s="130"/>
      <c r="L137" s="79">
        <v>-153265</v>
      </c>
      <c r="M137" s="26">
        <v>452</v>
      </c>
      <c r="N137" s="48">
        <v>64330</v>
      </c>
      <c r="O137" s="48">
        <v>411025</v>
      </c>
      <c r="P137" s="48">
        <v>203685</v>
      </c>
      <c r="Q137" s="48">
        <v>77726</v>
      </c>
      <c r="R137" s="48">
        <v>59039</v>
      </c>
      <c r="S137" s="48">
        <v>274260</v>
      </c>
      <c r="T137" s="48">
        <f t="shared" si="14"/>
        <v>333299</v>
      </c>
    </row>
    <row r="138" spans="1:20" ht="17">
      <c r="A138" s="130" t="s">
        <v>57</v>
      </c>
      <c r="B138" s="130" t="s">
        <v>172</v>
      </c>
      <c r="C138" s="130" t="s">
        <v>201</v>
      </c>
      <c r="D138" s="130">
        <v>0</v>
      </c>
      <c r="E138" s="130">
        <v>10</v>
      </c>
      <c r="F138" s="130">
        <f t="shared" si="15"/>
        <v>-0.62613956130773263</v>
      </c>
      <c r="G138" s="130">
        <f t="shared" si="16"/>
        <v>12.884164562210797</v>
      </c>
      <c r="H138" s="130">
        <f t="shared" si="17"/>
        <v>0.85271671958235939</v>
      </c>
      <c r="I138" s="130">
        <f t="shared" si="18"/>
        <v>6.7725043243371322E-2</v>
      </c>
      <c r="J138" s="130"/>
      <c r="K138" s="130"/>
      <c r="L138" s="79">
        <v>-141073</v>
      </c>
      <c r="M138" s="26">
        <v>450</v>
      </c>
      <c r="N138" s="48">
        <v>3957</v>
      </c>
      <c r="O138" s="48">
        <v>394023</v>
      </c>
      <c r="P138" s="48">
        <v>225306</v>
      </c>
      <c r="Q138" s="48">
        <v>58034</v>
      </c>
      <c r="R138" s="48">
        <v>193919</v>
      </c>
      <c r="S138" s="48">
        <v>142071</v>
      </c>
      <c r="T138" s="35">
        <f t="shared" si="14"/>
        <v>335990</v>
      </c>
    </row>
    <row r="139" spans="1:20">
      <c r="A139" s="130" t="s">
        <v>57</v>
      </c>
      <c r="B139" s="130" t="s">
        <v>172</v>
      </c>
      <c r="C139" s="130" t="s">
        <v>173</v>
      </c>
      <c r="D139" s="130">
        <v>0</v>
      </c>
      <c r="E139" s="130">
        <v>16</v>
      </c>
      <c r="F139" s="130">
        <f t="shared" si="15"/>
        <v>-0.24712935099400515</v>
      </c>
      <c r="G139" s="130">
        <f t="shared" si="16"/>
        <v>13.352253717865493</v>
      </c>
      <c r="H139" s="130">
        <f t="shared" si="17"/>
        <v>0.56578903455169882</v>
      </c>
      <c r="I139" s="130">
        <v>7.1975497767130109E-3</v>
      </c>
      <c r="J139" s="130"/>
      <c r="K139" s="130"/>
      <c r="L139" s="71">
        <v>-52148</v>
      </c>
      <c r="M139" s="27">
        <v>442</v>
      </c>
      <c r="N139" s="34">
        <v>16825</v>
      </c>
      <c r="O139" s="34">
        <v>629231</v>
      </c>
      <c r="P139" s="34">
        <v>211015</v>
      </c>
      <c r="Q139" s="34">
        <v>273219</v>
      </c>
      <c r="R139" s="34">
        <v>208672</v>
      </c>
      <c r="S139" s="34">
        <v>147340</v>
      </c>
      <c r="T139" s="34">
        <f t="shared" si="14"/>
        <v>356012</v>
      </c>
    </row>
    <row r="140" spans="1:20" ht="18">
      <c r="A140" s="133" t="s">
        <v>158</v>
      </c>
      <c r="B140" s="133" t="s">
        <v>199</v>
      </c>
      <c r="C140" s="133" t="s">
        <v>201</v>
      </c>
      <c r="D140" s="133">
        <v>0</v>
      </c>
      <c r="E140" s="133">
        <v>8</v>
      </c>
      <c r="F140" s="130">
        <f t="shared" si="15"/>
        <v>0.49472643375082398</v>
      </c>
      <c r="G140" s="130">
        <f t="shared" si="16"/>
        <v>11.143961027898758</v>
      </c>
      <c r="H140" s="130">
        <f t="shared" si="17"/>
        <v>0.53862173692964066</v>
      </c>
      <c r="I140" s="130">
        <f t="shared" si="18"/>
        <v>0.9142480934876831</v>
      </c>
      <c r="J140" s="130"/>
      <c r="K140" s="130"/>
      <c r="L140" s="82">
        <v>34523</v>
      </c>
      <c r="M140" s="5"/>
      <c r="N140" s="44">
        <v>53497</v>
      </c>
      <c r="O140" s="50">
        <v>69145</v>
      </c>
      <c r="P140" s="32">
        <v>69782</v>
      </c>
      <c r="Q140" s="51">
        <f>O140-T140</f>
        <v>31902</v>
      </c>
      <c r="R140" s="37"/>
      <c r="S140" s="37"/>
      <c r="T140" s="37">
        <v>37243</v>
      </c>
    </row>
    <row r="141" spans="1:20" ht="18">
      <c r="A141" s="133" t="s">
        <v>158</v>
      </c>
      <c r="B141" s="133" t="s">
        <v>199</v>
      </c>
      <c r="C141" s="133" t="s">
        <v>173</v>
      </c>
      <c r="D141" s="133">
        <v>0</v>
      </c>
      <c r="E141" s="135">
        <v>8</v>
      </c>
      <c r="F141" s="130">
        <f t="shared" si="15"/>
        <v>0.15068305261425358</v>
      </c>
      <c r="G141" s="130">
        <f t="shared" si="16"/>
        <v>11.498035152475033</v>
      </c>
      <c r="H141" s="130">
        <f t="shared" si="17"/>
        <v>1.8973833255516535</v>
      </c>
      <c r="I141" s="130">
        <v>9.1635464129999997E-2</v>
      </c>
      <c r="J141" s="130"/>
      <c r="K141" s="130"/>
      <c r="L141" s="77">
        <v>5493</v>
      </c>
      <c r="M141" s="21"/>
      <c r="N141" s="40">
        <v>98754</v>
      </c>
      <c r="O141" s="40">
        <v>98522</v>
      </c>
      <c r="P141" s="40">
        <v>36454</v>
      </c>
      <c r="Q141" s="40">
        <f>O141-T141</f>
        <v>-88412</v>
      </c>
      <c r="R141" s="40"/>
      <c r="S141" s="32"/>
      <c r="T141" s="32">
        <v>186934</v>
      </c>
    </row>
    <row r="142" spans="1:20" ht="17">
      <c r="A142" s="133" t="s">
        <v>58</v>
      </c>
      <c r="B142" s="133" t="s">
        <v>199</v>
      </c>
      <c r="C142" s="133" t="s">
        <v>205</v>
      </c>
      <c r="D142" s="133">
        <v>1</v>
      </c>
      <c r="E142" s="135">
        <v>2</v>
      </c>
      <c r="F142" s="130">
        <f t="shared" si="15"/>
        <v>-0.46389722676794637</v>
      </c>
      <c r="G142" s="130">
        <f t="shared" si="16"/>
        <v>12.339160189668528</v>
      </c>
      <c r="H142" s="130">
        <f t="shared" si="17"/>
        <v>1.7000919157876309</v>
      </c>
      <c r="I142" s="130">
        <f t="shared" si="18"/>
        <v>-0.15578063934632122</v>
      </c>
      <c r="J142" s="130"/>
      <c r="K142" s="130"/>
      <c r="L142" s="72">
        <v>-53010</v>
      </c>
      <c r="M142" s="24">
        <v>523</v>
      </c>
      <c r="N142" s="38">
        <v>84905</v>
      </c>
      <c r="O142" s="38">
        <v>228470</v>
      </c>
      <c r="P142" s="38">
        <v>114271</v>
      </c>
      <c r="Q142" s="38">
        <v>-159951</v>
      </c>
      <c r="R142" s="38">
        <v>241364</v>
      </c>
      <c r="S142" s="38">
        <v>147056</v>
      </c>
      <c r="T142" s="32">
        <f t="shared" ref="T142:T171" si="19">R142+S142</f>
        <v>388420</v>
      </c>
    </row>
    <row r="143" spans="1:20" ht="17">
      <c r="A143" s="133" t="s">
        <v>58</v>
      </c>
      <c r="B143" s="133" t="s">
        <v>199</v>
      </c>
      <c r="C143" s="133" t="s">
        <v>203</v>
      </c>
      <c r="D143" s="133">
        <v>1</v>
      </c>
      <c r="E143" s="135">
        <v>6</v>
      </c>
      <c r="F143" s="130">
        <f t="shared" si="15"/>
        <v>-0.23019127196968017</v>
      </c>
      <c r="G143" s="130">
        <f t="shared" si="16"/>
        <v>12.610026612439386</v>
      </c>
      <c r="H143" s="130">
        <f t="shared" si="17"/>
        <v>1.327557945831539</v>
      </c>
      <c r="I143" s="130">
        <f t="shared" si="18"/>
        <v>0.87727279031385652</v>
      </c>
      <c r="J143" s="130"/>
      <c r="K143" s="130"/>
      <c r="L143" s="72">
        <v>-31158</v>
      </c>
      <c r="M143" s="24">
        <v>564</v>
      </c>
      <c r="N143" s="38">
        <v>145967</v>
      </c>
      <c r="O143" s="38">
        <v>299547</v>
      </c>
      <c r="P143" s="38">
        <v>135357</v>
      </c>
      <c r="Q143" s="38">
        <v>-98119</v>
      </c>
      <c r="R143" s="38">
        <v>180174</v>
      </c>
      <c r="S143" s="38">
        <v>217492</v>
      </c>
      <c r="T143" s="32">
        <f t="shared" si="19"/>
        <v>397666</v>
      </c>
    </row>
    <row r="144" spans="1:20" ht="18">
      <c r="A144" s="133" t="s">
        <v>58</v>
      </c>
      <c r="B144" s="133" t="s">
        <v>199</v>
      </c>
      <c r="C144" s="133" t="s">
        <v>202</v>
      </c>
      <c r="D144" s="133">
        <v>0</v>
      </c>
      <c r="E144" s="135">
        <v>7</v>
      </c>
      <c r="F144" s="130">
        <f t="shared" si="15"/>
        <v>-0.28269281444600086</v>
      </c>
      <c r="G144" s="130">
        <f t="shared" si="16"/>
        <v>12.525729289222825</v>
      </c>
      <c r="H144" s="130">
        <f t="shared" si="17"/>
        <v>1.3834330315147949</v>
      </c>
      <c r="I144" s="130">
        <f t="shared" si="18"/>
        <v>8.7903797697542127E-2</v>
      </c>
      <c r="J144" s="130"/>
      <c r="K144" s="130"/>
      <c r="L144" s="72">
        <v>-20383</v>
      </c>
      <c r="M144" s="24">
        <v>515</v>
      </c>
      <c r="N144" s="38">
        <v>178779</v>
      </c>
      <c r="O144" s="38">
        <v>275331</v>
      </c>
      <c r="P144" s="38">
        <v>72103</v>
      </c>
      <c r="Q144" s="38">
        <v>-105571</v>
      </c>
      <c r="R144" s="38">
        <v>129305</v>
      </c>
      <c r="S144" s="38">
        <v>251597</v>
      </c>
      <c r="T144" s="40">
        <f t="shared" si="19"/>
        <v>380902</v>
      </c>
    </row>
    <row r="145" spans="1:20" ht="18">
      <c r="A145" s="133" t="s">
        <v>58</v>
      </c>
      <c r="B145" s="133" t="s">
        <v>199</v>
      </c>
      <c r="C145" s="133" t="s">
        <v>201</v>
      </c>
      <c r="D145" s="133">
        <v>0</v>
      </c>
      <c r="E145" s="133">
        <v>3</v>
      </c>
      <c r="F145" s="130">
        <f t="shared" si="15"/>
        <v>-0.29157928089684204</v>
      </c>
      <c r="G145" s="130">
        <f t="shared" si="16"/>
        <v>12.476527172315329</v>
      </c>
      <c r="H145" s="130">
        <f t="shared" si="17"/>
        <v>1.3666180869246733</v>
      </c>
      <c r="I145" s="130">
        <f t="shared" si="18"/>
        <v>-0.11042360141737356</v>
      </c>
      <c r="J145" s="130"/>
      <c r="K145" s="130"/>
      <c r="L145" s="72">
        <v>-19325</v>
      </c>
      <c r="M145" s="24">
        <v>502</v>
      </c>
      <c r="N145" s="38">
        <v>268088</v>
      </c>
      <c r="O145" s="38">
        <v>262112</v>
      </c>
      <c r="P145" s="38">
        <v>66277</v>
      </c>
      <c r="Q145" s="38">
        <v>-96095</v>
      </c>
      <c r="R145" s="38">
        <v>28668</v>
      </c>
      <c r="S145" s="38">
        <v>329539</v>
      </c>
      <c r="T145" s="37">
        <f t="shared" si="19"/>
        <v>358207</v>
      </c>
    </row>
    <row r="146" spans="1:20" ht="17">
      <c r="A146" s="133" t="s">
        <v>58</v>
      </c>
      <c r="B146" s="133" t="s">
        <v>199</v>
      </c>
      <c r="C146" s="133" t="s">
        <v>173</v>
      </c>
      <c r="D146" s="133">
        <v>0</v>
      </c>
      <c r="E146" s="135">
        <v>2</v>
      </c>
      <c r="F146" s="130">
        <f t="shared" si="15"/>
        <v>-0.22716901105980886</v>
      </c>
      <c r="G146" s="130">
        <f t="shared" si="16"/>
        <v>12.23434907248183</v>
      </c>
      <c r="H146" s="130">
        <f t="shared" si="17"/>
        <v>1.3607973325037912</v>
      </c>
      <c r="I146" s="130">
        <v>0.17474308681192596</v>
      </c>
      <c r="J146" s="130"/>
      <c r="K146" s="130"/>
      <c r="L146" s="72">
        <v>-16925</v>
      </c>
      <c r="M146" s="24">
        <v>497</v>
      </c>
      <c r="N146" s="38">
        <v>39383</v>
      </c>
      <c r="O146" s="38">
        <v>205736</v>
      </c>
      <c r="P146" s="38">
        <v>74504</v>
      </c>
      <c r="Q146" s="38">
        <v>-74228</v>
      </c>
      <c r="R146" s="38">
        <v>195462</v>
      </c>
      <c r="S146" s="38">
        <v>84503</v>
      </c>
      <c r="T146" s="32">
        <f t="shared" si="19"/>
        <v>279965</v>
      </c>
    </row>
    <row r="147" spans="1:20" ht="17">
      <c r="A147" s="132" t="s">
        <v>59</v>
      </c>
      <c r="B147" s="132" t="s">
        <v>198</v>
      </c>
      <c r="C147" s="132" t="s">
        <v>205</v>
      </c>
      <c r="D147" s="132">
        <v>0</v>
      </c>
      <c r="E147" s="10">
        <v>8</v>
      </c>
      <c r="F147" s="130">
        <f t="shared" si="15"/>
        <v>-0.14004128462387788</v>
      </c>
      <c r="G147" s="130">
        <f t="shared" si="16"/>
        <v>12.353267762848551</v>
      </c>
      <c r="H147" s="130">
        <f t="shared" si="17"/>
        <v>0.61219337464827639</v>
      </c>
      <c r="I147" s="130">
        <f t="shared" si="18"/>
        <v>-1.2683306001346061E-2</v>
      </c>
      <c r="J147" s="130"/>
      <c r="K147" s="130"/>
      <c r="L147" s="99">
        <v>-14586</v>
      </c>
      <c r="M147" s="100">
        <v>183</v>
      </c>
      <c r="N147" s="101">
        <v>12930</v>
      </c>
      <c r="O147" s="101">
        <v>231716</v>
      </c>
      <c r="P147" s="101">
        <v>104155</v>
      </c>
      <c r="Q147" s="101">
        <v>89862</v>
      </c>
      <c r="R147" s="101">
        <v>39587</v>
      </c>
      <c r="S147" s="101">
        <v>102268</v>
      </c>
      <c r="T147" s="102">
        <f t="shared" si="19"/>
        <v>141855</v>
      </c>
    </row>
    <row r="148" spans="1:20" ht="17">
      <c r="A148" s="132" t="s">
        <v>59</v>
      </c>
      <c r="B148" s="132" t="s">
        <v>198</v>
      </c>
      <c r="C148" s="132" t="s">
        <v>203</v>
      </c>
      <c r="D148" s="132">
        <v>0</v>
      </c>
      <c r="E148" s="10">
        <v>16</v>
      </c>
      <c r="F148" s="130">
        <f t="shared" si="15"/>
        <v>-0.2624155157214223</v>
      </c>
      <c r="G148" s="130">
        <f t="shared" si="16"/>
        <v>12.350194634291325</v>
      </c>
      <c r="H148" s="130">
        <f t="shared" si="17"/>
        <v>0.73082833704898165</v>
      </c>
      <c r="I148" s="130">
        <f t="shared" si="18"/>
        <v>2.038918015786138</v>
      </c>
      <c r="J148" s="130"/>
      <c r="K148" s="130"/>
      <c r="L148" s="99">
        <v>-27683</v>
      </c>
      <c r="M148" s="100">
        <v>216</v>
      </c>
      <c r="N148" s="101">
        <v>7500</v>
      </c>
      <c r="O148" s="101">
        <v>231005</v>
      </c>
      <c r="P148" s="101">
        <v>105493</v>
      </c>
      <c r="Q148" s="101">
        <v>62179</v>
      </c>
      <c r="R148" s="101">
        <v>36192</v>
      </c>
      <c r="S148" s="101">
        <v>132633</v>
      </c>
      <c r="T148" s="102">
        <f t="shared" si="19"/>
        <v>168825</v>
      </c>
    </row>
    <row r="149" spans="1:20" ht="17">
      <c r="A149" s="132" t="s">
        <v>59</v>
      </c>
      <c r="B149" s="132" t="s">
        <v>198</v>
      </c>
      <c r="C149" s="132" t="s">
        <v>202</v>
      </c>
      <c r="D149" s="132">
        <v>0</v>
      </c>
      <c r="E149" s="10">
        <v>10</v>
      </c>
      <c r="F149" s="130">
        <f t="shared" si="15"/>
        <v>-0.85904822261911618</v>
      </c>
      <c r="G149" s="130">
        <f t="shared" si="16"/>
        <v>12.383812890790518</v>
      </c>
      <c r="H149" s="130">
        <f t="shared" si="17"/>
        <v>0.63359187620080115</v>
      </c>
      <c r="I149" s="130">
        <f t="shared" si="18"/>
        <v>-0.78397182187041048</v>
      </c>
      <c r="J149" s="130"/>
      <c r="K149" s="130"/>
      <c r="L149" s="99">
        <v>-29821</v>
      </c>
      <c r="M149" s="100">
        <v>282</v>
      </c>
      <c r="N149" s="101">
        <v>0</v>
      </c>
      <c r="O149" s="101">
        <v>238903</v>
      </c>
      <c r="P149" s="101">
        <v>34714</v>
      </c>
      <c r="Q149" s="101">
        <v>87536</v>
      </c>
      <c r="R149" s="101">
        <v>49246</v>
      </c>
      <c r="S149" s="101">
        <v>102121</v>
      </c>
      <c r="T149" s="102">
        <f t="shared" si="19"/>
        <v>151367</v>
      </c>
    </row>
    <row r="150" spans="1:20" ht="17">
      <c r="A150" s="132" t="s">
        <v>59</v>
      </c>
      <c r="B150" s="132" t="s">
        <v>198</v>
      </c>
      <c r="C150" s="132" t="s">
        <v>201</v>
      </c>
      <c r="D150" s="132">
        <v>0</v>
      </c>
      <c r="E150" s="132">
        <v>13</v>
      </c>
      <c r="F150" s="130">
        <f t="shared" si="15"/>
        <v>-6.4552062330420934E-2</v>
      </c>
      <c r="G150" s="130">
        <f t="shared" si="16"/>
        <v>12.599539393671195</v>
      </c>
      <c r="H150" s="130">
        <f t="shared" si="17"/>
        <v>0.48380349636666642</v>
      </c>
      <c r="I150" s="130">
        <f t="shared" si="18"/>
        <v>-0.30841435230016395</v>
      </c>
      <c r="J150" s="130"/>
      <c r="K150" s="130"/>
      <c r="L150" s="99">
        <v>-10373</v>
      </c>
      <c r="M150" s="100">
        <v>247</v>
      </c>
      <c r="N150" s="101">
        <v>0</v>
      </c>
      <c r="O150" s="101">
        <v>296422</v>
      </c>
      <c r="P150" s="101">
        <v>160692</v>
      </c>
      <c r="Q150" s="101">
        <v>153012</v>
      </c>
      <c r="R150" s="101">
        <v>39146</v>
      </c>
      <c r="S150" s="101">
        <v>104264</v>
      </c>
      <c r="T150" s="102">
        <f t="shared" si="19"/>
        <v>143410</v>
      </c>
    </row>
    <row r="151" spans="1:20" ht="17">
      <c r="A151" s="132" t="s">
        <v>59</v>
      </c>
      <c r="B151" s="132" t="s">
        <v>198</v>
      </c>
      <c r="C151" s="132" t="s">
        <v>173</v>
      </c>
      <c r="D151" s="132">
        <v>0</v>
      </c>
      <c r="E151" s="10">
        <v>7</v>
      </c>
      <c r="F151" s="130">
        <f t="shared" si="15"/>
        <v>0.2015467844185356</v>
      </c>
      <c r="G151" s="130">
        <f t="shared" si="16"/>
        <v>12.810388612383504</v>
      </c>
      <c r="H151" s="130">
        <f t="shared" si="17"/>
        <v>0.40412295081967214</v>
      </c>
      <c r="I151" s="130">
        <v>0.23346213390355436</v>
      </c>
      <c r="J151" s="130"/>
      <c r="K151" s="130"/>
      <c r="L151" s="99">
        <v>46830</v>
      </c>
      <c r="M151" s="100">
        <v>246</v>
      </c>
      <c r="N151" s="101">
        <v>0</v>
      </c>
      <c r="O151" s="101">
        <v>366000</v>
      </c>
      <c r="P151" s="101">
        <v>232353</v>
      </c>
      <c r="Q151" s="101">
        <v>218092</v>
      </c>
      <c r="R151" s="101">
        <v>49512</v>
      </c>
      <c r="S151" s="101">
        <v>98397</v>
      </c>
      <c r="T151" s="102">
        <f t="shared" si="19"/>
        <v>147909</v>
      </c>
    </row>
    <row r="152" spans="1:20" ht="17">
      <c r="A152" s="130" t="s">
        <v>61</v>
      </c>
      <c r="B152" s="130" t="s">
        <v>172</v>
      </c>
      <c r="C152" s="130" t="s">
        <v>203</v>
      </c>
      <c r="D152" s="130">
        <v>0</v>
      </c>
      <c r="E152" s="7">
        <v>19</v>
      </c>
      <c r="F152" s="130">
        <f t="shared" si="15"/>
        <v>-0.1465017092625753</v>
      </c>
      <c r="G152" s="130">
        <f t="shared" si="16"/>
        <v>12.517296668814931</v>
      </c>
      <c r="H152" s="130">
        <f t="shared" si="17"/>
        <v>0.40743684505473976</v>
      </c>
      <c r="I152" s="130">
        <f t="shared" si="18"/>
        <v>0.13383832790685657</v>
      </c>
      <c r="J152" s="130"/>
      <c r="K152" s="130"/>
      <c r="L152" s="79">
        <v>-22499</v>
      </c>
      <c r="M152" s="26">
        <v>266</v>
      </c>
      <c r="N152" s="48">
        <v>370</v>
      </c>
      <c r="O152" s="48">
        <v>273019</v>
      </c>
      <c r="P152" s="48">
        <v>153575</v>
      </c>
      <c r="Q152" s="48">
        <v>161781</v>
      </c>
      <c r="R152" s="48">
        <v>54814</v>
      </c>
      <c r="S152" s="48">
        <v>56424</v>
      </c>
      <c r="T152" s="35">
        <f t="shared" si="19"/>
        <v>111238</v>
      </c>
    </row>
    <row r="153" spans="1:20" ht="17">
      <c r="A153" s="130" t="s">
        <v>61</v>
      </c>
      <c r="B153" s="130" t="s">
        <v>172</v>
      </c>
      <c r="C153" s="130" t="s">
        <v>201</v>
      </c>
      <c r="D153" s="130">
        <v>0</v>
      </c>
      <c r="E153" s="130">
        <v>18</v>
      </c>
      <c r="F153" s="130">
        <f t="shared" si="15"/>
        <v>-0.80104395077041202</v>
      </c>
      <c r="G153" s="130">
        <f t="shared" si="16"/>
        <v>12.870624859210006</v>
      </c>
      <c r="H153" s="130">
        <f t="shared" si="17"/>
        <v>0.26372439057017316</v>
      </c>
      <c r="I153" s="130">
        <v>0.15208952000000001</v>
      </c>
      <c r="J153" s="130"/>
      <c r="K153" s="130"/>
      <c r="L153" s="79">
        <v>-108499</v>
      </c>
      <c r="M153" s="26">
        <v>194</v>
      </c>
      <c r="N153" s="48">
        <v>787</v>
      </c>
      <c r="O153" s="48">
        <v>388724</v>
      </c>
      <c r="P153" s="48">
        <v>135447</v>
      </c>
      <c r="Q153" s="48">
        <v>286208</v>
      </c>
      <c r="R153" s="48">
        <v>16258</v>
      </c>
      <c r="S153" s="48">
        <v>86258</v>
      </c>
      <c r="T153" s="35">
        <f t="shared" si="19"/>
        <v>102516</v>
      </c>
    </row>
    <row r="154" spans="1:20" ht="17">
      <c r="A154" s="133" t="s">
        <v>62</v>
      </c>
      <c r="B154" s="133" t="s">
        <v>199</v>
      </c>
      <c r="C154" s="133" t="s">
        <v>205</v>
      </c>
      <c r="D154" s="133">
        <v>1</v>
      </c>
      <c r="E154" s="135">
        <v>1</v>
      </c>
      <c r="F154" s="130">
        <f t="shared" si="15"/>
        <v>-0.36105107119491853</v>
      </c>
      <c r="G154" s="130">
        <f t="shared" si="16"/>
        <v>12.147404857864331</v>
      </c>
      <c r="H154" s="130">
        <f t="shared" si="17"/>
        <v>1.3188055396492122</v>
      </c>
      <c r="I154" s="130">
        <f t="shared" si="18"/>
        <v>-0.27195827806583867</v>
      </c>
      <c r="J154" s="130"/>
      <c r="K154" s="130"/>
      <c r="L154" s="72">
        <v>-43598</v>
      </c>
      <c r="M154" s="24">
        <v>568</v>
      </c>
      <c r="N154" s="38">
        <v>99728</v>
      </c>
      <c r="O154" s="38">
        <v>188604</v>
      </c>
      <c r="P154" s="38">
        <v>120753</v>
      </c>
      <c r="Q154" s="38">
        <v>-60128</v>
      </c>
      <c r="R154" s="38">
        <v>43043</v>
      </c>
      <c r="S154" s="38">
        <v>205689</v>
      </c>
      <c r="T154" s="32">
        <f t="shared" si="19"/>
        <v>248732</v>
      </c>
    </row>
    <row r="155" spans="1:20" ht="17">
      <c r="A155" s="133" t="s">
        <v>62</v>
      </c>
      <c r="B155" s="133" t="s">
        <v>199</v>
      </c>
      <c r="C155" s="133" t="s">
        <v>203</v>
      </c>
      <c r="D155" s="133">
        <v>1</v>
      </c>
      <c r="E155" s="135">
        <v>1</v>
      </c>
      <c r="F155" s="130">
        <f t="shared" si="15"/>
        <v>2.7842758953334136E-2</v>
      </c>
      <c r="G155" s="130">
        <f t="shared" si="16"/>
        <v>12.287417581858879</v>
      </c>
      <c r="H155" s="130">
        <f t="shared" si="17"/>
        <v>1.1905102120774929</v>
      </c>
      <c r="I155" s="130">
        <f t="shared" si="18"/>
        <v>0.37510778006234663</v>
      </c>
      <c r="J155" s="130"/>
      <c r="K155" s="130"/>
      <c r="L155" s="72">
        <v>4618</v>
      </c>
      <c r="M155" s="24">
        <v>534</v>
      </c>
      <c r="N155" s="38">
        <v>93734</v>
      </c>
      <c r="O155" s="38">
        <v>216949</v>
      </c>
      <c r="P155" s="38">
        <v>165860</v>
      </c>
      <c r="Q155" s="38">
        <v>-41331</v>
      </c>
      <c r="R155" s="38">
        <v>63205</v>
      </c>
      <c r="S155" s="38">
        <v>195075</v>
      </c>
      <c r="T155" s="32">
        <f t="shared" si="19"/>
        <v>258280</v>
      </c>
    </row>
    <row r="156" spans="1:20" ht="17">
      <c r="A156" s="133" t="s">
        <v>62</v>
      </c>
      <c r="B156" s="133" t="s">
        <v>199</v>
      </c>
      <c r="C156" s="133" t="s">
        <v>202</v>
      </c>
      <c r="D156" s="133">
        <v>1</v>
      </c>
      <c r="E156" s="135">
        <v>6</v>
      </c>
      <c r="F156" s="130">
        <f t="shared" si="15"/>
        <v>-5.0955097167871589E-2</v>
      </c>
      <c r="G156" s="130">
        <f t="shared" si="16"/>
        <v>12.372387610958157</v>
      </c>
      <c r="H156" s="130">
        <f t="shared" si="17"/>
        <v>1.1782640173759151</v>
      </c>
      <c r="I156" s="130">
        <f t="shared" si="18"/>
        <v>0.95313739778155615</v>
      </c>
      <c r="J156" s="130"/>
      <c r="K156" s="130"/>
      <c r="L156" s="72">
        <v>-6146</v>
      </c>
      <c r="M156" s="24">
        <v>679</v>
      </c>
      <c r="N156" s="38">
        <v>44200</v>
      </c>
      <c r="O156" s="38">
        <v>236189</v>
      </c>
      <c r="P156" s="38">
        <v>120616</v>
      </c>
      <c r="Q156" s="38">
        <v>-42104</v>
      </c>
      <c r="R156" s="38">
        <v>158415</v>
      </c>
      <c r="S156" s="38">
        <v>119878</v>
      </c>
      <c r="T156" s="38">
        <f t="shared" si="19"/>
        <v>278293</v>
      </c>
    </row>
    <row r="157" spans="1:20" ht="18">
      <c r="A157" s="133" t="s">
        <v>62</v>
      </c>
      <c r="B157" s="133" t="s">
        <v>199</v>
      </c>
      <c r="C157" s="133" t="s">
        <v>201</v>
      </c>
      <c r="D157" s="133">
        <v>1</v>
      </c>
      <c r="E157" s="133">
        <v>2</v>
      </c>
      <c r="F157" s="130">
        <f t="shared" si="15"/>
        <v>-0.67395352603028091</v>
      </c>
      <c r="G157" s="130">
        <f t="shared" si="16"/>
        <v>12.290740027508681</v>
      </c>
      <c r="H157" s="130">
        <f t="shared" si="17"/>
        <v>1.3321756228436494</v>
      </c>
      <c r="I157" s="130">
        <f t="shared" si="18"/>
        <v>-0.11252425091614572</v>
      </c>
      <c r="J157" s="130"/>
      <c r="K157" s="130"/>
      <c r="L157" s="72">
        <v>-41620</v>
      </c>
      <c r="M157" s="24">
        <v>583</v>
      </c>
      <c r="N157" s="38">
        <v>0</v>
      </c>
      <c r="O157" s="38">
        <v>217671</v>
      </c>
      <c r="P157" s="38">
        <v>61755</v>
      </c>
      <c r="Q157" s="38">
        <v>-72305</v>
      </c>
      <c r="R157" s="38">
        <v>234369</v>
      </c>
      <c r="S157" s="38">
        <v>55607</v>
      </c>
      <c r="T157" s="37">
        <f t="shared" si="19"/>
        <v>289976</v>
      </c>
    </row>
    <row r="158" spans="1:20" ht="17">
      <c r="A158" s="133" t="s">
        <v>62</v>
      </c>
      <c r="B158" s="133" t="s">
        <v>199</v>
      </c>
      <c r="C158" s="133" t="s">
        <v>173</v>
      </c>
      <c r="D158" s="133">
        <v>0</v>
      </c>
      <c r="E158" s="135">
        <v>13</v>
      </c>
      <c r="F158" s="130">
        <f t="shared" si="15"/>
        <v>-0.30931953725659267</v>
      </c>
      <c r="G158" s="130">
        <f t="shared" si="16"/>
        <v>12.066764600128197</v>
      </c>
      <c r="H158" s="130">
        <f t="shared" si="17"/>
        <v>1.3717009977470229</v>
      </c>
      <c r="I158" s="130">
        <f>AVERAGE(I154:I157)</f>
        <v>0.2359406622154796</v>
      </c>
      <c r="J158" s="130"/>
      <c r="K158" s="130"/>
      <c r="L158" s="72">
        <v>-21524</v>
      </c>
      <c r="M158" s="24">
        <v>631</v>
      </c>
      <c r="N158" s="38">
        <v>27922</v>
      </c>
      <c r="O158" s="38">
        <v>173992</v>
      </c>
      <c r="P158" s="38">
        <v>69585</v>
      </c>
      <c r="Q158" s="38">
        <v>-64673</v>
      </c>
      <c r="R158" s="38">
        <v>147776</v>
      </c>
      <c r="S158" s="38">
        <v>90889</v>
      </c>
      <c r="T158" s="32">
        <f t="shared" si="19"/>
        <v>238665</v>
      </c>
    </row>
    <row r="159" spans="1:20" ht="17">
      <c r="A159" s="132" t="s">
        <v>65</v>
      </c>
      <c r="B159" s="132" t="s">
        <v>198</v>
      </c>
      <c r="C159" s="132" t="s">
        <v>205</v>
      </c>
      <c r="D159" s="132">
        <v>0</v>
      </c>
      <c r="E159" s="10">
        <v>12</v>
      </c>
      <c r="F159" s="130">
        <f t="shared" si="15"/>
        <v>-3.9816433925243616E-2</v>
      </c>
      <c r="G159" s="130">
        <f t="shared" si="16"/>
        <v>12.299248731593673</v>
      </c>
      <c r="H159" s="130">
        <f t="shared" si="17"/>
        <v>1.0715252060073521</v>
      </c>
      <c r="I159" s="130">
        <f t="shared" si="18"/>
        <v>-0.20956626693661423</v>
      </c>
      <c r="J159" s="130"/>
      <c r="K159" s="130"/>
      <c r="L159" s="99">
        <v>-4850</v>
      </c>
      <c r="M159" s="100">
        <v>163</v>
      </c>
      <c r="N159" s="101">
        <v>30197</v>
      </c>
      <c r="O159" s="101">
        <v>219531</v>
      </c>
      <c r="P159" s="101">
        <v>121809</v>
      </c>
      <c r="Q159" s="101">
        <v>-15703</v>
      </c>
      <c r="R159" s="101">
        <v>86208</v>
      </c>
      <c r="S159" s="101">
        <v>149025</v>
      </c>
      <c r="T159" s="102">
        <f t="shared" si="19"/>
        <v>235233</v>
      </c>
    </row>
    <row r="160" spans="1:20" ht="17">
      <c r="A160" s="132" t="s">
        <v>65</v>
      </c>
      <c r="B160" s="132" t="s">
        <v>198</v>
      </c>
      <c r="C160" s="132" t="s">
        <v>203</v>
      </c>
      <c r="D160" s="132">
        <v>0</v>
      </c>
      <c r="E160" s="10">
        <v>17</v>
      </c>
      <c r="F160" s="130">
        <f t="shared" si="15"/>
        <v>6.6390229974562634E-2</v>
      </c>
      <c r="G160" s="130">
        <f t="shared" si="16"/>
        <v>12.255762404942441</v>
      </c>
      <c r="H160" s="130">
        <f t="shared" si="17"/>
        <v>1.0260289548929773</v>
      </c>
      <c r="I160" s="130">
        <f t="shared" si="18"/>
        <v>1.367407134298092</v>
      </c>
      <c r="J160" s="130"/>
      <c r="K160" s="130"/>
      <c r="L160" s="99">
        <v>10231</v>
      </c>
      <c r="M160" s="100">
        <v>171</v>
      </c>
      <c r="N160" s="101">
        <v>17749</v>
      </c>
      <c r="O160" s="101">
        <v>210189</v>
      </c>
      <c r="P160" s="101">
        <v>154104</v>
      </c>
      <c r="Q160" s="101">
        <v>-5472</v>
      </c>
      <c r="R160" s="101">
        <v>77071</v>
      </c>
      <c r="S160" s="101">
        <v>138589</v>
      </c>
      <c r="T160" s="102">
        <f t="shared" si="19"/>
        <v>215660</v>
      </c>
    </row>
    <row r="161" spans="1:20" ht="17">
      <c r="A161" s="132" t="s">
        <v>65</v>
      </c>
      <c r="B161" s="132" t="s">
        <v>198</v>
      </c>
      <c r="C161" s="132" t="s">
        <v>202</v>
      </c>
      <c r="D161" s="132">
        <v>0</v>
      </c>
      <c r="E161" s="10">
        <v>17</v>
      </c>
      <c r="F161" s="130">
        <f t="shared" si="15"/>
        <v>-0.51364181030509726</v>
      </c>
      <c r="G161" s="130">
        <f t="shared" si="16"/>
        <v>12.54809019274273</v>
      </c>
      <c r="H161" s="130">
        <f t="shared" si="17"/>
        <v>0.94889489517220316</v>
      </c>
      <c r="I161" s="130">
        <f t="shared" si="18"/>
        <v>-0.12641919639262419</v>
      </c>
      <c r="J161" s="130"/>
      <c r="K161" s="130"/>
      <c r="L161" s="99">
        <v>-33435</v>
      </c>
      <c r="M161" s="100">
        <v>195</v>
      </c>
      <c r="N161" s="101">
        <v>23868</v>
      </c>
      <c r="O161" s="101">
        <v>281557</v>
      </c>
      <c r="P161" s="101">
        <v>65094</v>
      </c>
      <c r="Q161" s="101">
        <v>14389</v>
      </c>
      <c r="R161" s="101">
        <v>136346</v>
      </c>
      <c r="S161" s="101">
        <v>130822</v>
      </c>
      <c r="T161" s="102">
        <f t="shared" si="19"/>
        <v>267168</v>
      </c>
    </row>
    <row r="162" spans="1:20" ht="17">
      <c r="A162" s="132" t="s">
        <v>65</v>
      </c>
      <c r="B162" s="132" t="s">
        <v>198</v>
      </c>
      <c r="C162" s="132" t="s">
        <v>201</v>
      </c>
      <c r="D162" s="132">
        <v>0</v>
      </c>
      <c r="E162" s="132">
        <v>11</v>
      </c>
      <c r="F162" s="130">
        <f t="shared" si="15"/>
        <v>-0.57344928469817757</v>
      </c>
      <c r="G162" s="130">
        <f t="shared" si="16"/>
        <v>12.587374834069179</v>
      </c>
      <c r="H162" s="130">
        <f t="shared" si="17"/>
        <v>0.98400822297652624</v>
      </c>
      <c r="I162" s="130">
        <f t="shared" si="18"/>
        <v>-8.0255751950232046E-2</v>
      </c>
      <c r="J162" s="130"/>
      <c r="K162" s="130"/>
      <c r="L162" s="99">
        <v>-42730</v>
      </c>
      <c r="M162" s="100">
        <v>196</v>
      </c>
      <c r="N162" s="101">
        <v>42892</v>
      </c>
      <c r="O162" s="101">
        <v>292838</v>
      </c>
      <c r="P162" s="101">
        <v>74514</v>
      </c>
      <c r="Q162" s="101">
        <v>4682</v>
      </c>
      <c r="R162" s="101">
        <v>125009</v>
      </c>
      <c r="S162" s="101">
        <v>163146</v>
      </c>
      <c r="T162" s="102">
        <f t="shared" si="19"/>
        <v>288155</v>
      </c>
    </row>
    <row r="163" spans="1:20" ht="17">
      <c r="A163" s="132" t="s">
        <v>65</v>
      </c>
      <c r="B163" s="132" t="s">
        <v>198</v>
      </c>
      <c r="C163" s="132" t="s">
        <v>173</v>
      </c>
      <c r="D163" s="132">
        <v>0</v>
      </c>
      <c r="E163" s="10">
        <v>19</v>
      </c>
      <c r="F163" s="130">
        <f t="shared" si="15"/>
        <v>-0.76193591389355186</v>
      </c>
      <c r="G163" s="130">
        <f t="shared" si="16"/>
        <v>12.634993829674679</v>
      </c>
      <c r="H163" s="130">
        <f t="shared" si="17"/>
        <v>0.9824140401146132</v>
      </c>
      <c r="I163" s="130">
        <f>AVERAGE(I159:I162)</f>
        <v>0.23779147975465537</v>
      </c>
      <c r="J163" s="130"/>
      <c r="K163" s="130"/>
      <c r="L163" s="99">
        <v>-61729</v>
      </c>
      <c r="M163" s="100">
        <v>185</v>
      </c>
      <c r="N163" s="101">
        <v>37917</v>
      </c>
      <c r="O163" s="101">
        <v>307120</v>
      </c>
      <c r="P163" s="101">
        <v>81016</v>
      </c>
      <c r="Q163" s="101">
        <v>5401</v>
      </c>
      <c r="R163" s="101">
        <v>134149</v>
      </c>
      <c r="S163" s="101">
        <v>167570</v>
      </c>
      <c r="T163" s="102">
        <f t="shared" si="19"/>
        <v>301719</v>
      </c>
    </row>
    <row r="164" spans="1:20">
      <c r="A164" s="131" t="s">
        <v>66</v>
      </c>
      <c r="B164" s="131" t="s">
        <v>193</v>
      </c>
      <c r="C164" s="131" t="s">
        <v>205</v>
      </c>
      <c r="D164" s="131">
        <v>0</v>
      </c>
      <c r="E164" s="131">
        <v>8</v>
      </c>
      <c r="F164" s="130">
        <f t="shared" si="15"/>
        <v>8.7861959539865128E-2</v>
      </c>
      <c r="G164" s="130">
        <f t="shared" si="16"/>
        <v>11.546872682269886</v>
      </c>
      <c r="H164" s="130">
        <f t="shared" si="17"/>
        <v>1.4933834688215906</v>
      </c>
      <c r="I164" s="130">
        <f t="shared" si="18"/>
        <v>-0.13173755811951093</v>
      </c>
      <c r="J164" s="130"/>
      <c r="K164" s="130"/>
      <c r="L164" s="75">
        <v>4430</v>
      </c>
      <c r="M164" s="12">
        <v>281</v>
      </c>
      <c r="N164" s="42">
        <v>61534</v>
      </c>
      <c r="O164" s="42">
        <v>103453</v>
      </c>
      <c r="P164" s="42">
        <v>50420</v>
      </c>
      <c r="Q164" s="42">
        <f>O164-T164</f>
        <v>-51042</v>
      </c>
      <c r="R164" s="42">
        <v>56786</v>
      </c>
      <c r="S164" s="42">
        <v>97709</v>
      </c>
      <c r="T164" s="42">
        <f t="shared" si="19"/>
        <v>154495</v>
      </c>
    </row>
    <row r="165" spans="1:20">
      <c r="A165" s="131" t="s">
        <v>66</v>
      </c>
      <c r="B165" s="131" t="s">
        <v>193</v>
      </c>
      <c r="C165" s="131" t="s">
        <v>203</v>
      </c>
      <c r="D165" s="131">
        <v>0</v>
      </c>
      <c r="E165" s="131">
        <v>5</v>
      </c>
      <c r="F165" s="130">
        <f t="shared" si="15"/>
        <v>0.11675563974513518</v>
      </c>
      <c r="G165" s="130">
        <f t="shared" si="16"/>
        <v>12.119790093791975</v>
      </c>
      <c r="H165" s="130">
        <f t="shared" si="17"/>
        <v>0.69738427074078713</v>
      </c>
      <c r="I165" s="130">
        <f t="shared" si="18"/>
        <v>-0.34063812876121269</v>
      </c>
      <c r="J165" s="130"/>
      <c r="K165" s="130"/>
      <c r="L165" s="75">
        <v>6780</v>
      </c>
      <c r="M165" s="12">
        <v>216</v>
      </c>
      <c r="N165" s="42">
        <v>84678</v>
      </c>
      <c r="O165" s="42">
        <v>183467</v>
      </c>
      <c r="P165" s="42">
        <v>58070</v>
      </c>
      <c r="Q165" s="42">
        <f>O165-T165</f>
        <v>55520</v>
      </c>
      <c r="R165" s="42">
        <v>78857</v>
      </c>
      <c r="S165" s="42">
        <v>49090</v>
      </c>
      <c r="T165" s="42">
        <f t="shared" si="19"/>
        <v>127947</v>
      </c>
    </row>
    <row r="166" spans="1:20">
      <c r="A166" s="131" t="s">
        <v>66</v>
      </c>
      <c r="B166" s="131" t="s">
        <v>193</v>
      </c>
      <c r="C166" s="131" t="s">
        <v>202</v>
      </c>
      <c r="D166" s="131">
        <v>0</v>
      </c>
      <c r="E166" s="131">
        <v>8</v>
      </c>
      <c r="F166" s="130">
        <f t="shared" si="15"/>
        <v>0.18894061541955262</v>
      </c>
      <c r="G166" s="130">
        <f t="shared" si="16"/>
        <v>12.815748539217079</v>
      </c>
      <c r="H166" s="130">
        <f t="shared" si="17"/>
        <v>0.66158650096340166</v>
      </c>
      <c r="I166" s="130">
        <f t="shared" si="18"/>
        <v>-0.31434221384862121</v>
      </c>
      <c r="J166" s="130"/>
      <c r="K166" s="130"/>
      <c r="L166" s="75">
        <v>16640</v>
      </c>
      <c r="M166" s="12">
        <v>284</v>
      </c>
      <c r="N166" s="42">
        <v>76548</v>
      </c>
      <c r="O166" s="42">
        <v>367967</v>
      </c>
      <c r="P166" s="42">
        <v>88070</v>
      </c>
      <c r="Q166" s="42">
        <f>O166-T166</f>
        <v>124525</v>
      </c>
      <c r="R166" s="42">
        <v>164567</v>
      </c>
      <c r="S166" s="42">
        <v>78875</v>
      </c>
      <c r="T166" s="42">
        <f t="shared" si="19"/>
        <v>243442</v>
      </c>
    </row>
    <row r="167" spans="1:20" ht="17">
      <c r="A167" s="131" t="s">
        <v>66</v>
      </c>
      <c r="B167" s="131" t="s">
        <v>193</v>
      </c>
      <c r="C167" s="131" t="s">
        <v>201</v>
      </c>
      <c r="D167" s="131">
        <v>0</v>
      </c>
      <c r="E167" s="131">
        <v>15</v>
      </c>
      <c r="F167" s="130">
        <f t="shared" si="15"/>
        <v>-0.11059122121358392</v>
      </c>
      <c r="G167" s="130">
        <f t="shared" si="16"/>
        <v>12.196168763598237</v>
      </c>
      <c r="H167" s="130">
        <f t="shared" si="17"/>
        <v>0.591292184478031</v>
      </c>
      <c r="I167" s="130">
        <f t="shared" si="18"/>
        <v>-0.29794816296636384</v>
      </c>
      <c r="J167" s="130"/>
      <c r="K167" s="130"/>
      <c r="L167" s="94">
        <v>-14205</v>
      </c>
      <c r="M167" s="98">
        <v>334</v>
      </c>
      <c r="N167" s="96">
        <v>0</v>
      </c>
      <c r="O167" s="96">
        <v>198029</v>
      </c>
      <c r="P167" s="96">
        <v>128446</v>
      </c>
      <c r="Q167" s="96">
        <v>80936</v>
      </c>
      <c r="R167" s="96">
        <v>29431</v>
      </c>
      <c r="S167" s="96">
        <v>87662</v>
      </c>
      <c r="T167" s="42">
        <f t="shared" si="19"/>
        <v>117093</v>
      </c>
    </row>
    <row r="168" spans="1:20" ht="17">
      <c r="A168" s="131" t="s">
        <v>66</v>
      </c>
      <c r="B168" s="131" t="s">
        <v>193</v>
      </c>
      <c r="C168" s="131" t="s">
        <v>173</v>
      </c>
      <c r="D168" s="131">
        <v>0</v>
      </c>
      <c r="E168" s="131">
        <v>15</v>
      </c>
      <c r="F168" s="130">
        <f t="shared" si="15"/>
        <v>-4.0610413318903794E-3</v>
      </c>
      <c r="G168" s="130">
        <f t="shared" si="16"/>
        <v>12.497110331607818</v>
      </c>
      <c r="H168" s="130">
        <f t="shared" si="17"/>
        <v>0.70027993407160183</v>
      </c>
      <c r="I168" s="130">
        <f>AVERAGE(I164:I167)</f>
        <v>-0.27116651592392715</v>
      </c>
      <c r="J168" s="130"/>
      <c r="K168" s="130"/>
      <c r="L168" s="94">
        <v>-743</v>
      </c>
      <c r="M168" s="98">
        <v>394</v>
      </c>
      <c r="N168" s="96">
        <v>1441</v>
      </c>
      <c r="O168" s="96">
        <v>267563</v>
      </c>
      <c r="P168" s="96">
        <v>182958</v>
      </c>
      <c r="Q168" s="96">
        <v>80193</v>
      </c>
      <c r="R168" s="96">
        <v>81987</v>
      </c>
      <c r="S168" s="96">
        <v>105382</v>
      </c>
      <c r="T168" s="42">
        <f t="shared" si="19"/>
        <v>187369</v>
      </c>
    </row>
    <row r="169" spans="1:20" ht="18">
      <c r="A169" s="133" t="s">
        <v>153</v>
      </c>
      <c r="B169" s="133" t="s">
        <v>199</v>
      </c>
      <c r="C169" s="133" t="s">
        <v>173</v>
      </c>
      <c r="D169" s="133">
        <v>0</v>
      </c>
      <c r="E169" s="135">
        <v>16</v>
      </c>
      <c r="F169" s="130">
        <f t="shared" si="15"/>
        <v>-2.6273777340869993</v>
      </c>
      <c r="G169" s="130">
        <f t="shared" si="16"/>
        <v>11.158177235153772</v>
      </c>
      <c r="H169" s="130">
        <f t="shared" si="17"/>
        <v>1.6427461324588295</v>
      </c>
      <c r="I169" s="130">
        <v>1.8504329999999999E-2</v>
      </c>
      <c r="J169" s="130"/>
      <c r="K169" s="130"/>
      <c r="L169" s="118">
        <v>-53454</v>
      </c>
      <c r="M169" s="21">
        <v>124</v>
      </c>
      <c r="N169" s="40">
        <v>5324</v>
      </c>
      <c r="O169" s="40">
        <v>70135</v>
      </c>
      <c r="P169" s="40">
        <v>20345</v>
      </c>
      <c r="Q169" s="40">
        <f>O169-T169</f>
        <v>-45079</v>
      </c>
      <c r="R169" s="40">
        <v>89765</v>
      </c>
      <c r="S169" s="32">
        <v>25449</v>
      </c>
      <c r="T169" s="32">
        <f t="shared" si="19"/>
        <v>115214</v>
      </c>
    </row>
    <row r="170" spans="1:20" ht="17">
      <c r="A170" s="131" t="s">
        <v>67</v>
      </c>
      <c r="B170" s="131" t="s">
        <v>193</v>
      </c>
      <c r="C170" s="131" t="s">
        <v>205</v>
      </c>
      <c r="D170" s="131">
        <v>0</v>
      </c>
      <c r="E170" s="131">
        <v>10</v>
      </c>
      <c r="F170" s="130">
        <f t="shared" si="15"/>
        <v>-9.2119772669437619E-3</v>
      </c>
      <c r="G170" s="130">
        <f t="shared" si="16"/>
        <v>12.069490890992887</v>
      </c>
      <c r="H170" s="130">
        <f t="shared" si="17"/>
        <v>0.69984581611422214</v>
      </c>
      <c r="I170" s="130">
        <f t="shared" si="18"/>
        <v>-2.6989105315285571E-2</v>
      </c>
      <c r="J170" s="130"/>
      <c r="K170" s="130"/>
      <c r="L170" s="75">
        <v>-543</v>
      </c>
      <c r="M170" s="12">
        <v>234</v>
      </c>
      <c r="N170" s="42">
        <v>9674</v>
      </c>
      <c r="O170" s="42">
        <v>174467</v>
      </c>
      <c r="P170" s="42">
        <v>58945</v>
      </c>
      <c r="Q170" s="110">
        <f>O170-T170</f>
        <v>52367</v>
      </c>
      <c r="R170" s="110">
        <v>46735</v>
      </c>
      <c r="S170" s="110">
        <v>75365</v>
      </c>
      <c r="T170" s="42">
        <f t="shared" si="19"/>
        <v>122100</v>
      </c>
    </row>
    <row r="171" spans="1:20">
      <c r="A171" s="131" t="s">
        <v>67</v>
      </c>
      <c r="B171" s="131" t="s">
        <v>193</v>
      </c>
      <c r="C171" s="131" t="s">
        <v>203</v>
      </c>
      <c r="D171" s="131">
        <v>0</v>
      </c>
      <c r="E171" s="131">
        <v>18</v>
      </c>
      <c r="F171" s="130">
        <f t="shared" si="15"/>
        <v>-3.3014196104324861E-4</v>
      </c>
      <c r="G171" s="130">
        <f t="shared" si="16"/>
        <v>11.772570651478114</v>
      </c>
      <c r="H171" s="130">
        <f t="shared" si="17"/>
        <v>0.57439817350189359</v>
      </c>
      <c r="I171" s="130">
        <v>5.3461643000000003E-2</v>
      </c>
      <c r="J171" s="130"/>
      <c r="K171" s="130"/>
      <c r="L171" s="75">
        <v>-20</v>
      </c>
      <c r="M171" s="12">
        <v>168</v>
      </c>
      <c r="N171" s="42">
        <v>57878</v>
      </c>
      <c r="O171" s="42">
        <v>129647</v>
      </c>
      <c r="P171" s="42">
        <v>60580</v>
      </c>
      <c r="Q171" s="42">
        <f>O171-T171</f>
        <v>55178</v>
      </c>
      <c r="R171" s="42">
        <v>50773</v>
      </c>
      <c r="S171" s="42">
        <v>23696</v>
      </c>
      <c r="T171" s="42">
        <f t="shared" si="19"/>
        <v>74469</v>
      </c>
    </row>
    <row r="172" spans="1:20" ht="17">
      <c r="A172" s="134" t="s">
        <v>68</v>
      </c>
      <c r="B172" s="134" t="s">
        <v>200</v>
      </c>
      <c r="C172" s="134" t="s">
        <v>205</v>
      </c>
      <c r="D172" s="134">
        <v>0</v>
      </c>
      <c r="E172" s="15">
        <v>6</v>
      </c>
      <c r="F172" s="130">
        <f t="shared" si="15"/>
        <v>-0.16328725864572688</v>
      </c>
      <c r="G172" s="130">
        <f t="shared" si="16"/>
        <v>12.799167419682593</v>
      </c>
      <c r="H172" s="130">
        <f t="shared" si="17"/>
        <v>0.82822809712751022</v>
      </c>
      <c r="I172" s="130">
        <f t="shared" si="18"/>
        <v>-0.14211230563373783</v>
      </c>
      <c r="J172" s="130"/>
      <c r="K172" s="130"/>
      <c r="L172" s="72">
        <v>-3036</v>
      </c>
      <c r="M172" s="24" t="s">
        <v>197</v>
      </c>
      <c r="N172" s="38">
        <v>3055</v>
      </c>
      <c r="O172" s="38">
        <v>361916</v>
      </c>
      <c r="P172" s="38">
        <v>18593</v>
      </c>
      <c r="Q172" s="38">
        <v>62167</v>
      </c>
      <c r="R172" s="38">
        <v>278978</v>
      </c>
      <c r="S172" s="38">
        <v>20771</v>
      </c>
      <c r="T172" s="32">
        <v>299749</v>
      </c>
    </row>
    <row r="173" spans="1:20" ht="17">
      <c r="A173" s="134" t="s">
        <v>68</v>
      </c>
      <c r="B173" s="134" t="s">
        <v>200</v>
      </c>
      <c r="C173" s="134" t="s">
        <v>203</v>
      </c>
      <c r="D173" s="134">
        <v>0</v>
      </c>
      <c r="E173" s="15">
        <v>14</v>
      </c>
      <c r="F173" s="130">
        <f t="shared" si="15"/>
        <v>-0.12836247866008396</v>
      </c>
      <c r="G173" s="130">
        <f t="shared" si="16"/>
        <v>12.752536611876987</v>
      </c>
      <c r="H173" s="130">
        <f t="shared" si="17"/>
        <v>0.83531976365483884</v>
      </c>
      <c r="I173" s="130">
        <f t="shared" si="18"/>
        <v>0.53101158519355751</v>
      </c>
      <c r="J173" s="130"/>
      <c r="K173" s="130"/>
      <c r="L173" s="72">
        <v>-2782</v>
      </c>
      <c r="M173" s="24" t="s">
        <v>197</v>
      </c>
      <c r="N173" s="38">
        <v>3500</v>
      </c>
      <c r="O173" s="38">
        <v>345427</v>
      </c>
      <c r="P173" s="38">
        <v>21673</v>
      </c>
      <c r="Q173" s="38">
        <v>56885</v>
      </c>
      <c r="R173" s="38">
        <v>271835</v>
      </c>
      <c r="S173" s="38">
        <v>16707</v>
      </c>
      <c r="T173" s="32">
        <v>288542</v>
      </c>
    </row>
    <row r="174" spans="1:20" ht="17">
      <c r="A174" s="134" t="s">
        <v>68</v>
      </c>
      <c r="B174" s="134" t="s">
        <v>200</v>
      </c>
      <c r="C174" s="134" t="s">
        <v>202</v>
      </c>
      <c r="D174" s="134">
        <v>0</v>
      </c>
      <c r="E174" s="15">
        <v>12</v>
      </c>
      <c r="F174" s="130">
        <f t="shared" si="15"/>
        <v>-8.3922011867759258E-2</v>
      </c>
      <c r="G174" s="130">
        <f t="shared" si="16"/>
        <v>12.718554896331538</v>
      </c>
      <c r="H174" s="130">
        <f t="shared" si="17"/>
        <v>0.84067316389426328</v>
      </c>
      <c r="I174" s="130">
        <f t="shared" si="18"/>
        <v>-0.13121394378298759</v>
      </c>
      <c r="J174" s="130"/>
      <c r="K174" s="130"/>
      <c r="L174" s="72">
        <v>-1188</v>
      </c>
      <c r="M174" s="24">
        <v>12</v>
      </c>
      <c r="N174" s="38">
        <v>3237</v>
      </c>
      <c r="O174" s="38">
        <v>333886</v>
      </c>
      <c r="P174" s="38">
        <v>14156</v>
      </c>
      <c r="Q174" s="38">
        <v>53197</v>
      </c>
      <c r="R174" s="38">
        <v>263207</v>
      </c>
      <c r="S174" s="38">
        <v>17482</v>
      </c>
      <c r="T174" s="32">
        <v>280689</v>
      </c>
    </row>
    <row r="175" spans="1:20" ht="17">
      <c r="A175" s="134" t="s">
        <v>68</v>
      </c>
      <c r="B175" s="134" t="s">
        <v>200</v>
      </c>
      <c r="C175" s="134" t="s">
        <v>201</v>
      </c>
      <c r="D175" s="134">
        <v>0</v>
      </c>
      <c r="E175" s="15">
        <v>12</v>
      </c>
      <c r="F175" s="130">
        <f t="shared" si="15"/>
        <v>-6.5300110470111694E-2</v>
      </c>
      <c r="G175" s="130">
        <f t="shared" si="16"/>
        <v>12.683194629069202</v>
      </c>
      <c r="H175" s="130">
        <f t="shared" si="17"/>
        <v>0.845997033690573</v>
      </c>
      <c r="I175" s="130">
        <f t="shared" si="18"/>
        <v>-0.20895232546849207</v>
      </c>
      <c r="J175" s="130"/>
      <c r="K175" s="130"/>
      <c r="L175" s="72">
        <v>-1064</v>
      </c>
      <c r="M175" s="24" t="s">
        <v>197</v>
      </c>
      <c r="N175" s="38">
        <v>3332</v>
      </c>
      <c r="O175" s="38">
        <v>322286</v>
      </c>
      <c r="P175" s="38">
        <v>16294</v>
      </c>
      <c r="Q175" s="38">
        <v>49633</v>
      </c>
      <c r="R175" s="38">
        <v>253831</v>
      </c>
      <c r="S175" s="38">
        <v>18821</v>
      </c>
      <c r="T175" s="32">
        <v>272653</v>
      </c>
    </row>
    <row r="176" spans="1:20" ht="17">
      <c r="A176" s="134" t="s">
        <v>68</v>
      </c>
      <c r="B176" s="134" t="s">
        <v>200</v>
      </c>
      <c r="C176" s="134" t="s">
        <v>173</v>
      </c>
      <c r="D176" s="134">
        <v>0</v>
      </c>
      <c r="E176" s="15">
        <v>20</v>
      </c>
      <c r="F176" s="130">
        <f t="shared" si="15"/>
        <v>-9.5106321002039029E-2</v>
      </c>
      <c r="G176" s="130">
        <f t="shared" si="16"/>
        <v>12.650687951484962</v>
      </c>
      <c r="H176" s="130">
        <f t="shared" si="17"/>
        <v>0.85520132829879025</v>
      </c>
      <c r="I176" s="130">
        <v>1.2183252577084996E-2</v>
      </c>
      <c r="J176" s="130"/>
      <c r="K176" s="130"/>
      <c r="L176" s="72">
        <v>-1959</v>
      </c>
      <c r="M176" s="24" t="s">
        <v>197</v>
      </c>
      <c r="N176" s="38">
        <v>3779</v>
      </c>
      <c r="O176" s="38">
        <v>311978</v>
      </c>
      <c r="P176" s="38">
        <v>20598</v>
      </c>
      <c r="Q176" s="38">
        <v>45174</v>
      </c>
      <c r="R176" s="38">
        <v>121871</v>
      </c>
      <c r="S176" s="38">
        <v>144933</v>
      </c>
      <c r="T176" s="32">
        <v>266804</v>
      </c>
    </row>
    <row r="177" spans="1:20" ht="18">
      <c r="A177" s="133" t="s">
        <v>71</v>
      </c>
      <c r="B177" s="133" t="s">
        <v>199</v>
      </c>
      <c r="C177" s="133" t="s">
        <v>201</v>
      </c>
      <c r="D177" s="133">
        <v>0</v>
      </c>
      <c r="E177" s="133">
        <v>6</v>
      </c>
      <c r="F177" s="130">
        <f t="shared" si="15"/>
        <v>-0.87641468833238345</v>
      </c>
      <c r="G177" s="130">
        <f t="shared" si="16"/>
        <v>11.536104737917634</v>
      </c>
      <c r="H177" s="130">
        <f t="shared" si="17"/>
        <v>1.3230055205432605</v>
      </c>
      <c r="I177" s="130">
        <f t="shared" si="18"/>
        <v>-4.2222296491873042E-2</v>
      </c>
      <c r="J177" s="130"/>
      <c r="K177" s="130"/>
      <c r="L177" s="82">
        <v>-75348</v>
      </c>
      <c r="M177" s="5"/>
      <c r="N177" s="44">
        <v>52341</v>
      </c>
      <c r="O177" s="50">
        <v>102345</v>
      </c>
      <c r="P177" s="32">
        <v>85973</v>
      </c>
      <c r="Q177" s="51">
        <f>O177-T177</f>
        <v>-33058</v>
      </c>
      <c r="R177" s="38"/>
      <c r="S177" s="38"/>
      <c r="T177" s="38">
        <v>135403</v>
      </c>
    </row>
    <row r="178" spans="1:20" ht="18">
      <c r="A178" s="133" t="s">
        <v>71</v>
      </c>
      <c r="B178" s="133" t="s">
        <v>199</v>
      </c>
      <c r="C178" s="133" t="s">
        <v>173</v>
      </c>
      <c r="D178" s="133">
        <v>0</v>
      </c>
      <c r="E178" s="135">
        <v>12</v>
      </c>
      <c r="F178" s="130">
        <f t="shared" si="15"/>
        <v>-0.83942158795940425</v>
      </c>
      <c r="G178" s="130">
        <f t="shared" si="16"/>
        <v>11.812681848654782</v>
      </c>
      <c r="H178" s="130">
        <f t="shared" si="17"/>
        <v>0.99777700384578338</v>
      </c>
      <c r="I178" s="130">
        <v>6.3244243000000006E-2</v>
      </c>
      <c r="J178" s="130"/>
      <c r="K178" s="130"/>
      <c r="L178" s="77">
        <v>-75349</v>
      </c>
      <c r="M178" s="21"/>
      <c r="N178" s="40">
        <v>54373</v>
      </c>
      <c r="O178" s="32">
        <v>134953</v>
      </c>
      <c r="P178" s="40">
        <v>89763</v>
      </c>
      <c r="Q178" s="40">
        <f>O178-T178</f>
        <v>300</v>
      </c>
      <c r="R178" s="40"/>
      <c r="S178" s="32"/>
      <c r="T178" s="32">
        <v>134653</v>
      </c>
    </row>
    <row r="179" spans="1:20" ht="17">
      <c r="A179" s="132" t="s">
        <v>75</v>
      </c>
      <c r="B179" s="132" t="s">
        <v>198</v>
      </c>
      <c r="C179" s="132" t="s">
        <v>205</v>
      </c>
      <c r="D179" s="132">
        <v>1</v>
      </c>
      <c r="E179" s="10">
        <v>4</v>
      </c>
      <c r="F179" s="130">
        <f t="shared" si="15"/>
        <v>-5.1165739646675694E-2</v>
      </c>
      <c r="G179" s="130">
        <f t="shared" si="16"/>
        <v>13.653364500117695</v>
      </c>
      <c r="H179" s="130">
        <f t="shared" si="17"/>
        <v>0.99549226935366453</v>
      </c>
      <c r="I179" s="130">
        <f t="shared" si="18"/>
        <v>-0.12241078428892992</v>
      </c>
      <c r="J179" s="130"/>
      <c r="K179" s="130"/>
      <c r="L179" s="99">
        <v>-17754</v>
      </c>
      <c r="M179" s="100">
        <v>449</v>
      </c>
      <c r="N179" s="101">
        <v>6251</v>
      </c>
      <c r="O179" s="101">
        <v>850317</v>
      </c>
      <c r="P179" s="101">
        <v>346990</v>
      </c>
      <c r="Q179" s="101">
        <v>3832</v>
      </c>
      <c r="R179" s="101">
        <v>426048</v>
      </c>
      <c r="S179" s="101">
        <v>420436</v>
      </c>
      <c r="T179" s="102">
        <f>R179+S179</f>
        <v>846484</v>
      </c>
    </row>
    <row r="180" spans="1:20" ht="17">
      <c r="A180" s="132" t="s">
        <v>75</v>
      </c>
      <c r="B180" s="132" t="s">
        <v>198</v>
      </c>
      <c r="C180" s="132" t="s">
        <v>203</v>
      </c>
      <c r="D180" s="132">
        <v>1</v>
      </c>
      <c r="E180" s="10">
        <v>4</v>
      </c>
      <c r="F180" s="130">
        <f t="shared" si="15"/>
        <v>-0.12237790535926553</v>
      </c>
      <c r="G180" s="130">
        <f t="shared" si="16"/>
        <v>13.628588032930205</v>
      </c>
      <c r="H180" s="130">
        <f t="shared" si="17"/>
        <v>1.0054912068358592</v>
      </c>
      <c r="I180" s="130">
        <f t="shared" si="18"/>
        <v>6.1820232564384889E-2</v>
      </c>
      <c r="J180" s="130"/>
      <c r="K180" s="130"/>
      <c r="L180" s="99">
        <v>-48387</v>
      </c>
      <c r="M180" s="100">
        <v>463</v>
      </c>
      <c r="N180" s="101">
        <v>6717</v>
      </c>
      <c r="O180" s="101">
        <v>829508</v>
      </c>
      <c r="P180" s="101">
        <v>395390</v>
      </c>
      <c r="Q180" s="101">
        <v>-4555</v>
      </c>
      <c r="R180" s="101">
        <v>604718</v>
      </c>
      <c r="S180" s="101">
        <v>229345</v>
      </c>
      <c r="T180" s="102">
        <f>R180+S180</f>
        <v>834063</v>
      </c>
    </row>
    <row r="181" spans="1:20" ht="17">
      <c r="A181" s="132" t="s">
        <v>75</v>
      </c>
      <c r="B181" s="132" t="s">
        <v>198</v>
      </c>
      <c r="C181" s="132" t="s">
        <v>202</v>
      </c>
      <c r="D181" s="132">
        <v>0</v>
      </c>
      <c r="E181" s="10">
        <v>2</v>
      </c>
      <c r="F181" s="130">
        <f t="shared" si="15"/>
        <v>-0.2749791873674034</v>
      </c>
      <c r="G181" s="130">
        <f t="shared" si="16"/>
        <v>13.726924123040057</v>
      </c>
      <c r="H181" s="130">
        <f t="shared" si="17"/>
        <v>1.0403704448309923</v>
      </c>
      <c r="I181" s="130">
        <f t="shared" si="18"/>
        <v>2.6921634382032388E-2</v>
      </c>
      <c r="J181" s="130"/>
      <c r="K181" s="130"/>
      <c r="L181" s="99">
        <v>-102394</v>
      </c>
      <c r="M181" s="100">
        <v>483</v>
      </c>
      <c r="N181" s="101">
        <v>32278</v>
      </c>
      <c r="O181" s="101">
        <v>915224</v>
      </c>
      <c r="P181" s="101">
        <v>372370</v>
      </c>
      <c r="Q181" s="101">
        <v>-36949</v>
      </c>
      <c r="R181" s="101">
        <v>594912</v>
      </c>
      <c r="S181" s="101">
        <v>357260</v>
      </c>
      <c r="T181" s="102">
        <f>R181+S181</f>
        <v>952172</v>
      </c>
    </row>
    <row r="182" spans="1:20" ht="17">
      <c r="A182" s="132" t="s">
        <v>75</v>
      </c>
      <c r="B182" s="132" t="s">
        <v>198</v>
      </c>
      <c r="C182" s="132" t="s">
        <v>201</v>
      </c>
      <c r="D182" s="132">
        <v>0</v>
      </c>
      <c r="E182" s="132">
        <v>1</v>
      </c>
      <c r="F182" s="130">
        <f t="shared" si="15"/>
        <v>-0.67725753430702029</v>
      </c>
      <c r="G182" s="130">
        <f t="shared" si="16"/>
        <v>13.76769017340655</v>
      </c>
      <c r="H182" s="130">
        <f t="shared" si="17"/>
        <v>0.94393085109172825</v>
      </c>
      <c r="I182" s="130">
        <f t="shared" si="18"/>
        <v>-0.1744311532664575</v>
      </c>
      <c r="J182" s="130"/>
      <c r="K182" s="130"/>
      <c r="L182" s="99">
        <v>-245579</v>
      </c>
      <c r="M182" s="100">
        <v>520</v>
      </c>
      <c r="N182" s="101">
        <v>9321</v>
      </c>
      <c r="O182" s="101">
        <v>953305</v>
      </c>
      <c r="P182" s="101">
        <v>362608</v>
      </c>
      <c r="Q182" s="101">
        <v>53451</v>
      </c>
      <c r="R182" s="101">
        <v>581891</v>
      </c>
      <c r="S182" s="101">
        <v>317963</v>
      </c>
      <c r="T182" s="102">
        <f>R182+S182</f>
        <v>899854</v>
      </c>
    </row>
    <row r="183" spans="1:20" ht="17">
      <c r="A183" s="132" t="s">
        <v>75</v>
      </c>
      <c r="B183" s="132" t="s">
        <v>198</v>
      </c>
      <c r="C183" s="132" t="s">
        <v>173</v>
      </c>
      <c r="D183" s="132">
        <v>1</v>
      </c>
      <c r="E183" s="10">
        <v>2</v>
      </c>
      <c r="F183" s="130">
        <f t="shared" si="15"/>
        <v>-0.31887291620182961</v>
      </c>
      <c r="G183" s="130">
        <f t="shared" si="16"/>
        <v>13.677471879915865</v>
      </c>
      <c r="H183" s="130">
        <f t="shared" si="17"/>
        <v>1.0994242679937778</v>
      </c>
      <c r="I183" s="130">
        <v>-5.2025017652242531E-2</v>
      </c>
      <c r="J183" s="130"/>
      <c r="K183" s="130"/>
      <c r="L183" s="99">
        <v>-140056</v>
      </c>
      <c r="M183" s="100">
        <v>498</v>
      </c>
      <c r="N183" s="101">
        <v>52</v>
      </c>
      <c r="O183" s="101">
        <v>871065</v>
      </c>
      <c r="P183" s="101">
        <v>439222</v>
      </c>
      <c r="Q183" s="101">
        <v>-86605</v>
      </c>
      <c r="R183" s="101">
        <v>613642</v>
      </c>
      <c r="S183" s="101">
        <v>344028</v>
      </c>
      <c r="T183" s="102">
        <f>R183+S183</f>
        <v>957670</v>
      </c>
    </row>
    <row r="184" spans="1:20" ht="18">
      <c r="A184" s="133" t="s">
        <v>76</v>
      </c>
      <c r="B184" s="133" t="s">
        <v>199</v>
      </c>
      <c r="C184" s="133" t="s">
        <v>205</v>
      </c>
      <c r="D184" s="133">
        <v>0</v>
      </c>
      <c r="E184" s="135">
        <v>3</v>
      </c>
      <c r="F184" s="130">
        <f t="shared" si="15"/>
        <v>-0.18107790837630205</v>
      </c>
      <c r="G184" s="130">
        <f t="shared" si="16"/>
        <v>12.368552824277147</v>
      </c>
      <c r="H184" s="130">
        <f t="shared" si="17"/>
        <v>1.0070552733918439</v>
      </c>
      <c r="I184" s="130">
        <f t="shared" si="18"/>
        <v>-0.22670680769650622</v>
      </c>
      <c r="J184" s="130"/>
      <c r="K184" s="130"/>
      <c r="L184" s="88">
        <v>-24372</v>
      </c>
      <c r="M184" s="22"/>
      <c r="N184" s="45">
        <v>54389</v>
      </c>
      <c r="O184" s="32">
        <v>235285</v>
      </c>
      <c r="P184" s="51">
        <v>134594</v>
      </c>
      <c r="Q184" s="40">
        <f>O184-T184</f>
        <v>-1660</v>
      </c>
      <c r="R184" s="40"/>
      <c r="S184" s="40"/>
      <c r="T184" s="32">
        <v>236945</v>
      </c>
    </row>
    <row r="185" spans="1:20" ht="17">
      <c r="A185" s="133" t="s">
        <v>76</v>
      </c>
      <c r="B185" s="133" t="s">
        <v>199</v>
      </c>
      <c r="C185" s="133" t="s">
        <v>203</v>
      </c>
      <c r="D185" s="133">
        <v>0</v>
      </c>
      <c r="E185" s="135">
        <v>2</v>
      </c>
      <c r="F185" s="130">
        <f t="shared" si="15"/>
        <v>0.18581696379838325</v>
      </c>
      <c r="G185" s="130">
        <f t="shared" si="16"/>
        <v>12.156593494063495</v>
      </c>
      <c r="H185" s="130">
        <f t="shared" si="17"/>
        <v>0.75436707031968264</v>
      </c>
      <c r="I185" s="130">
        <f t="shared" si="18"/>
        <v>0.21216109869140393</v>
      </c>
      <c r="J185" s="130"/>
      <c r="K185" s="130"/>
      <c r="L185" s="76">
        <v>32342</v>
      </c>
      <c r="M185" s="23"/>
      <c r="N185" s="39">
        <v>62839</v>
      </c>
      <c r="O185" s="39">
        <v>190345</v>
      </c>
      <c r="P185" s="39">
        <v>174053</v>
      </c>
      <c r="Q185" s="39">
        <f>O185-T185</f>
        <v>46755</v>
      </c>
      <c r="R185" s="39"/>
      <c r="S185" s="39"/>
      <c r="T185" s="32">
        <v>143590</v>
      </c>
    </row>
    <row r="186" spans="1:20" ht="18">
      <c r="A186" s="133" t="s">
        <v>76</v>
      </c>
      <c r="B186" s="133" t="s">
        <v>199</v>
      </c>
      <c r="C186" s="133" t="s">
        <v>202</v>
      </c>
      <c r="D186" s="133">
        <v>1</v>
      </c>
      <c r="E186" s="133">
        <v>1</v>
      </c>
      <c r="F186" s="130">
        <f t="shared" si="15"/>
        <v>-0.37870588972692892</v>
      </c>
      <c r="G186" s="130">
        <f t="shared" si="16"/>
        <v>12.565647381006521</v>
      </c>
      <c r="H186" s="130">
        <f t="shared" si="17"/>
        <v>0.58781897370037406</v>
      </c>
      <c r="I186" s="130">
        <f t="shared" si="18"/>
        <v>-0.23490201093385338</v>
      </c>
      <c r="J186" s="130"/>
      <c r="K186" s="130"/>
      <c r="L186" s="77">
        <v>-54378</v>
      </c>
      <c r="M186" s="5"/>
      <c r="N186" s="32">
        <v>53791</v>
      </c>
      <c r="O186" s="40">
        <v>286544</v>
      </c>
      <c r="P186" s="51">
        <v>143589</v>
      </c>
      <c r="Q186" s="40">
        <f>O186-T186</f>
        <v>118108</v>
      </c>
      <c r="R186" s="40"/>
      <c r="S186" s="40"/>
      <c r="T186" s="40">
        <v>168436</v>
      </c>
    </row>
    <row r="187" spans="1:20" ht="18">
      <c r="A187" s="133" t="s">
        <v>76</v>
      </c>
      <c r="B187" s="133" t="s">
        <v>199</v>
      </c>
      <c r="C187" s="133" t="s">
        <v>201</v>
      </c>
      <c r="D187" s="133">
        <v>1</v>
      </c>
      <c r="E187" s="133">
        <v>12</v>
      </c>
      <c r="F187" s="130">
        <f t="shared" si="15"/>
        <v>-0.28978441339770028</v>
      </c>
      <c r="G187" s="130">
        <f t="shared" si="16"/>
        <v>12.279996672195534</v>
      </c>
      <c r="H187" s="130">
        <f t="shared" si="17"/>
        <v>1.1416331932480439</v>
      </c>
      <c r="I187" s="130">
        <f t="shared" si="18"/>
        <v>1.100083925474179</v>
      </c>
      <c r="J187" s="130"/>
      <c r="K187" s="130"/>
      <c r="L187" s="82">
        <v>-54385</v>
      </c>
      <c r="M187" s="5"/>
      <c r="N187" s="44">
        <v>135749</v>
      </c>
      <c r="O187" s="50">
        <v>215345</v>
      </c>
      <c r="P187" s="32">
        <v>187674</v>
      </c>
      <c r="Q187" s="51">
        <f>O187-T187</f>
        <v>-30500</v>
      </c>
      <c r="R187" s="38"/>
      <c r="S187" s="38"/>
      <c r="T187" s="38">
        <v>245845</v>
      </c>
    </row>
    <row r="188" spans="1:20" ht="18">
      <c r="A188" s="133" t="s">
        <v>76</v>
      </c>
      <c r="B188" s="133" t="s">
        <v>199</v>
      </c>
      <c r="C188" s="133" t="s">
        <v>173</v>
      </c>
      <c r="D188" s="133">
        <v>1</v>
      </c>
      <c r="E188" s="135">
        <v>4</v>
      </c>
      <c r="F188" s="130">
        <f t="shared" si="15"/>
        <v>-0.738242041067532</v>
      </c>
      <c r="G188" s="130">
        <f t="shared" si="16"/>
        <v>11.774027394566664</v>
      </c>
      <c r="H188" s="130">
        <f t="shared" si="17"/>
        <v>1.4217397332018855</v>
      </c>
      <c r="I188" s="130">
        <v>0.21265905138380584</v>
      </c>
      <c r="J188" s="130"/>
      <c r="K188" s="130"/>
      <c r="L188" s="77">
        <v>-65973</v>
      </c>
      <c r="M188" s="21"/>
      <c r="N188" s="40">
        <v>49567</v>
      </c>
      <c r="O188" s="40">
        <v>129836</v>
      </c>
      <c r="P188" s="40">
        <v>89365</v>
      </c>
      <c r="Q188" s="40">
        <f>O188-T188</f>
        <v>-54757</v>
      </c>
      <c r="R188" s="40"/>
      <c r="S188" s="32"/>
      <c r="T188" s="32">
        <v>184593</v>
      </c>
    </row>
    <row r="189" spans="1:20" ht="17">
      <c r="A189" s="132" t="s">
        <v>77</v>
      </c>
      <c r="B189" s="132" t="s">
        <v>198</v>
      </c>
      <c r="C189" s="132" t="s">
        <v>205</v>
      </c>
      <c r="D189" s="132">
        <v>0</v>
      </c>
      <c r="E189" s="10">
        <v>1</v>
      </c>
      <c r="F189" s="130">
        <f t="shared" si="15"/>
        <v>-3.8104183137858676E-2</v>
      </c>
      <c r="G189" s="130">
        <f t="shared" si="16"/>
        <v>13.557604739837775</v>
      </c>
      <c r="H189" s="130">
        <f t="shared" si="17"/>
        <v>0.90675814191865067</v>
      </c>
      <c r="I189" s="130">
        <f t="shared" si="18"/>
        <v>-0.18792480883602378</v>
      </c>
      <c r="J189" s="130"/>
      <c r="K189" s="130"/>
      <c r="L189" s="99">
        <v>-19230</v>
      </c>
      <c r="M189" s="100">
        <v>236</v>
      </c>
      <c r="N189" s="101">
        <v>52393</v>
      </c>
      <c r="O189" s="101">
        <v>772668</v>
      </c>
      <c r="P189" s="101">
        <v>504669</v>
      </c>
      <c r="Q189" s="101">
        <v>72045</v>
      </c>
      <c r="R189" s="101">
        <v>387945</v>
      </c>
      <c r="S189" s="101">
        <v>312678</v>
      </c>
      <c r="T189" s="102">
        <f>R189+S189</f>
        <v>700623</v>
      </c>
    </row>
    <row r="190" spans="1:20" ht="17">
      <c r="A190" s="132" t="s">
        <v>77</v>
      </c>
      <c r="B190" s="132" t="s">
        <v>198</v>
      </c>
      <c r="C190" s="132" t="s">
        <v>203</v>
      </c>
      <c r="D190" s="132">
        <v>0</v>
      </c>
      <c r="E190" s="10">
        <v>1</v>
      </c>
      <c r="F190" s="130">
        <f t="shared" si="15"/>
        <v>-6.4196017095337399E-2</v>
      </c>
      <c r="G190" s="130">
        <f t="shared" si="16"/>
        <v>13.755505744027245</v>
      </c>
      <c r="H190" s="130">
        <f t="shared" si="17"/>
        <v>0.96682594291539248</v>
      </c>
      <c r="I190" s="130">
        <f t="shared" si="18"/>
        <v>8.376349786545384E-2</v>
      </c>
      <c r="J190" s="130"/>
      <c r="K190" s="130"/>
      <c r="L190" s="99">
        <v>-39895</v>
      </c>
      <c r="M190" s="100">
        <v>250</v>
      </c>
      <c r="N190" s="101">
        <v>41832</v>
      </c>
      <c r="O190" s="101">
        <v>941760</v>
      </c>
      <c r="P190" s="101">
        <v>621456</v>
      </c>
      <c r="Q190" s="101">
        <v>31242</v>
      </c>
      <c r="R190" s="101">
        <v>519951</v>
      </c>
      <c r="S190" s="101">
        <v>390567</v>
      </c>
      <c r="T190" s="102">
        <f>R190+S190</f>
        <v>910518</v>
      </c>
    </row>
    <row r="191" spans="1:20" ht="17">
      <c r="A191" s="132" t="s">
        <v>77</v>
      </c>
      <c r="B191" s="132" t="s">
        <v>198</v>
      </c>
      <c r="C191" s="132" t="s">
        <v>202</v>
      </c>
      <c r="D191" s="132">
        <v>0</v>
      </c>
      <c r="E191" s="10">
        <v>1</v>
      </c>
      <c r="F191" s="130">
        <f t="shared" si="15"/>
        <v>-0.15639736041742236</v>
      </c>
      <c r="G191" s="130">
        <f t="shared" si="16"/>
        <v>13.978374028101106</v>
      </c>
      <c r="H191" s="130">
        <f t="shared" si="17"/>
        <v>0.79674579140028345</v>
      </c>
      <c r="I191" s="130">
        <f t="shared" si="18"/>
        <v>0.19286391852086071</v>
      </c>
      <c r="J191" s="130"/>
      <c r="K191" s="130"/>
      <c r="L191" s="99">
        <v>-89682</v>
      </c>
      <c r="M191" s="100">
        <v>270</v>
      </c>
      <c r="N191" s="101">
        <v>127598</v>
      </c>
      <c r="O191" s="101">
        <v>1176876</v>
      </c>
      <c r="P191" s="101">
        <v>573424</v>
      </c>
      <c r="Q191" s="101">
        <v>239205</v>
      </c>
      <c r="R191" s="101">
        <v>502738</v>
      </c>
      <c r="S191" s="101">
        <v>434933</v>
      </c>
      <c r="T191" s="102">
        <f>R191+S191</f>
        <v>937671</v>
      </c>
    </row>
    <row r="192" spans="1:20" ht="17">
      <c r="A192" s="132" t="s">
        <v>77</v>
      </c>
      <c r="B192" s="132" t="s">
        <v>198</v>
      </c>
      <c r="C192" s="132" t="s">
        <v>201</v>
      </c>
      <c r="D192" s="132">
        <v>0</v>
      </c>
      <c r="E192" s="132">
        <v>4</v>
      </c>
      <c r="F192" s="130">
        <f t="shared" si="15"/>
        <v>-0.43661277438466273</v>
      </c>
      <c r="G192" s="130">
        <f t="shared" si="16"/>
        <v>13.718791486137523</v>
      </c>
      <c r="H192" s="130">
        <f t="shared" si="17"/>
        <v>0.96867299470925117</v>
      </c>
      <c r="I192" s="130">
        <f t="shared" si="18"/>
        <v>8.1362207930391436E-2</v>
      </c>
      <c r="J192" s="130"/>
      <c r="K192" s="130"/>
      <c r="L192" s="99">
        <v>-209885</v>
      </c>
      <c r="M192" s="100">
        <v>270</v>
      </c>
      <c r="N192" s="101">
        <v>48416</v>
      </c>
      <c r="O192" s="101">
        <v>907811</v>
      </c>
      <c r="P192" s="101">
        <v>480712</v>
      </c>
      <c r="Q192" s="101">
        <v>28439</v>
      </c>
      <c r="R192" s="101">
        <v>499212</v>
      </c>
      <c r="S192" s="101">
        <v>380160</v>
      </c>
      <c r="T192" s="102">
        <f>R192+S192</f>
        <v>879372</v>
      </c>
    </row>
    <row r="193" spans="1:20" ht="17">
      <c r="A193" s="132" t="s">
        <v>77</v>
      </c>
      <c r="B193" s="132" t="s">
        <v>198</v>
      </c>
      <c r="C193" s="132" t="s">
        <v>173</v>
      </c>
      <c r="D193" s="132">
        <v>1</v>
      </c>
      <c r="E193" s="10">
        <v>4</v>
      </c>
      <c r="F193" s="130">
        <f t="shared" si="15"/>
        <v>-0.57207739183835982</v>
      </c>
      <c r="G193" s="130">
        <f t="shared" si="16"/>
        <v>13.744760786889824</v>
      </c>
      <c r="H193" s="130">
        <f t="shared" si="17"/>
        <v>0.8181443498140486</v>
      </c>
      <c r="I193" s="130">
        <v>4.2516203870170549E-2</v>
      </c>
      <c r="J193" s="130"/>
      <c r="K193" s="130"/>
      <c r="L193" s="99">
        <v>-254313</v>
      </c>
      <c r="M193" s="100">
        <v>281</v>
      </c>
      <c r="N193" s="101">
        <v>10058</v>
      </c>
      <c r="O193" s="101">
        <v>931695</v>
      </c>
      <c r="P193" s="101">
        <v>444543</v>
      </c>
      <c r="Q193" s="101">
        <v>169434</v>
      </c>
      <c r="R193" s="101">
        <v>382773</v>
      </c>
      <c r="S193" s="101">
        <v>379488</v>
      </c>
      <c r="T193" s="102">
        <f>R193+S193</f>
        <v>762261</v>
      </c>
    </row>
    <row r="194" spans="1:20" ht="18">
      <c r="A194" s="133" t="s">
        <v>78</v>
      </c>
      <c r="B194" s="133" t="s">
        <v>199</v>
      </c>
      <c r="C194" s="133" t="s">
        <v>205</v>
      </c>
      <c r="D194" s="133">
        <v>0</v>
      </c>
      <c r="E194" s="135">
        <v>18</v>
      </c>
      <c r="F194" s="130">
        <f t="shared" ref="F194:F257" si="20">L194/P194</f>
        <v>-3.4882784177878032E-2</v>
      </c>
      <c r="G194" s="130">
        <f t="shared" ref="G194:G257" si="21">LN(O194)</f>
        <v>11.475763431281461</v>
      </c>
      <c r="H194" s="130">
        <f t="shared" ref="H194:H257" si="22">T194/O194</f>
        <v>1.3962657754898704</v>
      </c>
      <c r="I194" s="130">
        <v>0.62340932000000004</v>
      </c>
      <c r="J194" s="130"/>
      <c r="K194" s="130"/>
      <c r="L194" s="88">
        <v>-4763</v>
      </c>
      <c r="M194" s="22"/>
      <c r="N194" s="45">
        <v>24365</v>
      </c>
      <c r="O194" s="32">
        <v>96352</v>
      </c>
      <c r="P194" s="51">
        <v>136543</v>
      </c>
      <c r="Q194" s="40">
        <f t="shared" ref="Q194:Q206" si="23">O194-T194</f>
        <v>-38181</v>
      </c>
      <c r="R194" s="40"/>
      <c r="S194" s="40"/>
      <c r="T194" s="32">
        <v>134533</v>
      </c>
    </row>
    <row r="195" spans="1:20" ht="18">
      <c r="A195" s="133" t="s">
        <v>79</v>
      </c>
      <c r="B195" s="133" t="s">
        <v>199</v>
      </c>
      <c r="C195" s="133" t="s">
        <v>205</v>
      </c>
      <c r="D195" s="133">
        <v>0</v>
      </c>
      <c r="E195" s="135">
        <v>8</v>
      </c>
      <c r="F195" s="130">
        <f t="shared" si="20"/>
        <v>-0.38521085822350754</v>
      </c>
      <c r="G195" s="130">
        <f t="shared" si="21"/>
        <v>11.976238008747531</v>
      </c>
      <c r="H195" s="130">
        <f t="shared" si="22"/>
        <v>0.81385237804609489</v>
      </c>
      <c r="I195" s="130">
        <f t="shared" ref="I195:I258" si="24">IF(A195=A196, (P195-P196)/P196, "")</f>
        <v>-0.31387675763007095</v>
      </c>
      <c r="J195" s="130"/>
      <c r="K195" s="130"/>
      <c r="L195" s="88">
        <v>-52349</v>
      </c>
      <c r="M195" s="22"/>
      <c r="N195" s="45">
        <v>43893</v>
      </c>
      <c r="O195" s="32">
        <v>158933</v>
      </c>
      <c r="P195" s="51">
        <v>135897</v>
      </c>
      <c r="Q195" s="40">
        <f t="shared" si="23"/>
        <v>29585</v>
      </c>
      <c r="R195" s="40"/>
      <c r="S195" s="40"/>
      <c r="T195" s="32">
        <v>129348</v>
      </c>
    </row>
    <row r="196" spans="1:20" ht="18">
      <c r="A196" s="133" t="s">
        <v>79</v>
      </c>
      <c r="B196" s="133" t="s">
        <v>199</v>
      </c>
      <c r="C196" s="133" t="s">
        <v>203</v>
      </c>
      <c r="D196" s="133">
        <v>0</v>
      </c>
      <c r="E196" s="135">
        <v>14</v>
      </c>
      <c r="F196" s="130">
        <f t="shared" si="20"/>
        <v>-0.17429126801807487</v>
      </c>
      <c r="G196" s="130">
        <f t="shared" si="21"/>
        <v>11.971830229049701</v>
      </c>
      <c r="H196" s="130">
        <f t="shared" si="22"/>
        <v>1.2559563684163959</v>
      </c>
      <c r="I196" s="130">
        <f t="shared" si="24"/>
        <v>1.1816689797986473</v>
      </c>
      <c r="J196" s="130"/>
      <c r="K196" s="130"/>
      <c r="L196" s="76">
        <v>-34521</v>
      </c>
      <c r="M196" s="23"/>
      <c r="N196" s="45">
        <v>54376</v>
      </c>
      <c r="O196" s="32">
        <v>158234</v>
      </c>
      <c r="P196" s="51">
        <v>198065</v>
      </c>
      <c r="Q196" s="39">
        <f t="shared" si="23"/>
        <v>-40501</v>
      </c>
      <c r="R196" s="39"/>
      <c r="S196" s="39"/>
      <c r="T196" s="32">
        <v>198735</v>
      </c>
    </row>
    <row r="197" spans="1:20" ht="18">
      <c r="A197" s="133" t="s">
        <v>79</v>
      </c>
      <c r="B197" s="133" t="s">
        <v>199</v>
      </c>
      <c r="C197" s="133" t="s">
        <v>201</v>
      </c>
      <c r="D197" s="133">
        <v>0</v>
      </c>
      <c r="E197" s="133">
        <v>14</v>
      </c>
      <c r="F197" s="130">
        <f t="shared" si="20"/>
        <v>-0.5983521688366048</v>
      </c>
      <c r="G197" s="130">
        <f t="shared" si="21"/>
        <v>11.468377788708915</v>
      </c>
      <c r="H197" s="130">
        <f t="shared" si="22"/>
        <v>1.6361887435567684</v>
      </c>
      <c r="I197" s="130">
        <f t="shared" si="24"/>
        <v>0.97821018455973674</v>
      </c>
      <c r="J197" s="130"/>
      <c r="K197" s="130"/>
      <c r="L197" s="82">
        <v>-54322</v>
      </c>
      <c r="M197" s="5"/>
      <c r="N197" s="32">
        <v>195043</v>
      </c>
      <c r="O197" s="50">
        <v>95643</v>
      </c>
      <c r="P197" s="32">
        <v>90786</v>
      </c>
      <c r="Q197" s="51">
        <f t="shared" si="23"/>
        <v>-60847</v>
      </c>
      <c r="R197" s="38"/>
      <c r="S197" s="38"/>
      <c r="T197" s="38">
        <v>156490</v>
      </c>
    </row>
    <row r="198" spans="1:20" ht="18">
      <c r="A198" s="133" t="s">
        <v>79</v>
      </c>
      <c r="B198" s="133" t="s">
        <v>199</v>
      </c>
      <c r="C198" s="133" t="s">
        <v>173</v>
      </c>
      <c r="D198" s="133">
        <v>0</v>
      </c>
      <c r="E198" s="135">
        <v>11</v>
      </c>
      <c r="F198" s="130">
        <f t="shared" si="20"/>
        <v>-1.2514326803651974</v>
      </c>
      <c r="G198" s="130">
        <f t="shared" si="21"/>
        <v>12.091525618346022</v>
      </c>
      <c r="H198" s="130">
        <f t="shared" si="22"/>
        <v>0.81660069300380145</v>
      </c>
      <c r="I198" s="130">
        <v>0.61533413557610439</v>
      </c>
      <c r="J198" s="130"/>
      <c r="K198" s="130"/>
      <c r="L198" s="77">
        <v>-57432</v>
      </c>
      <c r="M198" s="21"/>
      <c r="N198" s="40">
        <v>35684</v>
      </c>
      <c r="O198" s="32">
        <v>178354</v>
      </c>
      <c r="P198" s="40">
        <v>45893</v>
      </c>
      <c r="Q198" s="40">
        <f t="shared" si="23"/>
        <v>32710</v>
      </c>
      <c r="R198" s="40"/>
      <c r="S198" s="32"/>
      <c r="T198" s="32">
        <v>145644</v>
      </c>
    </row>
    <row r="199" spans="1:20" ht="18">
      <c r="A199" s="133" t="s">
        <v>80</v>
      </c>
      <c r="B199" s="133" t="s">
        <v>199</v>
      </c>
      <c r="C199" s="133" t="s">
        <v>205</v>
      </c>
      <c r="D199" s="133">
        <v>0</v>
      </c>
      <c r="E199" s="135">
        <v>9</v>
      </c>
      <c r="F199" s="130">
        <f t="shared" si="20"/>
        <v>0.10859670077799657</v>
      </c>
      <c r="G199" s="130">
        <f t="shared" si="21"/>
        <v>12.232933637193799</v>
      </c>
      <c r="H199" s="130">
        <f t="shared" si="22"/>
        <v>0.56177565771861082</v>
      </c>
      <c r="I199" s="130">
        <f t="shared" si="24"/>
        <v>8.8545098349278303E-2</v>
      </c>
      <c r="J199" s="130"/>
      <c r="K199" s="130"/>
      <c r="L199" s="88">
        <v>13456</v>
      </c>
      <c r="M199" s="22"/>
      <c r="N199" s="45">
        <v>98035</v>
      </c>
      <c r="O199" s="32">
        <v>205445</v>
      </c>
      <c r="P199" s="32">
        <v>123908</v>
      </c>
      <c r="Q199" s="40">
        <f t="shared" si="23"/>
        <v>90031</v>
      </c>
      <c r="R199" s="32"/>
      <c r="S199" s="32"/>
      <c r="T199" s="32">
        <v>115414</v>
      </c>
    </row>
    <row r="200" spans="1:20" ht="18">
      <c r="A200" s="133" t="s">
        <v>80</v>
      </c>
      <c r="B200" s="133" t="s">
        <v>199</v>
      </c>
      <c r="C200" s="133" t="s">
        <v>203</v>
      </c>
      <c r="D200" s="133">
        <v>0</v>
      </c>
      <c r="E200" s="135">
        <v>12</v>
      </c>
      <c r="F200" s="130">
        <f t="shared" si="20"/>
        <v>0.11011253722689297</v>
      </c>
      <c r="G200" s="130">
        <f t="shared" si="21"/>
        <v>11.809572234182591</v>
      </c>
      <c r="H200" s="130">
        <f t="shared" si="22"/>
        <v>1.3776591790922741</v>
      </c>
      <c r="I200" s="130">
        <f t="shared" si="24"/>
        <v>0.68413499238041697</v>
      </c>
      <c r="J200" s="130"/>
      <c r="K200" s="130"/>
      <c r="L200" s="88">
        <v>12534</v>
      </c>
      <c r="M200" s="22"/>
      <c r="N200" s="45">
        <v>98072</v>
      </c>
      <c r="O200" s="32">
        <v>134534</v>
      </c>
      <c r="P200" s="51">
        <v>113829</v>
      </c>
      <c r="Q200" s="39">
        <f t="shared" si="23"/>
        <v>-50808</v>
      </c>
      <c r="R200" s="40"/>
      <c r="S200" s="40"/>
      <c r="T200" s="32">
        <v>185342</v>
      </c>
    </row>
    <row r="201" spans="1:20" ht="18">
      <c r="A201" s="133" t="s">
        <v>80</v>
      </c>
      <c r="B201" s="133" t="s">
        <v>199</v>
      </c>
      <c r="C201" s="133" t="s">
        <v>201</v>
      </c>
      <c r="D201" s="133">
        <v>0</v>
      </c>
      <c r="E201" s="133">
        <v>17</v>
      </c>
      <c r="F201" s="130">
        <f t="shared" si="20"/>
        <v>-1.1364719111097961</v>
      </c>
      <c r="G201" s="130">
        <f t="shared" si="21"/>
        <v>11.771775870753308</v>
      </c>
      <c r="H201" s="130">
        <f t="shared" si="22"/>
        <v>1.0382804298153523</v>
      </c>
      <c r="I201" s="130">
        <f t="shared" si="24"/>
        <v>0.19740991390001064</v>
      </c>
      <c r="J201" s="130"/>
      <c r="K201" s="130"/>
      <c r="L201" s="82">
        <v>-76813</v>
      </c>
      <c r="M201" s="5"/>
      <c r="N201" s="44">
        <v>126539</v>
      </c>
      <c r="O201" s="50">
        <v>129544</v>
      </c>
      <c r="P201" s="32">
        <v>67589</v>
      </c>
      <c r="Q201" s="51">
        <f t="shared" si="23"/>
        <v>-4959</v>
      </c>
      <c r="R201" s="32"/>
      <c r="S201" s="32"/>
      <c r="T201" s="32">
        <v>134503</v>
      </c>
    </row>
    <row r="202" spans="1:20" ht="18">
      <c r="A202" s="133" t="s">
        <v>80</v>
      </c>
      <c r="B202" s="133" t="s">
        <v>199</v>
      </c>
      <c r="C202" s="133" t="s">
        <v>173</v>
      </c>
      <c r="D202" s="133">
        <v>0</v>
      </c>
      <c r="E202" s="135">
        <v>14</v>
      </c>
      <c r="F202" s="130">
        <f t="shared" si="20"/>
        <v>0.11201856641746094</v>
      </c>
      <c r="G202" s="130">
        <f t="shared" si="21"/>
        <v>11.732350109715686</v>
      </c>
      <c r="H202" s="130">
        <f t="shared" si="22"/>
        <v>0.92619804715102461</v>
      </c>
      <c r="I202" s="130">
        <v>0.3233633348765686</v>
      </c>
      <c r="J202" s="130"/>
      <c r="K202" s="130"/>
      <c r="L202" s="77">
        <v>6323</v>
      </c>
      <c r="M202" s="21"/>
      <c r="N202" s="40">
        <v>64285</v>
      </c>
      <c r="O202" s="40">
        <v>124536</v>
      </c>
      <c r="P202" s="40">
        <v>56446</v>
      </c>
      <c r="Q202" s="40">
        <f t="shared" si="23"/>
        <v>9191</v>
      </c>
      <c r="R202" s="40"/>
      <c r="S202" s="32"/>
      <c r="T202" s="32">
        <v>115345</v>
      </c>
    </row>
    <row r="203" spans="1:20" ht="18">
      <c r="A203" s="133" t="s">
        <v>81</v>
      </c>
      <c r="B203" s="133" t="s">
        <v>199</v>
      </c>
      <c r="C203" s="133" t="s">
        <v>205</v>
      </c>
      <c r="D203" s="133">
        <v>0</v>
      </c>
      <c r="E203" s="135">
        <v>15</v>
      </c>
      <c r="F203" s="130">
        <f t="shared" si="20"/>
        <v>-0.35094333767765157</v>
      </c>
      <c r="G203" s="130">
        <f t="shared" si="21"/>
        <v>12.156015428988804</v>
      </c>
      <c r="H203" s="130">
        <f t="shared" si="22"/>
        <v>0.81707887612689567</v>
      </c>
      <c r="I203" s="130">
        <f t="shared" si="24"/>
        <v>-0.32459012957616595</v>
      </c>
      <c r="J203" s="130"/>
      <c r="K203" s="130"/>
      <c r="L203" s="88">
        <v>-45238</v>
      </c>
      <c r="M203" s="22"/>
      <c r="N203" s="45">
        <v>43290</v>
      </c>
      <c r="O203" s="32">
        <v>190235</v>
      </c>
      <c r="P203" s="38">
        <v>128904</v>
      </c>
      <c r="Q203" s="40">
        <f t="shared" si="23"/>
        <v>34798</v>
      </c>
      <c r="R203" s="38"/>
      <c r="S203" s="32"/>
      <c r="T203" s="32">
        <v>155437</v>
      </c>
    </row>
    <row r="204" spans="1:20" ht="18">
      <c r="A204" s="133" t="s">
        <v>81</v>
      </c>
      <c r="B204" s="133" t="s">
        <v>199</v>
      </c>
      <c r="C204" s="133" t="s">
        <v>203</v>
      </c>
      <c r="D204" s="133">
        <v>0</v>
      </c>
      <c r="E204" s="135">
        <v>8</v>
      </c>
      <c r="F204" s="130">
        <f t="shared" si="20"/>
        <v>-0.39419867646827661</v>
      </c>
      <c r="G204" s="130">
        <f t="shared" si="21"/>
        <v>11.938774730599494</v>
      </c>
      <c r="H204" s="130">
        <f t="shared" si="22"/>
        <v>1.166987830608339</v>
      </c>
      <c r="I204" s="130">
        <f t="shared" si="24"/>
        <v>6.2418987629961293</v>
      </c>
      <c r="J204" s="130"/>
      <c r="K204" s="130"/>
      <c r="L204" s="88">
        <v>-75234</v>
      </c>
      <c r="M204" s="22"/>
      <c r="N204" s="45">
        <v>98523</v>
      </c>
      <c r="O204" s="32">
        <v>153089</v>
      </c>
      <c r="P204" s="51">
        <v>190853</v>
      </c>
      <c r="Q204" s="39">
        <f t="shared" si="23"/>
        <v>-25564</v>
      </c>
      <c r="R204" s="40"/>
      <c r="S204" s="40"/>
      <c r="T204" s="32">
        <v>178653</v>
      </c>
    </row>
    <row r="205" spans="1:20" ht="18">
      <c r="A205" s="133" t="s">
        <v>81</v>
      </c>
      <c r="B205" s="133" t="s">
        <v>199</v>
      </c>
      <c r="C205" s="133" t="s">
        <v>201</v>
      </c>
      <c r="D205" s="133">
        <v>0</v>
      </c>
      <c r="E205" s="133">
        <v>11</v>
      </c>
      <c r="F205" s="130">
        <f t="shared" si="20"/>
        <v>-0.46858161948850269</v>
      </c>
      <c r="G205" s="130">
        <f t="shared" si="21"/>
        <v>11.35549942700905</v>
      </c>
      <c r="H205" s="130">
        <f t="shared" si="22"/>
        <v>1.1521642437437085</v>
      </c>
      <c r="I205" s="130">
        <f t="shared" si="24"/>
        <v>-0.70506076952346841</v>
      </c>
      <c r="J205" s="130"/>
      <c r="K205" s="130"/>
      <c r="L205" s="82">
        <v>-12349</v>
      </c>
      <c r="M205" s="5"/>
      <c r="N205" s="44">
        <v>134943</v>
      </c>
      <c r="O205" s="50">
        <v>85434</v>
      </c>
      <c r="P205" s="32">
        <v>26354</v>
      </c>
      <c r="Q205" s="51">
        <f t="shared" si="23"/>
        <v>-13000</v>
      </c>
      <c r="R205" s="37"/>
      <c r="S205" s="37"/>
      <c r="T205" s="37">
        <v>98434</v>
      </c>
    </row>
    <row r="206" spans="1:20" ht="18">
      <c r="A206" s="133" t="s">
        <v>81</v>
      </c>
      <c r="B206" s="133" t="s">
        <v>199</v>
      </c>
      <c r="C206" s="133" t="s">
        <v>173</v>
      </c>
      <c r="D206" s="133">
        <v>0</v>
      </c>
      <c r="E206" s="135">
        <v>3</v>
      </c>
      <c r="F206" s="130">
        <f t="shared" si="20"/>
        <v>-0.19739463258499898</v>
      </c>
      <c r="G206" s="130">
        <f t="shared" si="21"/>
        <v>12.447700308221537</v>
      </c>
      <c r="H206" s="130">
        <f t="shared" si="22"/>
        <v>1.0387530235918701</v>
      </c>
      <c r="I206" s="130">
        <v>1.737415954632165</v>
      </c>
      <c r="J206" s="130"/>
      <c r="K206" s="130"/>
      <c r="L206" s="77">
        <v>-17638</v>
      </c>
      <c r="M206" s="21"/>
      <c r="N206" s="40">
        <v>82976</v>
      </c>
      <c r="O206" s="40">
        <v>254664</v>
      </c>
      <c r="P206" s="40">
        <v>89354</v>
      </c>
      <c r="Q206" s="40">
        <f t="shared" si="23"/>
        <v>-9869</v>
      </c>
      <c r="R206" s="40"/>
      <c r="S206" s="32"/>
      <c r="T206" s="32">
        <v>264533</v>
      </c>
    </row>
    <row r="207" spans="1:20" ht="17">
      <c r="A207" s="132" t="s">
        <v>83</v>
      </c>
      <c r="B207" s="132" t="s">
        <v>198</v>
      </c>
      <c r="C207" s="132" t="s">
        <v>205</v>
      </c>
      <c r="D207" s="132">
        <v>0</v>
      </c>
      <c r="E207" s="10">
        <v>5</v>
      </c>
      <c r="F207" s="130">
        <f t="shared" si="20"/>
        <v>0.19335662161041545</v>
      </c>
      <c r="G207" s="130">
        <f t="shared" si="21"/>
        <v>12.445640575258526</v>
      </c>
      <c r="H207" s="130">
        <f t="shared" si="22"/>
        <v>0.77350279373573616</v>
      </c>
      <c r="I207" s="130">
        <f t="shared" si="24"/>
        <v>0.28560767590618336</v>
      </c>
      <c r="J207" s="130"/>
      <c r="K207" s="130"/>
      <c r="L207" s="99">
        <v>37307</v>
      </c>
      <c r="M207" s="100">
        <v>188</v>
      </c>
      <c r="N207" s="101">
        <v>0</v>
      </c>
      <c r="O207" s="101">
        <v>254140</v>
      </c>
      <c r="P207" s="101">
        <v>192944</v>
      </c>
      <c r="Q207" s="101">
        <v>57562</v>
      </c>
      <c r="R207" s="101">
        <v>96722</v>
      </c>
      <c r="S207" s="101">
        <v>99856</v>
      </c>
      <c r="T207" s="102">
        <f t="shared" ref="T207:T219" si="25">R207+S207</f>
        <v>196578</v>
      </c>
    </row>
    <row r="208" spans="1:20" ht="17">
      <c r="A208" s="132" t="s">
        <v>83</v>
      </c>
      <c r="B208" s="132" t="s">
        <v>198</v>
      </c>
      <c r="C208" s="132" t="s">
        <v>203</v>
      </c>
      <c r="D208" s="132">
        <v>0</v>
      </c>
      <c r="E208" s="10">
        <v>8</v>
      </c>
      <c r="F208" s="130">
        <f t="shared" si="20"/>
        <v>-8.7693230277185508E-2</v>
      </c>
      <c r="G208" s="130">
        <f t="shared" si="21"/>
        <v>12.444593359928596</v>
      </c>
      <c r="H208" s="130">
        <f t="shared" si="22"/>
        <v>0.83107368222031397</v>
      </c>
      <c r="I208" s="130">
        <f t="shared" si="24"/>
        <v>0.41239800863926818</v>
      </c>
      <c r="J208" s="130"/>
      <c r="K208" s="130"/>
      <c r="L208" s="99">
        <v>-13161</v>
      </c>
      <c r="M208" s="100">
        <v>233</v>
      </c>
      <c r="N208" s="101">
        <v>0</v>
      </c>
      <c r="O208" s="101">
        <v>253874</v>
      </c>
      <c r="P208" s="101">
        <v>150080</v>
      </c>
      <c r="Q208" s="101">
        <v>42886</v>
      </c>
      <c r="R208" s="101">
        <v>95883</v>
      </c>
      <c r="S208" s="101">
        <v>115105</v>
      </c>
      <c r="T208" s="102">
        <f t="shared" si="25"/>
        <v>210988</v>
      </c>
    </row>
    <row r="209" spans="1:20" ht="17">
      <c r="A209" s="132" t="s">
        <v>83</v>
      </c>
      <c r="B209" s="132" t="s">
        <v>198</v>
      </c>
      <c r="C209" s="132" t="s">
        <v>202</v>
      </c>
      <c r="D209" s="132">
        <v>0</v>
      </c>
      <c r="E209" s="10">
        <v>4</v>
      </c>
      <c r="F209" s="130">
        <f t="shared" si="20"/>
        <v>-0.14940852069001215</v>
      </c>
      <c r="G209" s="130">
        <f t="shared" si="21"/>
        <v>12.573129510342019</v>
      </c>
      <c r="H209" s="130">
        <f t="shared" si="22"/>
        <v>0.90662842574888469</v>
      </c>
      <c r="I209" s="130">
        <f t="shared" si="24"/>
        <v>-0.28421499349953855</v>
      </c>
      <c r="J209" s="130"/>
      <c r="K209" s="130"/>
      <c r="L209" s="99">
        <v>-15876</v>
      </c>
      <c r="M209" s="100">
        <v>245</v>
      </c>
      <c r="N209" s="101">
        <v>36535</v>
      </c>
      <c r="O209" s="101">
        <v>288696</v>
      </c>
      <c r="P209" s="101">
        <v>106259</v>
      </c>
      <c r="Q209" s="101">
        <v>26956</v>
      </c>
      <c r="R209" s="101">
        <v>99204</v>
      </c>
      <c r="S209" s="101">
        <v>162536</v>
      </c>
      <c r="T209" s="102">
        <f t="shared" si="25"/>
        <v>261740</v>
      </c>
    </row>
    <row r="210" spans="1:20" ht="17">
      <c r="A210" s="132" t="s">
        <v>83</v>
      </c>
      <c r="B210" s="132" t="s">
        <v>198</v>
      </c>
      <c r="C210" s="132" t="s">
        <v>201</v>
      </c>
      <c r="D210" s="132">
        <v>0</v>
      </c>
      <c r="E210" s="132">
        <v>6</v>
      </c>
      <c r="F210" s="130">
        <f t="shared" si="20"/>
        <v>-0.17278428572390889</v>
      </c>
      <c r="G210" s="130">
        <f t="shared" si="21"/>
        <v>12.720834512117683</v>
      </c>
      <c r="H210" s="130">
        <f t="shared" si="22"/>
        <v>0.7762305467237216</v>
      </c>
      <c r="I210" s="130">
        <f t="shared" si="24"/>
        <v>0.30852629816040689</v>
      </c>
      <c r="J210" s="130"/>
      <c r="K210" s="130"/>
      <c r="L210" s="99">
        <v>-25650</v>
      </c>
      <c r="M210" s="100">
        <v>183</v>
      </c>
      <c r="N210" s="101">
        <v>25675</v>
      </c>
      <c r="O210" s="101">
        <v>334648</v>
      </c>
      <c r="P210" s="101">
        <v>148451</v>
      </c>
      <c r="Q210" s="101">
        <v>74884</v>
      </c>
      <c r="R210" s="101">
        <v>84582</v>
      </c>
      <c r="S210" s="101">
        <v>175182</v>
      </c>
      <c r="T210" s="102">
        <f t="shared" si="25"/>
        <v>259764</v>
      </c>
    </row>
    <row r="211" spans="1:20" ht="17">
      <c r="A211" s="132" t="s">
        <v>83</v>
      </c>
      <c r="B211" s="132" t="s">
        <v>198</v>
      </c>
      <c r="C211" s="132" t="s">
        <v>173</v>
      </c>
      <c r="D211" s="132">
        <v>0</v>
      </c>
      <c r="E211" s="10">
        <v>5</v>
      </c>
      <c r="F211" s="130">
        <f t="shared" si="20"/>
        <v>-0.19696074888275789</v>
      </c>
      <c r="G211" s="130">
        <f t="shared" si="21"/>
        <v>12.68432032402554</v>
      </c>
      <c r="H211" s="130">
        <f t="shared" si="22"/>
        <v>0.81824211449593831</v>
      </c>
      <c r="I211" s="130">
        <v>0.18057924730157998</v>
      </c>
      <c r="J211" s="130"/>
      <c r="K211" s="130"/>
      <c r="L211" s="99">
        <v>-22345</v>
      </c>
      <c r="M211" s="100">
        <v>176</v>
      </c>
      <c r="N211" s="101">
        <v>1090</v>
      </c>
      <c r="O211" s="101">
        <v>322649</v>
      </c>
      <c r="P211" s="101">
        <v>113449</v>
      </c>
      <c r="Q211" s="101">
        <v>58644</v>
      </c>
      <c r="R211" s="101">
        <v>101049</v>
      </c>
      <c r="S211" s="101">
        <v>162956</v>
      </c>
      <c r="T211" s="102">
        <f t="shared" si="25"/>
        <v>264005</v>
      </c>
    </row>
    <row r="212" spans="1:20" ht="17">
      <c r="A212" s="132" t="s">
        <v>84</v>
      </c>
      <c r="B212" s="132" t="s">
        <v>198</v>
      </c>
      <c r="C212" s="132" t="s">
        <v>202</v>
      </c>
      <c r="D212" s="132">
        <v>0</v>
      </c>
      <c r="E212" s="10">
        <v>18</v>
      </c>
      <c r="F212" s="130">
        <f t="shared" si="20"/>
        <v>-2.7746975806451614E-2</v>
      </c>
      <c r="G212" s="130">
        <f t="shared" si="21"/>
        <v>12.606407952008809</v>
      </c>
      <c r="H212" s="130">
        <f t="shared" si="22"/>
        <v>0.60782001239676342</v>
      </c>
      <c r="I212" s="130">
        <v>9.0623419999999996E-2</v>
      </c>
      <c r="J212" s="130"/>
      <c r="K212" s="130"/>
      <c r="L212" s="103">
        <v>-1101</v>
      </c>
      <c r="M212" s="100">
        <v>154</v>
      </c>
      <c r="N212" s="102">
        <v>4535</v>
      </c>
      <c r="O212" s="102">
        <v>298465</v>
      </c>
      <c r="P212" s="102">
        <v>39680</v>
      </c>
      <c r="Q212" s="102">
        <f>O212-T212</f>
        <v>117052</v>
      </c>
      <c r="R212" s="102">
        <v>78979</v>
      </c>
      <c r="S212" s="102">
        <v>102434</v>
      </c>
      <c r="T212" s="102">
        <f t="shared" si="25"/>
        <v>181413</v>
      </c>
    </row>
    <row r="213" spans="1:20" ht="17">
      <c r="A213" s="130" t="s">
        <v>85</v>
      </c>
      <c r="B213" s="130" t="s">
        <v>172</v>
      </c>
      <c r="C213" s="130" t="s">
        <v>201</v>
      </c>
      <c r="D213" s="130">
        <v>0</v>
      </c>
      <c r="E213" s="130">
        <v>9</v>
      </c>
      <c r="F213" s="130">
        <f t="shared" si="20"/>
        <v>0.15155281993704514</v>
      </c>
      <c r="G213" s="130">
        <f t="shared" si="21"/>
        <v>12.344128786026113</v>
      </c>
      <c r="H213" s="130">
        <f t="shared" si="22"/>
        <v>1.0644010661649419</v>
      </c>
      <c r="I213" s="130">
        <f t="shared" si="24"/>
        <v>-9.5505363279443631E-2</v>
      </c>
      <c r="J213" s="130"/>
      <c r="K213" s="130"/>
      <c r="L213" s="79">
        <v>30236</v>
      </c>
      <c r="M213" s="26">
        <v>428</v>
      </c>
      <c r="N213" s="48">
        <v>39959</v>
      </c>
      <c r="O213" s="48">
        <v>229608</v>
      </c>
      <c r="P213" s="48">
        <v>199508</v>
      </c>
      <c r="Q213" s="48">
        <v>-14786</v>
      </c>
      <c r="R213" s="48">
        <v>74872</v>
      </c>
      <c r="S213" s="48">
        <v>169523</v>
      </c>
      <c r="T213" s="35">
        <f t="shared" si="25"/>
        <v>244395</v>
      </c>
    </row>
    <row r="214" spans="1:20">
      <c r="A214" s="130" t="s">
        <v>85</v>
      </c>
      <c r="B214" s="130" t="s">
        <v>172</v>
      </c>
      <c r="C214" s="130" t="s">
        <v>173</v>
      </c>
      <c r="D214" s="130">
        <v>0</v>
      </c>
      <c r="E214" s="130">
        <v>17</v>
      </c>
      <c r="F214" s="130">
        <f t="shared" si="20"/>
        <v>-0.19402105415869503</v>
      </c>
      <c r="G214" s="130">
        <f t="shared" si="21"/>
        <v>12.333863216124113</v>
      </c>
      <c r="H214" s="130">
        <f t="shared" si="22"/>
        <v>1.3075247620598163</v>
      </c>
      <c r="I214" s="130">
        <v>0.49061324099999998</v>
      </c>
      <c r="J214" s="130"/>
      <c r="K214" s="130"/>
      <c r="L214" s="71">
        <v>-42796</v>
      </c>
      <c r="M214" s="27">
        <v>999</v>
      </c>
      <c r="N214" s="34">
        <v>58339</v>
      </c>
      <c r="O214" s="34">
        <v>227263</v>
      </c>
      <c r="P214" s="34">
        <v>220574</v>
      </c>
      <c r="Q214" s="34">
        <v>-69890</v>
      </c>
      <c r="R214" s="34">
        <v>106058</v>
      </c>
      <c r="S214" s="34">
        <v>191094</v>
      </c>
      <c r="T214" s="34">
        <f t="shared" si="25"/>
        <v>297152</v>
      </c>
    </row>
    <row r="215" spans="1:20" ht="17">
      <c r="A215" s="130" t="s">
        <v>87</v>
      </c>
      <c r="B215" s="130" t="s">
        <v>172</v>
      </c>
      <c r="C215" s="130" t="s">
        <v>205</v>
      </c>
      <c r="D215" s="130">
        <v>0</v>
      </c>
      <c r="E215" s="7">
        <v>9</v>
      </c>
      <c r="F215" s="130">
        <f t="shared" si="20"/>
        <v>-5.7713977757091764E-2</v>
      </c>
      <c r="G215" s="130">
        <f t="shared" si="21"/>
        <v>10.971468797650715</v>
      </c>
      <c r="H215" s="130">
        <f t="shared" si="22"/>
        <v>0.31606805293005669</v>
      </c>
      <c r="I215" s="130">
        <f t="shared" si="24"/>
        <v>1.947954647619999E-2</v>
      </c>
      <c r="J215" s="130"/>
      <c r="K215" s="130"/>
      <c r="L215" s="79">
        <v>-1178</v>
      </c>
      <c r="M215" s="26">
        <v>167</v>
      </c>
      <c r="N215" s="48">
        <v>10200</v>
      </c>
      <c r="O215" s="48">
        <f>55521+2669</f>
        <v>58190</v>
      </c>
      <c r="P215" s="48">
        <v>20411</v>
      </c>
      <c r="Q215" s="48">
        <v>35633</v>
      </c>
      <c r="R215" s="48">
        <v>8712</v>
      </c>
      <c r="S215" s="48">
        <v>9680</v>
      </c>
      <c r="T215" s="35">
        <f t="shared" si="25"/>
        <v>18392</v>
      </c>
    </row>
    <row r="216" spans="1:20" ht="17">
      <c r="A216" s="130" t="s">
        <v>87</v>
      </c>
      <c r="B216" s="130" t="s">
        <v>172</v>
      </c>
      <c r="C216" s="130" t="s">
        <v>203</v>
      </c>
      <c r="D216" s="130">
        <v>0</v>
      </c>
      <c r="E216" s="7">
        <v>9</v>
      </c>
      <c r="F216" s="130">
        <f t="shared" si="20"/>
        <v>0.19769242295589631</v>
      </c>
      <c r="G216" s="130">
        <f t="shared" si="21"/>
        <v>11.28640120549654</v>
      </c>
      <c r="H216" s="130">
        <f t="shared" si="22"/>
        <v>0.35709268782139719</v>
      </c>
      <c r="I216" s="130">
        <f t="shared" si="24"/>
        <v>0.16320009295840113</v>
      </c>
      <c r="J216" s="130"/>
      <c r="K216" s="130"/>
      <c r="L216" s="79">
        <v>3958</v>
      </c>
      <c r="M216" s="26">
        <v>171</v>
      </c>
      <c r="N216" s="48">
        <v>9195</v>
      </c>
      <c r="O216" s="48">
        <v>79730</v>
      </c>
      <c r="P216" s="48">
        <v>20021</v>
      </c>
      <c r="Q216" s="48">
        <v>44990</v>
      </c>
      <c r="R216" s="48">
        <v>17136</v>
      </c>
      <c r="S216" s="48">
        <v>11335</v>
      </c>
      <c r="T216" s="35">
        <f t="shared" si="25"/>
        <v>28471</v>
      </c>
    </row>
    <row r="217" spans="1:20" ht="17">
      <c r="A217" s="130" t="s">
        <v>87</v>
      </c>
      <c r="B217" s="130" t="s">
        <v>172</v>
      </c>
      <c r="C217" s="130" t="s">
        <v>202</v>
      </c>
      <c r="D217" s="130">
        <v>0</v>
      </c>
      <c r="E217" s="7">
        <v>5</v>
      </c>
      <c r="F217" s="130">
        <f t="shared" si="20"/>
        <v>-0.15709969788519637</v>
      </c>
      <c r="G217" s="130">
        <f t="shared" si="21"/>
        <v>11.234771191873529</v>
      </c>
      <c r="H217" s="130">
        <f t="shared" si="22"/>
        <v>0.36202752317810827</v>
      </c>
      <c r="I217" s="130">
        <f t="shared" si="24"/>
        <v>-0.93427373469683894</v>
      </c>
      <c r="J217" s="130"/>
      <c r="K217" s="130"/>
      <c r="L217" s="79">
        <v>-2704</v>
      </c>
      <c r="M217" s="26">
        <v>178</v>
      </c>
      <c r="N217" s="48">
        <v>1327</v>
      </c>
      <c r="O217" s="48">
        <v>75718</v>
      </c>
      <c r="P217" s="48">
        <v>17212</v>
      </c>
      <c r="Q217" s="48">
        <v>41817</v>
      </c>
      <c r="R217" s="48">
        <v>13802</v>
      </c>
      <c r="S217" s="48">
        <v>13610</v>
      </c>
      <c r="T217" s="48">
        <f t="shared" si="25"/>
        <v>27412</v>
      </c>
    </row>
    <row r="218" spans="1:20" ht="17">
      <c r="A218" s="130" t="s">
        <v>87</v>
      </c>
      <c r="B218" s="130" t="s">
        <v>172</v>
      </c>
      <c r="C218" s="130" t="s">
        <v>201</v>
      </c>
      <c r="D218" s="130">
        <v>0</v>
      </c>
      <c r="E218" s="130">
        <v>5</v>
      </c>
      <c r="F218" s="130">
        <f t="shared" si="20"/>
        <v>-0.13795183943423173</v>
      </c>
      <c r="G218" s="130">
        <f t="shared" si="21"/>
        <v>13.203838289752181</v>
      </c>
      <c r="H218" s="130">
        <f t="shared" si="22"/>
        <v>0.91576442133090485</v>
      </c>
      <c r="I218" s="130">
        <f t="shared" si="24"/>
        <v>3.8490212873957041E-2</v>
      </c>
      <c r="J218" s="130"/>
      <c r="K218" s="130"/>
      <c r="L218" s="79">
        <v>-36126</v>
      </c>
      <c r="M218" s="26">
        <v>435</v>
      </c>
      <c r="N218" s="48">
        <v>124514</v>
      </c>
      <c r="O218" s="48">
        <v>542443</v>
      </c>
      <c r="P218" s="48">
        <v>261874</v>
      </c>
      <c r="Q218" s="48">
        <v>45693</v>
      </c>
      <c r="R218" s="48">
        <v>250590</v>
      </c>
      <c r="S218" s="48">
        <v>246160</v>
      </c>
      <c r="T218" s="35">
        <f t="shared" si="25"/>
        <v>496750</v>
      </c>
    </row>
    <row r="219" spans="1:20">
      <c r="A219" s="130" t="s">
        <v>87</v>
      </c>
      <c r="B219" s="130" t="s">
        <v>172</v>
      </c>
      <c r="C219" s="130" t="s">
        <v>173</v>
      </c>
      <c r="D219" s="130">
        <v>0</v>
      </c>
      <c r="E219" s="130">
        <v>8</v>
      </c>
      <c r="F219" s="130">
        <f t="shared" si="20"/>
        <v>-0.43103407252307985</v>
      </c>
      <c r="G219" s="130">
        <f t="shared" si="21"/>
        <v>13.161407151827953</v>
      </c>
      <c r="H219" s="130">
        <f t="shared" si="22"/>
        <v>1.1013890919162621</v>
      </c>
      <c r="I219" s="130">
        <v>-0.1782759705970702</v>
      </c>
      <c r="J219" s="130"/>
      <c r="K219" s="130"/>
      <c r="L219" s="71">
        <v>-108693</v>
      </c>
      <c r="M219" s="27">
        <v>467</v>
      </c>
      <c r="N219" s="34">
        <v>60426</v>
      </c>
      <c r="O219" s="34">
        <v>519908</v>
      </c>
      <c r="P219" s="34">
        <v>252168</v>
      </c>
      <c r="Q219" s="34">
        <v>-52713</v>
      </c>
      <c r="R219" s="34">
        <v>403931</v>
      </c>
      <c r="S219" s="34">
        <v>168690</v>
      </c>
      <c r="T219" s="34">
        <f t="shared" si="25"/>
        <v>572621</v>
      </c>
    </row>
    <row r="220" spans="1:20" ht="17">
      <c r="A220" s="134" t="s">
        <v>89</v>
      </c>
      <c r="B220" s="134" t="s">
        <v>200</v>
      </c>
      <c r="C220" s="134" t="s">
        <v>205</v>
      </c>
      <c r="D220" s="134">
        <v>0</v>
      </c>
      <c r="E220" s="15">
        <v>12</v>
      </c>
      <c r="F220" s="130">
        <f t="shared" si="20"/>
        <v>-2.6318835203561162</v>
      </c>
      <c r="G220" s="130">
        <f t="shared" si="21"/>
        <v>12.267280626571289</v>
      </c>
      <c r="H220" s="130">
        <f t="shared" si="22"/>
        <v>1.6672341786439913</v>
      </c>
      <c r="I220" s="130">
        <f t="shared" si="24"/>
        <v>-0.16066007628240056</v>
      </c>
      <c r="J220" s="130"/>
      <c r="K220" s="130"/>
      <c r="L220" s="72">
        <v>-141898</v>
      </c>
      <c r="M220" s="24" t="s">
        <v>197</v>
      </c>
      <c r="N220" s="38" t="s">
        <v>197</v>
      </c>
      <c r="O220" s="38">
        <v>212624</v>
      </c>
      <c r="P220" s="38">
        <v>53915</v>
      </c>
      <c r="Q220" s="38">
        <v>-141870</v>
      </c>
      <c r="R220" s="38" t="s">
        <v>197</v>
      </c>
      <c r="S220" s="38" t="s">
        <v>197</v>
      </c>
      <c r="T220" s="32">
        <v>354494</v>
      </c>
    </row>
    <row r="221" spans="1:20" ht="17">
      <c r="A221" s="134" t="s">
        <v>89</v>
      </c>
      <c r="B221" s="134" t="s">
        <v>200</v>
      </c>
      <c r="C221" s="134" t="s">
        <v>203</v>
      </c>
      <c r="D221" s="134">
        <v>0</v>
      </c>
      <c r="E221" s="15">
        <v>2</v>
      </c>
      <c r="F221" s="130">
        <f t="shared" si="20"/>
        <v>-1.0366155522690121</v>
      </c>
      <c r="G221" s="130">
        <f t="shared" si="21"/>
        <v>11.947651596360352</v>
      </c>
      <c r="H221" s="130">
        <f t="shared" si="22"/>
        <v>1.447129889805379</v>
      </c>
      <c r="I221" s="130">
        <f t="shared" si="24"/>
        <v>-0.32713559943434767</v>
      </c>
      <c r="J221" s="130"/>
      <c r="K221" s="130"/>
      <c r="L221" s="72">
        <v>-66587</v>
      </c>
      <c r="M221" s="24" t="s">
        <v>197</v>
      </c>
      <c r="N221" s="38" t="s">
        <v>197</v>
      </c>
      <c r="O221" s="38">
        <v>154454</v>
      </c>
      <c r="P221" s="38">
        <v>64235</v>
      </c>
      <c r="Q221" s="38">
        <v>-69061</v>
      </c>
      <c r="R221" s="38" t="s">
        <v>197</v>
      </c>
      <c r="S221" s="38" t="s">
        <v>197</v>
      </c>
      <c r="T221" s="32">
        <v>223515</v>
      </c>
    </row>
    <row r="222" spans="1:20" ht="17">
      <c r="A222" s="134" t="s">
        <v>89</v>
      </c>
      <c r="B222" s="134" t="s">
        <v>200</v>
      </c>
      <c r="C222" s="134" t="s">
        <v>202</v>
      </c>
      <c r="D222" s="134">
        <v>1</v>
      </c>
      <c r="E222" s="15">
        <v>4</v>
      </c>
      <c r="F222" s="130">
        <f t="shared" si="20"/>
        <v>0.23306971141255958</v>
      </c>
      <c r="G222" s="130">
        <f t="shared" si="21"/>
        <v>12.122935571907316</v>
      </c>
      <c r="H222" s="130">
        <f t="shared" si="22"/>
        <v>1.2543508381102448</v>
      </c>
      <c r="I222" s="130">
        <f t="shared" si="24"/>
        <v>9.1902093103053875E-2</v>
      </c>
      <c r="J222" s="130"/>
      <c r="K222" s="130"/>
      <c r="L222" s="72">
        <v>22250</v>
      </c>
      <c r="M222" s="24" t="s">
        <v>197</v>
      </c>
      <c r="N222" s="38" t="s">
        <v>197</v>
      </c>
      <c r="O222" s="38">
        <v>184045</v>
      </c>
      <c r="P222" s="38">
        <v>95465</v>
      </c>
      <c r="Q222" s="38">
        <v>-46812</v>
      </c>
      <c r="R222" s="38" t="s">
        <v>197</v>
      </c>
      <c r="S222" s="38" t="s">
        <v>197</v>
      </c>
      <c r="T222" s="32">
        <v>230857</v>
      </c>
    </row>
    <row r="223" spans="1:20" ht="17">
      <c r="A223" s="134" t="s">
        <v>89</v>
      </c>
      <c r="B223" s="134" t="s">
        <v>200</v>
      </c>
      <c r="C223" s="134" t="s">
        <v>201</v>
      </c>
      <c r="D223" s="134">
        <v>1</v>
      </c>
      <c r="E223" s="15">
        <v>1</v>
      </c>
      <c r="F223" s="130">
        <f t="shared" si="20"/>
        <v>-0.26903808761294751</v>
      </c>
      <c r="G223" s="130">
        <f t="shared" si="21"/>
        <v>12.131645391642232</v>
      </c>
      <c r="H223" s="130">
        <f t="shared" si="22"/>
        <v>1.448380059788317</v>
      </c>
      <c r="I223" s="130">
        <f t="shared" si="24"/>
        <v>-0.47033949644994788</v>
      </c>
      <c r="J223" s="130"/>
      <c r="K223" s="130"/>
      <c r="L223" s="72">
        <v>-23522</v>
      </c>
      <c r="M223" s="24">
        <v>210</v>
      </c>
      <c r="N223" s="38">
        <v>2387</v>
      </c>
      <c r="O223" s="38">
        <v>185655</v>
      </c>
      <c r="P223" s="38">
        <v>87430</v>
      </c>
      <c r="Q223" s="38">
        <v>-83244</v>
      </c>
      <c r="R223" s="38">
        <v>133608</v>
      </c>
      <c r="S223" s="38">
        <v>135291</v>
      </c>
      <c r="T223" s="32">
        <v>268899</v>
      </c>
    </row>
    <row r="224" spans="1:20" ht="17">
      <c r="A224" s="134" t="s">
        <v>89</v>
      </c>
      <c r="B224" s="134" t="s">
        <v>200</v>
      </c>
      <c r="C224" s="134" t="s">
        <v>173</v>
      </c>
      <c r="D224" s="134">
        <v>0</v>
      </c>
      <c r="E224" s="15">
        <v>10</v>
      </c>
      <c r="F224" s="130">
        <f t="shared" si="20"/>
        <v>0.13332081324060388</v>
      </c>
      <c r="G224" s="130">
        <f t="shared" si="21"/>
        <v>12.00928495698491</v>
      </c>
      <c r="H224" s="130">
        <f t="shared" si="22"/>
        <v>1.3727758061276047</v>
      </c>
      <c r="I224" s="130">
        <v>-0.21655826976591055</v>
      </c>
      <c r="J224" s="130"/>
      <c r="K224" s="130"/>
      <c r="L224" s="72">
        <v>22007</v>
      </c>
      <c r="M224" s="24">
        <v>164</v>
      </c>
      <c r="N224" s="38">
        <v>15975</v>
      </c>
      <c r="O224" s="38">
        <v>164273</v>
      </c>
      <c r="P224" s="38">
        <v>165068</v>
      </c>
      <c r="Q224" s="38">
        <v>-61237</v>
      </c>
      <c r="R224" s="38">
        <v>54015</v>
      </c>
      <c r="S224" s="38">
        <v>171494</v>
      </c>
      <c r="T224" s="32">
        <v>225510</v>
      </c>
    </row>
    <row r="225" spans="1:20" ht="17">
      <c r="A225" s="130" t="s">
        <v>90</v>
      </c>
      <c r="B225" s="130" t="s">
        <v>172</v>
      </c>
      <c r="C225" s="130" t="s">
        <v>205</v>
      </c>
      <c r="D225" s="130">
        <v>0</v>
      </c>
      <c r="E225" s="7">
        <v>4</v>
      </c>
      <c r="F225" s="130">
        <f t="shared" si="20"/>
        <v>0.23293381869250104</v>
      </c>
      <c r="G225" s="130">
        <f t="shared" si="21"/>
        <v>13.539655601956079</v>
      </c>
      <c r="H225" s="130">
        <f t="shared" si="22"/>
        <v>0.68749003522096441</v>
      </c>
      <c r="I225" s="130">
        <f t="shared" si="24"/>
        <v>-0.13797885767594076</v>
      </c>
      <c r="J225" s="130"/>
      <c r="K225" s="130"/>
      <c r="L225" s="79">
        <v>120748</v>
      </c>
      <c r="M225" s="26">
        <v>837</v>
      </c>
      <c r="N225" s="48">
        <v>113815</v>
      </c>
      <c r="O225" s="48">
        <v>758923</v>
      </c>
      <c r="P225" s="48">
        <v>518379</v>
      </c>
      <c r="Q225" s="48">
        <v>237172</v>
      </c>
      <c r="R225" s="48">
        <v>140346</v>
      </c>
      <c r="S225" s="48">
        <v>381406</v>
      </c>
      <c r="T225" s="35">
        <f>R225+S225</f>
        <v>521752</v>
      </c>
    </row>
    <row r="226" spans="1:20" ht="17">
      <c r="A226" s="130" t="s">
        <v>90</v>
      </c>
      <c r="B226" s="130" t="s">
        <v>172</v>
      </c>
      <c r="C226" s="130" t="s">
        <v>203</v>
      </c>
      <c r="D226" s="130">
        <v>0</v>
      </c>
      <c r="E226" s="7">
        <v>2</v>
      </c>
      <c r="F226" s="130">
        <f t="shared" si="20"/>
        <v>6.2647064203554315E-2</v>
      </c>
      <c r="G226" s="130">
        <f t="shared" si="21"/>
        <v>13.641139313517199</v>
      </c>
      <c r="H226" s="130">
        <f t="shared" si="22"/>
        <v>0.66660357030185058</v>
      </c>
      <c r="I226" s="130">
        <f t="shared" si="24"/>
        <v>0.10926383321743012</v>
      </c>
      <c r="J226" s="130"/>
      <c r="K226" s="130"/>
      <c r="L226" s="79">
        <v>37673</v>
      </c>
      <c r="M226" s="26">
        <v>853</v>
      </c>
      <c r="N226" s="48">
        <v>89466</v>
      </c>
      <c r="O226" s="48">
        <v>839985</v>
      </c>
      <c r="P226" s="48">
        <v>601353</v>
      </c>
      <c r="Q226" s="48">
        <v>280049</v>
      </c>
      <c r="R226" s="48">
        <v>148748</v>
      </c>
      <c r="S226" s="48">
        <v>411189</v>
      </c>
      <c r="T226" s="35">
        <f>R226+S226</f>
        <v>559937</v>
      </c>
    </row>
    <row r="227" spans="1:20" ht="17">
      <c r="A227" s="130" t="s">
        <v>90</v>
      </c>
      <c r="B227" s="130" t="s">
        <v>172</v>
      </c>
      <c r="C227" s="130" t="s">
        <v>202</v>
      </c>
      <c r="D227" s="130">
        <v>0</v>
      </c>
      <c r="E227" s="7">
        <v>1</v>
      </c>
      <c r="F227" s="130">
        <f t="shared" si="20"/>
        <v>-8.0537667928997136E-2</v>
      </c>
      <c r="G227" s="130">
        <f t="shared" si="21"/>
        <v>13.627821019301024</v>
      </c>
      <c r="H227" s="130">
        <f t="shared" si="22"/>
        <v>0.80720424866565643</v>
      </c>
      <c r="I227" s="130">
        <f t="shared" si="24"/>
        <v>-3.9167484908315578E-2</v>
      </c>
      <c r="J227" s="130"/>
      <c r="K227" s="130"/>
      <c r="L227" s="79">
        <v>-43661</v>
      </c>
      <c r="M227" s="26">
        <v>880</v>
      </c>
      <c r="N227" s="48">
        <v>79017</v>
      </c>
      <c r="O227" s="48">
        <v>828872</v>
      </c>
      <c r="P227" s="48">
        <v>542119</v>
      </c>
      <c r="Q227" s="48">
        <v>231047</v>
      </c>
      <c r="R227" s="48">
        <v>249593</v>
      </c>
      <c r="S227" s="48">
        <v>419476</v>
      </c>
      <c r="T227" s="48">
        <f>R227+S227</f>
        <v>669069</v>
      </c>
    </row>
    <row r="228" spans="1:20" ht="17">
      <c r="A228" s="130" t="s">
        <v>90</v>
      </c>
      <c r="B228" s="130" t="s">
        <v>172</v>
      </c>
      <c r="C228" s="130" t="s">
        <v>201</v>
      </c>
      <c r="D228" s="130">
        <v>0</v>
      </c>
      <c r="E228" s="130">
        <v>3</v>
      </c>
      <c r="F228" s="130">
        <f t="shared" si="20"/>
        <v>-1.9565132626041707E-2</v>
      </c>
      <c r="G228" s="130">
        <f t="shared" si="21"/>
        <v>13.595849685079147</v>
      </c>
      <c r="H228" s="130">
        <f t="shared" si="22"/>
        <v>0.71267864238637457</v>
      </c>
      <c r="I228" s="130">
        <f t="shared" si="24"/>
        <v>-0.19205368189524813</v>
      </c>
      <c r="J228" s="130"/>
      <c r="K228" s="130"/>
      <c r="L228" s="79">
        <v>-11039</v>
      </c>
      <c r="M228" s="26">
        <v>964</v>
      </c>
      <c r="N228" s="48">
        <v>82659</v>
      </c>
      <c r="O228" s="48">
        <v>802791</v>
      </c>
      <c r="P228" s="48">
        <v>564218</v>
      </c>
      <c r="Q228" s="48">
        <v>230658</v>
      </c>
      <c r="R228" s="48">
        <v>253384</v>
      </c>
      <c r="S228" s="48">
        <v>318748</v>
      </c>
      <c r="T228" s="35">
        <f>R228+S228</f>
        <v>572132</v>
      </c>
    </row>
    <row r="229" spans="1:20">
      <c r="A229" s="130" t="s">
        <v>90</v>
      </c>
      <c r="B229" s="130" t="s">
        <v>172</v>
      </c>
      <c r="C229" s="130" t="s">
        <v>173</v>
      </c>
      <c r="D229" s="130">
        <v>0</v>
      </c>
      <c r="E229" s="130">
        <v>2</v>
      </c>
      <c r="F229" s="130">
        <f t="shared" si="20"/>
        <v>4.0997456811620765E-3</v>
      </c>
      <c r="G229" s="130">
        <f t="shared" si="21"/>
        <v>13.58697499585235</v>
      </c>
      <c r="H229" s="130">
        <f t="shared" si="22"/>
        <v>0.70216841062815294</v>
      </c>
      <c r="I229" s="130">
        <v>-6.4984047815518586E-2</v>
      </c>
      <c r="J229" s="130"/>
      <c r="K229" s="130"/>
      <c r="L229" s="71">
        <v>2863</v>
      </c>
      <c r="M229" s="27">
        <v>1005</v>
      </c>
      <c r="N229" s="34">
        <v>83903</v>
      </c>
      <c r="O229" s="34">
        <v>795698</v>
      </c>
      <c r="P229" s="34">
        <v>698336</v>
      </c>
      <c r="Q229" s="34">
        <v>236984</v>
      </c>
      <c r="R229" s="34">
        <v>174231</v>
      </c>
      <c r="S229" s="34">
        <v>384483</v>
      </c>
      <c r="T229" s="34">
        <f>R229+S229</f>
        <v>558714</v>
      </c>
    </row>
    <row r="230" spans="1:20" ht="17">
      <c r="A230" s="134" t="s">
        <v>91</v>
      </c>
      <c r="B230" s="134" t="s">
        <v>200</v>
      </c>
      <c r="C230" s="134" t="s">
        <v>201</v>
      </c>
      <c r="D230" s="134">
        <v>0</v>
      </c>
      <c r="E230" s="15">
        <v>16</v>
      </c>
      <c r="F230" s="130">
        <f t="shared" si="20"/>
        <v>-0.12100494691790339</v>
      </c>
      <c r="G230" s="130">
        <f t="shared" si="21"/>
        <v>12.733814381672477</v>
      </c>
      <c r="H230" s="130">
        <f t="shared" si="22"/>
        <v>0.93671759778184183</v>
      </c>
      <c r="I230" s="130">
        <f t="shared" si="24"/>
        <v>-0.46429847546450692</v>
      </c>
      <c r="J230" s="130"/>
      <c r="K230" s="130"/>
      <c r="L230" s="72">
        <v>-2177</v>
      </c>
      <c r="M230" s="24">
        <v>14</v>
      </c>
      <c r="N230" s="38">
        <v>3730</v>
      </c>
      <c r="O230" s="38">
        <v>339020</v>
      </c>
      <c r="P230" s="38">
        <v>17991</v>
      </c>
      <c r="Q230" s="38">
        <v>21454</v>
      </c>
      <c r="R230" s="38">
        <v>285057</v>
      </c>
      <c r="S230" s="38">
        <v>32509</v>
      </c>
      <c r="T230" s="32">
        <v>317566</v>
      </c>
    </row>
    <row r="231" spans="1:20">
      <c r="A231" s="134" t="s">
        <v>91</v>
      </c>
      <c r="B231" s="134" t="s">
        <v>200</v>
      </c>
      <c r="C231" s="134" t="s">
        <v>173</v>
      </c>
      <c r="D231" s="134">
        <v>0</v>
      </c>
      <c r="E231" s="15">
        <v>16</v>
      </c>
      <c r="F231" s="130">
        <f t="shared" si="20"/>
        <v>-8.4593854216293479E-2</v>
      </c>
      <c r="G231" s="130">
        <f t="shared" si="21"/>
        <v>10.742875641568942</v>
      </c>
      <c r="H231" s="130">
        <f t="shared" si="22"/>
        <v>0.8553964448476209</v>
      </c>
      <c r="I231" s="130">
        <v>1.25383215E-2</v>
      </c>
      <c r="J231" s="130"/>
      <c r="K231" s="130"/>
      <c r="L231" s="78">
        <v>-2841</v>
      </c>
      <c r="M231" s="16"/>
      <c r="N231" s="32"/>
      <c r="O231" s="32">
        <v>46299</v>
      </c>
      <c r="P231" s="32">
        <v>33584</v>
      </c>
      <c r="Q231" s="32">
        <v>6695</v>
      </c>
      <c r="R231" s="32"/>
      <c r="S231" s="32"/>
      <c r="T231" s="32">
        <v>39604</v>
      </c>
    </row>
    <row r="232" spans="1:20">
      <c r="A232" s="131" t="s">
        <v>93</v>
      </c>
      <c r="B232" s="131" t="s">
        <v>193</v>
      </c>
      <c r="C232" s="131" t="s">
        <v>202</v>
      </c>
      <c r="D232" s="131">
        <v>0</v>
      </c>
      <c r="E232" s="131">
        <v>19</v>
      </c>
      <c r="F232" s="130">
        <f t="shared" si="20"/>
        <v>0.28605002518045997</v>
      </c>
      <c r="G232" s="130">
        <f t="shared" si="21"/>
        <v>11.605978554006001</v>
      </c>
      <c r="H232" s="130">
        <f t="shared" si="22"/>
        <v>1.4241289452584007</v>
      </c>
      <c r="I232" s="130">
        <f t="shared" si="24"/>
        <v>0.74130371236480563</v>
      </c>
      <c r="J232" s="130"/>
      <c r="K232" s="130"/>
      <c r="L232" s="75">
        <v>17040</v>
      </c>
      <c r="M232" s="12">
        <v>134</v>
      </c>
      <c r="N232" s="42">
        <v>67488</v>
      </c>
      <c r="O232" s="42">
        <v>109752</v>
      </c>
      <c r="P232" s="42">
        <v>59570</v>
      </c>
      <c r="Q232" s="42">
        <f>O232-T232</f>
        <v>-46549</v>
      </c>
      <c r="R232" s="42">
        <v>88766</v>
      </c>
      <c r="S232" s="42">
        <v>67535</v>
      </c>
      <c r="T232" s="42">
        <f t="shared" ref="T232:T243" si="26">R232+S232</f>
        <v>156301</v>
      </c>
    </row>
    <row r="233" spans="1:20">
      <c r="A233" s="131" t="s">
        <v>93</v>
      </c>
      <c r="B233" s="131" t="s">
        <v>193</v>
      </c>
      <c r="C233" s="131" t="s">
        <v>173</v>
      </c>
      <c r="D233" s="131">
        <v>0</v>
      </c>
      <c r="E233" s="131">
        <v>16</v>
      </c>
      <c r="F233" s="130">
        <f t="shared" si="20"/>
        <v>-2.6892721426483485E-2</v>
      </c>
      <c r="G233" s="130">
        <f t="shared" si="21"/>
        <v>5.1873858058407549</v>
      </c>
      <c r="H233" s="130">
        <f t="shared" si="22"/>
        <v>8.3854748603351954</v>
      </c>
      <c r="I233" s="130">
        <v>0.15234132</v>
      </c>
      <c r="J233" s="130"/>
      <c r="K233" s="130"/>
      <c r="L233" s="75">
        <v>-920</v>
      </c>
      <c r="M233" s="12">
        <v>173</v>
      </c>
      <c r="N233" s="42">
        <v>674</v>
      </c>
      <c r="O233" s="42">
        <v>179</v>
      </c>
      <c r="P233" s="42">
        <v>34210</v>
      </c>
      <c r="Q233" s="42">
        <f>O233-T233</f>
        <v>-1322</v>
      </c>
      <c r="R233" s="42">
        <v>645</v>
      </c>
      <c r="S233" s="42">
        <v>856</v>
      </c>
      <c r="T233" s="42">
        <f t="shared" si="26"/>
        <v>1501</v>
      </c>
    </row>
    <row r="234" spans="1:20" ht="17">
      <c r="A234" s="130" t="s">
        <v>94</v>
      </c>
      <c r="B234" s="130" t="s">
        <v>172</v>
      </c>
      <c r="C234" s="130" t="s">
        <v>205</v>
      </c>
      <c r="D234" s="130">
        <v>1</v>
      </c>
      <c r="E234" s="7">
        <v>1</v>
      </c>
      <c r="F234" s="130">
        <f t="shared" si="20"/>
        <v>2.0856159162066044E-2</v>
      </c>
      <c r="G234" s="130">
        <f t="shared" si="21"/>
        <v>14.123001140047874</v>
      </c>
      <c r="H234" s="130">
        <f t="shared" si="22"/>
        <v>0.38123525743966213</v>
      </c>
      <c r="I234" s="130">
        <f t="shared" si="24"/>
        <v>-5.4644369136088007E-2</v>
      </c>
      <c r="J234" s="130"/>
      <c r="K234" s="130"/>
      <c r="L234" s="79">
        <v>11764</v>
      </c>
      <c r="M234" s="26">
        <v>449</v>
      </c>
      <c r="N234" s="48">
        <v>14797</v>
      </c>
      <c r="O234" s="48">
        <v>1360008</v>
      </c>
      <c r="P234" s="48">
        <v>564054</v>
      </c>
      <c r="Q234" s="48">
        <v>841525</v>
      </c>
      <c r="R234" s="48">
        <v>125666</v>
      </c>
      <c r="S234" s="48">
        <v>392817</v>
      </c>
      <c r="T234" s="35">
        <f t="shared" si="26"/>
        <v>518483</v>
      </c>
    </row>
    <row r="235" spans="1:20" ht="17">
      <c r="A235" s="130" t="s">
        <v>94</v>
      </c>
      <c r="B235" s="130" t="s">
        <v>172</v>
      </c>
      <c r="C235" s="130" t="s">
        <v>203</v>
      </c>
      <c r="D235" s="130">
        <v>1</v>
      </c>
      <c r="E235" s="7">
        <v>1</v>
      </c>
      <c r="F235" s="130">
        <f t="shared" si="20"/>
        <v>1.8833234449215464E-2</v>
      </c>
      <c r="G235" s="130">
        <f t="shared" si="21"/>
        <v>14.091654825191942</v>
      </c>
      <c r="H235" s="130">
        <f t="shared" si="22"/>
        <v>0.35990843966562419</v>
      </c>
      <c r="I235" s="130">
        <f t="shared" si="24"/>
        <v>0.13828232609782248</v>
      </c>
      <c r="J235" s="130"/>
      <c r="K235" s="130"/>
      <c r="L235" s="79">
        <v>11237</v>
      </c>
      <c r="M235" s="26">
        <v>463</v>
      </c>
      <c r="N235" s="48">
        <v>10966</v>
      </c>
      <c r="O235" s="48">
        <v>1318038</v>
      </c>
      <c r="P235" s="48">
        <v>596658</v>
      </c>
      <c r="Q235" s="48">
        <v>843665</v>
      </c>
      <c r="R235" s="48">
        <v>96437</v>
      </c>
      <c r="S235" s="48">
        <v>377936</v>
      </c>
      <c r="T235" s="35">
        <f t="shared" si="26"/>
        <v>474373</v>
      </c>
    </row>
    <row r="236" spans="1:20" ht="17">
      <c r="A236" s="130" t="s">
        <v>94</v>
      </c>
      <c r="B236" s="130" t="s">
        <v>172</v>
      </c>
      <c r="C236" s="130" t="s">
        <v>202</v>
      </c>
      <c r="D236" s="130">
        <v>0</v>
      </c>
      <c r="E236" s="7">
        <v>2</v>
      </c>
      <c r="F236" s="130">
        <f t="shared" si="20"/>
        <v>-0.26342970082453537</v>
      </c>
      <c r="G236" s="130">
        <f t="shared" si="21"/>
        <v>14.001924562591755</v>
      </c>
      <c r="H236" s="130">
        <f t="shared" si="22"/>
        <v>0.4405492144298257</v>
      </c>
      <c r="I236" s="130">
        <f t="shared" si="24"/>
        <v>-0.21146486466970743</v>
      </c>
      <c r="J236" s="130"/>
      <c r="K236" s="130"/>
      <c r="L236" s="79">
        <v>-138083</v>
      </c>
      <c r="M236" s="26">
        <v>477</v>
      </c>
      <c r="N236" s="48">
        <v>33643</v>
      </c>
      <c r="O236" s="48">
        <v>1204921</v>
      </c>
      <c r="P236" s="48">
        <v>524174</v>
      </c>
      <c r="Q236" s="48">
        <v>691114</v>
      </c>
      <c r="R236" s="48">
        <v>94331</v>
      </c>
      <c r="S236" s="48">
        <v>436496</v>
      </c>
      <c r="T236" s="48">
        <f t="shared" si="26"/>
        <v>530827</v>
      </c>
    </row>
    <row r="237" spans="1:20" ht="17">
      <c r="A237" s="130" t="s">
        <v>94</v>
      </c>
      <c r="B237" s="130" t="s">
        <v>172</v>
      </c>
      <c r="C237" s="130" t="s">
        <v>201</v>
      </c>
      <c r="D237" s="130">
        <v>0</v>
      </c>
      <c r="E237" s="130">
        <v>1</v>
      </c>
      <c r="F237" s="130">
        <f t="shared" si="20"/>
        <v>4.1534786323757719E-3</v>
      </c>
      <c r="G237" s="130">
        <f t="shared" si="21"/>
        <v>14.133332817019014</v>
      </c>
      <c r="H237" s="130">
        <f t="shared" si="22"/>
        <v>0.44285192397819134</v>
      </c>
      <c r="I237" s="130">
        <f t="shared" si="24"/>
        <v>-6.9822372600546842E-2</v>
      </c>
      <c r="J237" s="130"/>
      <c r="K237" s="130"/>
      <c r="L237" s="79">
        <v>2761</v>
      </c>
      <c r="M237" s="26">
        <v>509</v>
      </c>
      <c r="N237" s="48">
        <v>34502</v>
      </c>
      <c r="O237" s="48">
        <v>1374132</v>
      </c>
      <c r="P237" s="48">
        <v>664744</v>
      </c>
      <c r="Q237" s="48">
        <v>765595</v>
      </c>
      <c r="R237" s="48">
        <v>150098</v>
      </c>
      <c r="S237" s="48">
        <v>458439</v>
      </c>
      <c r="T237" s="35">
        <f t="shared" si="26"/>
        <v>608537</v>
      </c>
    </row>
    <row r="238" spans="1:20">
      <c r="A238" s="130" t="s">
        <v>94</v>
      </c>
      <c r="B238" s="130" t="s">
        <v>172</v>
      </c>
      <c r="C238" s="130" t="s">
        <v>173</v>
      </c>
      <c r="D238" s="130">
        <v>0</v>
      </c>
      <c r="E238" s="130">
        <v>1</v>
      </c>
      <c r="F238" s="130">
        <f t="shared" si="20"/>
        <v>6.8067647857248809E-2</v>
      </c>
      <c r="G238" s="130">
        <f t="shared" si="21"/>
        <v>14.221589477651561</v>
      </c>
      <c r="H238" s="130">
        <f t="shared" si="22"/>
        <v>0.45783155808999942</v>
      </c>
      <c r="I238" s="130">
        <v>-4.9412320077129951E-2</v>
      </c>
      <c r="J238" s="130"/>
      <c r="K238" s="130"/>
      <c r="L238" s="71">
        <v>48644</v>
      </c>
      <c r="M238" s="27">
        <v>549</v>
      </c>
      <c r="N238" s="34">
        <v>57831</v>
      </c>
      <c r="O238" s="34">
        <v>1500921</v>
      </c>
      <c r="P238" s="34">
        <v>714642</v>
      </c>
      <c r="Q238" s="34">
        <v>813751</v>
      </c>
      <c r="R238" s="34">
        <v>152122</v>
      </c>
      <c r="S238" s="34">
        <v>535047</v>
      </c>
      <c r="T238" s="34">
        <f t="shared" si="26"/>
        <v>687169</v>
      </c>
    </row>
    <row r="239" spans="1:20" ht="17">
      <c r="A239" s="130" t="s">
        <v>95</v>
      </c>
      <c r="B239" s="130" t="s">
        <v>172</v>
      </c>
      <c r="C239" s="130" t="s">
        <v>205</v>
      </c>
      <c r="D239" s="130">
        <v>0</v>
      </c>
      <c r="E239" s="7">
        <v>2</v>
      </c>
      <c r="F239" s="130">
        <f t="shared" si="20"/>
        <v>-6.3804339976891972E-2</v>
      </c>
      <c r="G239" s="130">
        <f t="shared" si="21"/>
        <v>14.370646038580784</v>
      </c>
      <c r="H239" s="130">
        <f t="shared" si="22"/>
        <v>0.72369053201827371</v>
      </c>
      <c r="I239" s="130">
        <f t="shared" si="24"/>
        <v>-4.9302392104980872E-2</v>
      </c>
      <c r="J239" s="130"/>
      <c r="K239" s="130"/>
      <c r="L239" s="79">
        <v>-42411</v>
      </c>
      <c r="M239" s="26">
        <v>922</v>
      </c>
      <c r="N239" s="48">
        <v>4227</v>
      </c>
      <c r="O239" s="48">
        <v>1742177</v>
      </c>
      <c r="P239" s="48">
        <v>664704</v>
      </c>
      <c r="Q239" s="48">
        <v>481380</v>
      </c>
      <c r="R239" s="48">
        <v>740699</v>
      </c>
      <c r="S239" s="48">
        <v>520098</v>
      </c>
      <c r="T239" s="35">
        <f t="shared" si="26"/>
        <v>1260797</v>
      </c>
    </row>
    <row r="240" spans="1:20" ht="17">
      <c r="A240" s="130" t="s">
        <v>95</v>
      </c>
      <c r="B240" s="130" t="s">
        <v>172</v>
      </c>
      <c r="C240" s="130" t="s">
        <v>203</v>
      </c>
      <c r="D240" s="130">
        <v>0</v>
      </c>
      <c r="E240" s="7">
        <v>6</v>
      </c>
      <c r="F240" s="130">
        <f t="shared" si="20"/>
        <v>3.01069117173812E-2</v>
      </c>
      <c r="G240" s="130">
        <f t="shared" si="21"/>
        <v>14.327416997438482</v>
      </c>
      <c r="H240" s="130">
        <f t="shared" si="22"/>
        <v>0.722555828127463</v>
      </c>
      <c r="I240" s="130">
        <f t="shared" si="24"/>
        <v>0.25346229349492194</v>
      </c>
      <c r="J240" s="130"/>
      <c r="K240" s="130"/>
      <c r="L240" s="79">
        <v>21050</v>
      </c>
      <c r="M240" s="26">
        <v>940</v>
      </c>
      <c r="N240" s="48">
        <v>0</v>
      </c>
      <c r="O240" s="48">
        <v>1668469</v>
      </c>
      <c r="P240" s="48">
        <v>699175</v>
      </c>
      <c r="Q240" s="48">
        <v>462907</v>
      </c>
      <c r="R240" s="48">
        <v>727446</v>
      </c>
      <c r="S240" s="48">
        <v>478116</v>
      </c>
      <c r="T240" s="35">
        <f t="shared" si="26"/>
        <v>1205562</v>
      </c>
    </row>
    <row r="241" spans="1:20" ht="17">
      <c r="A241" s="130" t="s">
        <v>95</v>
      </c>
      <c r="B241" s="130" t="s">
        <v>172</v>
      </c>
      <c r="C241" s="130" t="s">
        <v>202</v>
      </c>
      <c r="D241" s="130">
        <v>0</v>
      </c>
      <c r="E241" s="7">
        <v>3</v>
      </c>
      <c r="F241" s="130">
        <f t="shared" si="20"/>
        <v>-4.5640423453060713E-2</v>
      </c>
      <c r="G241" s="130">
        <f t="shared" si="21"/>
        <v>14.231565396426568</v>
      </c>
      <c r="H241" s="130">
        <f t="shared" si="22"/>
        <v>0.61190763135657789</v>
      </c>
      <c r="I241" s="130">
        <f t="shared" si="24"/>
        <v>-3.2279610895886719E-2</v>
      </c>
      <c r="J241" s="130"/>
      <c r="K241" s="130"/>
      <c r="L241" s="79">
        <v>-25458</v>
      </c>
      <c r="M241" s="26">
        <v>992</v>
      </c>
      <c r="N241" s="48">
        <v>0</v>
      </c>
      <c r="O241" s="48">
        <v>1515969</v>
      </c>
      <c r="P241" s="48">
        <v>557795</v>
      </c>
      <c r="Q241" s="48">
        <v>384872</v>
      </c>
      <c r="R241" s="48">
        <v>694602</v>
      </c>
      <c r="S241" s="48">
        <v>233031</v>
      </c>
      <c r="T241" s="48">
        <f t="shared" si="26"/>
        <v>927633</v>
      </c>
    </row>
    <row r="242" spans="1:20" ht="17">
      <c r="A242" s="130" t="s">
        <v>95</v>
      </c>
      <c r="B242" s="130" t="s">
        <v>172</v>
      </c>
      <c r="C242" s="130" t="s">
        <v>201</v>
      </c>
      <c r="D242" s="130">
        <v>0</v>
      </c>
      <c r="E242" s="130">
        <v>2</v>
      </c>
      <c r="F242" s="130">
        <f t="shared" si="20"/>
        <v>-0.18662701834313264</v>
      </c>
      <c r="G242" s="130">
        <f t="shared" si="21"/>
        <v>14.200898801176566</v>
      </c>
      <c r="H242" s="130">
        <f t="shared" si="22"/>
        <v>0.78377347068566205</v>
      </c>
      <c r="I242" s="130">
        <f t="shared" si="24"/>
        <v>-0.15221058793593642</v>
      </c>
      <c r="J242" s="130"/>
      <c r="K242" s="130"/>
      <c r="L242" s="79">
        <v>-107572</v>
      </c>
      <c r="M242" s="26">
        <v>983</v>
      </c>
      <c r="N242" s="48">
        <v>0</v>
      </c>
      <c r="O242" s="48">
        <v>1470185</v>
      </c>
      <c r="P242" s="48">
        <v>576401</v>
      </c>
      <c r="Q242" s="48">
        <v>317892</v>
      </c>
      <c r="R242" s="48">
        <v>704309</v>
      </c>
      <c r="S242" s="48">
        <v>447983</v>
      </c>
      <c r="T242" s="35">
        <f t="shared" si="26"/>
        <v>1152292</v>
      </c>
    </row>
    <row r="243" spans="1:20">
      <c r="A243" s="130" t="s">
        <v>95</v>
      </c>
      <c r="B243" s="130" t="s">
        <v>172</v>
      </c>
      <c r="C243" s="130" t="s">
        <v>173</v>
      </c>
      <c r="D243" s="130">
        <v>1</v>
      </c>
      <c r="E243" s="130">
        <v>6</v>
      </c>
      <c r="F243" s="130">
        <f t="shared" si="20"/>
        <v>-0.19806232506284133</v>
      </c>
      <c r="G243" s="130">
        <f t="shared" si="21"/>
        <v>14.226383683018719</v>
      </c>
      <c r="H243" s="130">
        <f t="shared" si="22"/>
        <v>0.90143714020106969</v>
      </c>
      <c r="I243" s="130">
        <v>4.917425639529481E-3</v>
      </c>
      <c r="J243" s="130"/>
      <c r="K243" s="130"/>
      <c r="L243" s="71">
        <v>-134660</v>
      </c>
      <c r="M243" s="27">
        <v>1035</v>
      </c>
      <c r="N243" s="34">
        <v>0</v>
      </c>
      <c r="O243" s="34">
        <v>1508134</v>
      </c>
      <c r="P243" s="34">
        <v>679887</v>
      </c>
      <c r="Q243" s="34">
        <v>148647</v>
      </c>
      <c r="R243" s="34">
        <v>782609</v>
      </c>
      <c r="S243" s="34">
        <v>576879</v>
      </c>
      <c r="T243" s="34">
        <f t="shared" si="26"/>
        <v>1359488</v>
      </c>
    </row>
    <row r="244" spans="1:20">
      <c r="A244" s="134" t="s">
        <v>96</v>
      </c>
      <c r="B244" s="134" t="s">
        <v>200</v>
      </c>
      <c r="C244" s="134" t="s">
        <v>205</v>
      </c>
      <c r="D244" s="134">
        <v>0</v>
      </c>
      <c r="E244" s="15">
        <v>20</v>
      </c>
      <c r="F244" s="130">
        <f t="shared" si="20"/>
        <v>1.4996107105378964E-2</v>
      </c>
      <c r="G244" s="130">
        <f t="shared" si="21"/>
        <v>10.314835323802448</v>
      </c>
      <c r="H244" s="130">
        <f t="shared" si="22"/>
        <v>0.56884382145342482</v>
      </c>
      <c r="I244" s="130">
        <f t="shared" si="24"/>
        <v>6.6077228437387225E-2</v>
      </c>
      <c r="J244" s="130"/>
      <c r="K244" s="130"/>
      <c r="L244" s="78">
        <v>443</v>
      </c>
      <c r="M244" s="16"/>
      <c r="N244" s="47"/>
      <c r="O244" s="32">
        <v>30177</v>
      </c>
      <c r="P244" s="32">
        <v>29541</v>
      </c>
      <c r="Q244" s="32">
        <v>13011</v>
      </c>
      <c r="R244" s="32"/>
      <c r="S244" s="32"/>
      <c r="T244" s="32">
        <v>17166</v>
      </c>
    </row>
    <row r="245" spans="1:20">
      <c r="A245" s="134" t="s">
        <v>96</v>
      </c>
      <c r="B245" s="134" t="s">
        <v>200</v>
      </c>
      <c r="C245" s="134" t="s">
        <v>202</v>
      </c>
      <c r="D245" s="134">
        <v>0</v>
      </c>
      <c r="E245" s="15">
        <v>15</v>
      </c>
      <c r="F245" s="130">
        <f t="shared" si="20"/>
        <v>-0.37080476362324072</v>
      </c>
      <c r="G245" s="130">
        <f t="shared" si="21"/>
        <v>10.782263315647524</v>
      </c>
      <c r="H245" s="130">
        <f t="shared" si="22"/>
        <v>0.5451940447268423</v>
      </c>
      <c r="I245" s="130">
        <f t="shared" si="24"/>
        <v>-0.2423165263042765</v>
      </c>
      <c r="J245" s="130"/>
      <c r="K245" s="130"/>
      <c r="L245" s="78">
        <v>-10275</v>
      </c>
      <c r="M245" s="16"/>
      <c r="N245" s="47"/>
      <c r="O245" s="32">
        <v>48159</v>
      </c>
      <c r="P245" s="32">
        <v>27710</v>
      </c>
      <c r="Q245" s="32">
        <v>21903</v>
      </c>
      <c r="R245" s="32"/>
      <c r="S245" s="32"/>
      <c r="T245" s="32">
        <v>26256</v>
      </c>
    </row>
    <row r="246" spans="1:20">
      <c r="A246" s="134" t="s">
        <v>96</v>
      </c>
      <c r="B246" s="134" t="s">
        <v>200</v>
      </c>
      <c r="C246" s="134" t="s">
        <v>201</v>
      </c>
      <c r="D246" s="134">
        <v>0</v>
      </c>
      <c r="E246" s="15">
        <v>10</v>
      </c>
      <c r="F246" s="130">
        <f t="shared" si="20"/>
        <v>-0.28404243683692443</v>
      </c>
      <c r="G246" s="130">
        <f t="shared" si="21"/>
        <v>11.099937128211959</v>
      </c>
      <c r="H246" s="130">
        <f t="shared" si="22"/>
        <v>0.58213308749074311</v>
      </c>
      <c r="I246" s="130">
        <f t="shared" si="24"/>
        <v>2.7216807572395585E-2</v>
      </c>
      <c r="J246" s="130"/>
      <c r="K246" s="130"/>
      <c r="L246" s="69">
        <v>-10388</v>
      </c>
      <c r="N246" s="32"/>
      <c r="O246" s="32">
        <v>66167</v>
      </c>
      <c r="P246" s="32">
        <v>36572</v>
      </c>
      <c r="Q246" s="32">
        <v>27649</v>
      </c>
      <c r="R246" s="32"/>
      <c r="S246" s="32"/>
      <c r="T246" s="32">
        <v>38518</v>
      </c>
    </row>
    <row r="247" spans="1:20">
      <c r="A247" s="134" t="s">
        <v>96</v>
      </c>
      <c r="B247" s="134" t="s">
        <v>200</v>
      </c>
      <c r="C247" s="134" t="s">
        <v>173</v>
      </c>
      <c r="D247" s="134">
        <v>0</v>
      </c>
      <c r="E247" s="15">
        <v>19</v>
      </c>
      <c r="F247" s="130">
        <f t="shared" si="20"/>
        <v>-0.35645872538830997</v>
      </c>
      <c r="G247" s="130">
        <f t="shared" si="21"/>
        <v>10.94787242191776</v>
      </c>
      <c r="H247" s="130">
        <f t="shared" si="22"/>
        <v>0.6677810427040628</v>
      </c>
      <c r="I247" s="130">
        <v>-4.9674163431497893E-2</v>
      </c>
      <c r="J247" s="130"/>
      <c r="K247" s="130"/>
      <c r="L247" s="69">
        <v>-12691</v>
      </c>
      <c r="N247" s="32"/>
      <c r="O247" s="32">
        <v>56833</v>
      </c>
      <c r="P247" s="32">
        <v>35603</v>
      </c>
      <c r="Q247" s="32">
        <v>18881</v>
      </c>
      <c r="R247" s="32"/>
      <c r="S247" s="32"/>
      <c r="T247" s="32">
        <v>37952</v>
      </c>
    </row>
    <row r="248" spans="1:20">
      <c r="A248" s="134" t="s">
        <v>98</v>
      </c>
      <c r="B248" s="134" t="s">
        <v>200</v>
      </c>
      <c r="C248" s="134" t="s">
        <v>205</v>
      </c>
      <c r="D248" s="134">
        <v>0</v>
      </c>
      <c r="E248" s="15">
        <v>10</v>
      </c>
      <c r="F248" s="130">
        <f t="shared" si="20"/>
        <v>0.13266626611822341</v>
      </c>
      <c r="G248" s="130">
        <f t="shared" si="21"/>
        <v>10.685972568448268</v>
      </c>
      <c r="H248" s="130">
        <f t="shared" si="22"/>
        <v>0.53507247702226901</v>
      </c>
      <c r="I248" s="130">
        <f t="shared" si="24"/>
        <v>-0.15278593523630526</v>
      </c>
      <c r="J248" s="130"/>
      <c r="K248" s="130"/>
      <c r="L248" s="78">
        <v>5741</v>
      </c>
      <c r="M248" s="16"/>
      <c r="N248" s="47"/>
      <c r="O248" s="32">
        <v>43738</v>
      </c>
      <c r="P248" s="32">
        <v>43274</v>
      </c>
      <c r="Q248" s="32">
        <v>20335</v>
      </c>
      <c r="R248" s="32"/>
      <c r="S248" s="32"/>
      <c r="T248" s="32">
        <v>23403</v>
      </c>
    </row>
    <row r="249" spans="1:20">
      <c r="A249" s="134" t="s">
        <v>98</v>
      </c>
      <c r="B249" s="134" t="s">
        <v>200</v>
      </c>
      <c r="C249" s="134" t="s">
        <v>203</v>
      </c>
      <c r="D249" s="134">
        <v>0</v>
      </c>
      <c r="E249" s="15">
        <v>6</v>
      </c>
      <c r="F249" s="130">
        <f t="shared" si="20"/>
        <v>6.7974470417792393E-2</v>
      </c>
      <c r="G249" s="130">
        <f t="shared" si="21"/>
        <v>10.865439749778165</v>
      </c>
      <c r="H249" s="130">
        <f t="shared" si="22"/>
        <v>0.54660272088046469</v>
      </c>
      <c r="I249" s="130">
        <f t="shared" si="24"/>
        <v>0.42532648733117534</v>
      </c>
      <c r="J249" s="130"/>
      <c r="K249" s="130"/>
      <c r="L249" s="78">
        <v>3472</v>
      </c>
      <c r="M249" s="16"/>
      <c r="N249" s="47"/>
      <c r="O249" s="32">
        <v>52336</v>
      </c>
      <c r="P249" s="32">
        <v>51078</v>
      </c>
      <c r="Q249" s="32">
        <v>23729</v>
      </c>
      <c r="R249" s="32"/>
      <c r="S249" s="32"/>
      <c r="T249" s="32">
        <v>28607</v>
      </c>
    </row>
    <row r="250" spans="1:20">
      <c r="A250" s="134" t="s">
        <v>98</v>
      </c>
      <c r="B250" s="134" t="s">
        <v>200</v>
      </c>
      <c r="C250" s="134" t="s">
        <v>202</v>
      </c>
      <c r="D250" s="134">
        <v>0</v>
      </c>
      <c r="E250" s="15">
        <v>8</v>
      </c>
      <c r="F250" s="130">
        <f t="shared" si="20"/>
        <v>7.7129143877664924E-2</v>
      </c>
      <c r="G250" s="130">
        <f t="shared" si="21"/>
        <v>11.053188948080271</v>
      </c>
      <c r="H250" s="130">
        <f t="shared" si="22"/>
        <v>0.58074273497505746</v>
      </c>
      <c r="I250" s="130">
        <f t="shared" si="24"/>
        <v>-0.19711430747860376</v>
      </c>
      <c r="J250" s="130"/>
      <c r="K250" s="130"/>
      <c r="L250" s="78">
        <v>2764</v>
      </c>
      <c r="M250" s="16"/>
      <c r="N250" s="47"/>
      <c r="O250" s="32">
        <v>63145</v>
      </c>
      <c r="P250" s="32">
        <v>35836</v>
      </c>
      <c r="Q250" s="32">
        <v>26474</v>
      </c>
      <c r="R250" s="32"/>
      <c r="S250" s="32"/>
      <c r="T250" s="32">
        <v>36671</v>
      </c>
    </row>
    <row r="251" spans="1:20">
      <c r="A251" s="134" t="s">
        <v>98</v>
      </c>
      <c r="B251" s="134" t="s">
        <v>200</v>
      </c>
      <c r="C251" s="134" t="s">
        <v>201</v>
      </c>
      <c r="D251" s="134">
        <v>0</v>
      </c>
      <c r="E251" s="15">
        <v>8</v>
      </c>
      <c r="F251" s="130">
        <f t="shared" si="20"/>
        <v>-0.34018909351615362</v>
      </c>
      <c r="G251" s="130">
        <f t="shared" si="21"/>
        <v>10.98320580101775</v>
      </c>
      <c r="H251" s="130">
        <f t="shared" si="22"/>
        <v>0.80967100905277101</v>
      </c>
      <c r="I251" s="130">
        <f t="shared" si="24"/>
        <v>0.15737067288992609</v>
      </c>
      <c r="J251" s="130"/>
      <c r="K251" s="130"/>
      <c r="L251" s="78">
        <v>-15184</v>
      </c>
      <c r="M251" s="14"/>
      <c r="N251" s="53"/>
      <c r="O251" s="52">
        <v>58877</v>
      </c>
      <c r="P251" s="52">
        <v>44634</v>
      </c>
      <c r="Q251" s="52">
        <v>11206</v>
      </c>
      <c r="R251" s="52"/>
      <c r="S251" s="32"/>
      <c r="T251" s="32">
        <v>47671</v>
      </c>
    </row>
    <row r="252" spans="1:20">
      <c r="A252" s="134" t="s">
        <v>98</v>
      </c>
      <c r="B252" s="134" t="s">
        <v>200</v>
      </c>
      <c r="C252" s="134" t="s">
        <v>173</v>
      </c>
      <c r="D252" s="134">
        <v>0</v>
      </c>
      <c r="E252" s="15">
        <v>13</v>
      </c>
      <c r="F252" s="130">
        <f t="shared" si="20"/>
        <v>7.8931673797484767E-2</v>
      </c>
      <c r="G252" s="130">
        <f t="shared" si="21"/>
        <v>10.887324777062158</v>
      </c>
      <c r="H252" s="130">
        <f t="shared" si="22"/>
        <v>0.73526002916214905</v>
      </c>
      <c r="I252" s="130">
        <v>5.8199229376548096E-2</v>
      </c>
      <c r="J252" s="130"/>
      <c r="K252" s="130"/>
      <c r="L252" s="78">
        <v>3044</v>
      </c>
      <c r="M252" s="16"/>
      <c r="N252" s="32"/>
      <c r="O252" s="32">
        <v>53494</v>
      </c>
      <c r="P252" s="32">
        <v>38565</v>
      </c>
      <c r="Q252" s="32">
        <v>14162</v>
      </c>
      <c r="R252" s="32"/>
      <c r="S252" s="32"/>
      <c r="T252" s="32">
        <v>39332</v>
      </c>
    </row>
    <row r="253" spans="1:20">
      <c r="A253" s="134" t="s">
        <v>100</v>
      </c>
      <c r="B253" s="134" t="s">
        <v>200</v>
      </c>
      <c r="C253" s="134" t="s">
        <v>205</v>
      </c>
      <c r="D253" s="134">
        <v>0</v>
      </c>
      <c r="E253" s="15">
        <v>9</v>
      </c>
      <c r="F253" s="130">
        <f t="shared" si="20"/>
        <v>-2.9922073449003316E-3</v>
      </c>
      <c r="G253" s="130">
        <f t="shared" si="21"/>
        <v>10.326596095816887</v>
      </c>
      <c r="H253" s="130">
        <f t="shared" si="22"/>
        <v>0.9306019519224471</v>
      </c>
      <c r="I253" s="130">
        <f t="shared" si="24"/>
        <v>-9.0848598716142162E-2</v>
      </c>
      <c r="J253" s="130"/>
      <c r="K253" s="130"/>
      <c r="L253" s="78">
        <v>-139</v>
      </c>
      <c r="M253" s="16"/>
      <c r="N253" s="47"/>
      <c r="O253" s="32">
        <v>30534</v>
      </c>
      <c r="P253" s="32">
        <v>46454</v>
      </c>
      <c r="Q253" s="32">
        <v>2119</v>
      </c>
      <c r="R253" s="32"/>
      <c r="S253" s="32"/>
      <c r="T253" s="32">
        <v>28415</v>
      </c>
    </row>
    <row r="254" spans="1:20">
      <c r="A254" s="134" t="s">
        <v>100</v>
      </c>
      <c r="B254" s="134" t="s">
        <v>200</v>
      </c>
      <c r="C254" s="134" t="s">
        <v>204</v>
      </c>
      <c r="D254" s="134">
        <v>0</v>
      </c>
      <c r="E254" s="15">
        <v>12</v>
      </c>
      <c r="F254" s="130">
        <f t="shared" si="20"/>
        <v>1.0098637858149366E-2</v>
      </c>
      <c r="G254" s="130">
        <f t="shared" si="21"/>
        <v>11.008777495957478</v>
      </c>
      <c r="H254" s="130">
        <f t="shared" si="22"/>
        <v>0.95692195622661502</v>
      </c>
      <c r="I254" s="130">
        <f t="shared" si="24"/>
        <v>0.39161696217011194</v>
      </c>
      <c r="J254" s="130"/>
      <c r="K254" s="130"/>
      <c r="L254" s="78">
        <v>516</v>
      </c>
      <c r="M254" s="16"/>
      <c r="N254" s="47"/>
      <c r="O254" s="32">
        <v>60402</v>
      </c>
      <c r="P254" s="32">
        <v>51096</v>
      </c>
      <c r="Q254" s="32">
        <v>2602</v>
      </c>
      <c r="R254" s="32"/>
      <c r="S254" s="32"/>
      <c r="T254" s="32">
        <v>57800</v>
      </c>
    </row>
    <row r="255" spans="1:20">
      <c r="A255" s="134" t="s">
        <v>100</v>
      </c>
      <c r="B255" s="134" t="s">
        <v>200</v>
      </c>
      <c r="C255" s="134" t="s">
        <v>202</v>
      </c>
      <c r="D255" s="134">
        <v>0</v>
      </c>
      <c r="E255" s="15">
        <v>13</v>
      </c>
      <c r="F255" s="130">
        <f t="shared" si="20"/>
        <v>-3.1511289048669552E-2</v>
      </c>
      <c r="G255" s="130">
        <f t="shared" si="21"/>
        <v>11.170857601991855</v>
      </c>
      <c r="H255" s="130">
        <f t="shared" si="22"/>
        <v>0.98013515416021402</v>
      </c>
      <c r="I255" s="130">
        <f t="shared" si="24"/>
        <v>-6.6485304586596156E-2</v>
      </c>
      <c r="J255" s="130"/>
      <c r="K255" s="130"/>
      <c r="L255" s="78">
        <v>-1157</v>
      </c>
      <c r="M255" s="16"/>
      <c r="N255" s="47"/>
      <c r="O255" s="32">
        <v>71030</v>
      </c>
      <c r="P255" s="32">
        <v>36717</v>
      </c>
      <c r="Q255" s="32">
        <v>1411</v>
      </c>
      <c r="R255" s="32"/>
      <c r="S255" s="32"/>
      <c r="T255" s="32">
        <v>69619</v>
      </c>
    </row>
    <row r="256" spans="1:20">
      <c r="A256" s="134" t="s">
        <v>100</v>
      </c>
      <c r="B256" s="134" t="s">
        <v>200</v>
      </c>
      <c r="C256" s="134" t="s">
        <v>201</v>
      </c>
      <c r="D256" s="134">
        <v>0</v>
      </c>
      <c r="E256" s="15">
        <v>18</v>
      </c>
      <c r="F256" s="130">
        <f t="shared" si="20"/>
        <v>-2.6543272653310281E-2</v>
      </c>
      <c r="G256" s="130">
        <f t="shared" si="21"/>
        <v>11.402552407488859</v>
      </c>
      <c r="H256" s="130">
        <f t="shared" si="22"/>
        <v>0.22333891680625348</v>
      </c>
      <c r="I256" s="130">
        <f t="shared" si="24"/>
        <v>-0.2366868498680329</v>
      </c>
      <c r="J256" s="130"/>
      <c r="K256" s="130"/>
      <c r="L256" s="78">
        <v>-1044</v>
      </c>
      <c r="M256" s="14"/>
      <c r="N256" s="53"/>
      <c r="O256" s="52">
        <v>89550</v>
      </c>
      <c r="P256" s="52">
        <v>39332</v>
      </c>
      <c r="Q256" s="52">
        <v>69550</v>
      </c>
      <c r="R256" s="52"/>
      <c r="S256" s="32"/>
      <c r="T256" s="32">
        <v>20000</v>
      </c>
    </row>
    <row r="257" spans="1:20">
      <c r="A257" s="134" t="s">
        <v>100</v>
      </c>
      <c r="B257" s="134" t="s">
        <v>200</v>
      </c>
      <c r="C257" s="134" t="s">
        <v>173</v>
      </c>
      <c r="D257" s="134">
        <v>0</v>
      </c>
      <c r="E257" s="15">
        <v>9</v>
      </c>
      <c r="F257" s="130">
        <f t="shared" si="20"/>
        <v>2.328830926874709E-3</v>
      </c>
      <c r="G257" s="130">
        <f t="shared" si="21"/>
        <v>11.093006399891914</v>
      </c>
      <c r="H257" s="130">
        <f t="shared" si="22"/>
        <v>0.99319738243798505</v>
      </c>
      <c r="I257" s="130">
        <v>-6.0094775016481666E-4</v>
      </c>
      <c r="J257" s="130"/>
      <c r="K257" s="130"/>
      <c r="L257" s="69">
        <v>120</v>
      </c>
      <c r="N257" s="32"/>
      <c r="O257" s="32">
        <v>65710</v>
      </c>
      <c r="P257" s="32">
        <v>51528</v>
      </c>
      <c r="Q257" s="32">
        <v>447</v>
      </c>
      <c r="R257" s="32"/>
      <c r="S257" s="32"/>
      <c r="T257" s="32">
        <v>65263</v>
      </c>
    </row>
    <row r="258" spans="1:20" ht="17">
      <c r="A258" s="132" t="s">
        <v>101</v>
      </c>
      <c r="B258" s="132" t="s">
        <v>198</v>
      </c>
      <c r="C258" s="132" t="s">
        <v>205</v>
      </c>
      <c r="D258" s="132">
        <v>0</v>
      </c>
      <c r="E258" s="10">
        <v>2</v>
      </c>
      <c r="F258" s="130">
        <f t="shared" ref="F258:F321" si="27">L258/P258</f>
        <v>-3.4373954973517008E-2</v>
      </c>
      <c r="G258" s="130">
        <f t="shared" ref="G258:G321" si="28">LN(O258)</f>
        <v>12.555090851319905</v>
      </c>
      <c r="H258" s="130">
        <f t="shared" ref="H258:H321" si="29">T258/O258</f>
        <v>0.58996596540109691</v>
      </c>
      <c r="I258" s="130">
        <f t="shared" si="24"/>
        <v>-0.381708919436274</v>
      </c>
      <c r="J258" s="130"/>
      <c r="K258" s="130"/>
      <c r="L258" s="99">
        <v>-6373</v>
      </c>
      <c r="M258" s="100">
        <v>105</v>
      </c>
      <c r="N258" s="101">
        <v>0</v>
      </c>
      <c r="O258" s="101">
        <v>283535</v>
      </c>
      <c r="P258" s="101">
        <v>185402</v>
      </c>
      <c r="Q258" s="101">
        <v>116259</v>
      </c>
      <c r="R258" s="101">
        <v>55567</v>
      </c>
      <c r="S258" s="101">
        <v>111709</v>
      </c>
      <c r="T258" s="102">
        <f t="shared" ref="T258:T267" si="30">R258+S258</f>
        <v>167276</v>
      </c>
    </row>
    <row r="259" spans="1:20" ht="17">
      <c r="A259" s="132" t="s">
        <v>101</v>
      </c>
      <c r="B259" s="132" t="s">
        <v>198</v>
      </c>
      <c r="C259" s="132" t="s">
        <v>203</v>
      </c>
      <c r="D259" s="132">
        <v>0</v>
      </c>
      <c r="E259" s="10">
        <v>2</v>
      </c>
      <c r="F259" s="130">
        <f t="shared" si="27"/>
        <v>9.7258072046474714E-2</v>
      </c>
      <c r="G259" s="130">
        <f t="shared" si="28"/>
        <v>12.73655971015542</v>
      </c>
      <c r="H259" s="130">
        <f t="shared" si="29"/>
        <v>0.5722249023391538</v>
      </c>
      <c r="I259" s="130">
        <f t="shared" ref="I259:I322" si="31">IF(A259=A260, (P259-P260)/P260, "")</f>
        <v>0.10266084193804607</v>
      </c>
      <c r="J259" s="130"/>
      <c r="K259" s="130"/>
      <c r="L259" s="99">
        <v>29164</v>
      </c>
      <c r="M259" s="100">
        <v>110</v>
      </c>
      <c r="N259" s="101">
        <v>0</v>
      </c>
      <c r="O259" s="101">
        <v>339952</v>
      </c>
      <c r="P259" s="101">
        <v>299862</v>
      </c>
      <c r="Q259" s="101">
        <v>145423</v>
      </c>
      <c r="R259" s="101">
        <v>95980</v>
      </c>
      <c r="S259" s="101">
        <v>98549</v>
      </c>
      <c r="T259" s="102">
        <f t="shared" si="30"/>
        <v>194529</v>
      </c>
    </row>
    <row r="260" spans="1:20" ht="17">
      <c r="A260" s="132" t="s">
        <v>101</v>
      </c>
      <c r="B260" s="132" t="s">
        <v>198</v>
      </c>
      <c r="C260" s="132" t="s">
        <v>202</v>
      </c>
      <c r="D260" s="132">
        <v>0</v>
      </c>
      <c r="E260" s="10">
        <v>7</v>
      </c>
      <c r="F260" s="130">
        <f t="shared" si="27"/>
        <v>-6.9764363251257608E-2</v>
      </c>
      <c r="G260" s="130">
        <f t="shared" si="28"/>
        <v>12.987482503210433</v>
      </c>
      <c r="H260" s="130">
        <f t="shared" si="29"/>
        <v>0.71057883774690445</v>
      </c>
      <c r="I260" s="130">
        <f t="shared" si="31"/>
        <v>0.21985726525247723</v>
      </c>
      <c r="J260" s="130"/>
      <c r="K260" s="130"/>
      <c r="L260" s="99">
        <v>-18972</v>
      </c>
      <c r="M260" s="100">
        <v>112</v>
      </c>
      <c r="N260" s="101">
        <v>0</v>
      </c>
      <c r="O260" s="101">
        <v>436910</v>
      </c>
      <c r="P260" s="101">
        <v>271944</v>
      </c>
      <c r="Q260" s="101">
        <v>126451</v>
      </c>
      <c r="R260" s="101">
        <v>106054</v>
      </c>
      <c r="S260" s="101">
        <v>204405</v>
      </c>
      <c r="T260" s="102">
        <f t="shared" si="30"/>
        <v>310459</v>
      </c>
    </row>
    <row r="261" spans="1:20" ht="17">
      <c r="A261" s="132" t="s">
        <v>101</v>
      </c>
      <c r="B261" s="132" t="s">
        <v>198</v>
      </c>
      <c r="C261" s="132" t="s">
        <v>201</v>
      </c>
      <c r="D261" s="132">
        <v>0</v>
      </c>
      <c r="E261" s="132">
        <v>5</v>
      </c>
      <c r="F261" s="130">
        <f t="shared" si="27"/>
        <v>-0.26439570988332711</v>
      </c>
      <c r="G261" s="130">
        <f t="shared" si="28"/>
        <v>12.942707863557493</v>
      </c>
      <c r="H261" s="130">
        <f t="shared" si="29"/>
        <v>0.664274652387985</v>
      </c>
      <c r="I261" s="130">
        <f t="shared" si="31"/>
        <v>0.26668939458507346</v>
      </c>
      <c r="J261" s="130"/>
      <c r="K261" s="130"/>
      <c r="L261" s="99">
        <v>-58942</v>
      </c>
      <c r="M261" s="100">
        <v>110</v>
      </c>
      <c r="N261" s="101">
        <v>0</v>
      </c>
      <c r="O261" s="101">
        <v>417779</v>
      </c>
      <c r="P261" s="101">
        <v>222931</v>
      </c>
      <c r="Q261" s="101">
        <v>140259</v>
      </c>
      <c r="R261" s="101">
        <v>82783</v>
      </c>
      <c r="S261" s="101">
        <v>194737</v>
      </c>
      <c r="T261" s="102">
        <f t="shared" si="30"/>
        <v>277520</v>
      </c>
    </row>
    <row r="262" spans="1:20" ht="17">
      <c r="A262" s="132" t="s">
        <v>101</v>
      </c>
      <c r="B262" s="132" t="s">
        <v>198</v>
      </c>
      <c r="C262" s="132" t="s">
        <v>173</v>
      </c>
      <c r="D262" s="132">
        <v>0</v>
      </c>
      <c r="E262" s="10">
        <v>3</v>
      </c>
      <c r="F262" s="130">
        <f t="shared" si="27"/>
        <v>-0.29518452228756498</v>
      </c>
      <c r="G262" s="130">
        <f t="shared" si="28"/>
        <v>12.780382797678467</v>
      </c>
      <c r="H262" s="130">
        <f t="shared" si="29"/>
        <v>0.80621148090691785</v>
      </c>
      <c r="I262" s="130">
        <v>5.1874645584830695E-2</v>
      </c>
      <c r="J262" s="130"/>
      <c r="K262" s="130"/>
      <c r="L262" s="99">
        <v>-51951</v>
      </c>
      <c r="M262" s="100">
        <v>113</v>
      </c>
      <c r="N262" s="101">
        <v>356</v>
      </c>
      <c r="O262" s="101">
        <v>355181</v>
      </c>
      <c r="P262" s="101">
        <v>175995</v>
      </c>
      <c r="Q262" s="101">
        <v>68831</v>
      </c>
      <c r="R262" s="101">
        <v>125968</v>
      </c>
      <c r="S262" s="101">
        <v>160383</v>
      </c>
      <c r="T262" s="102">
        <f t="shared" si="30"/>
        <v>286351</v>
      </c>
    </row>
    <row r="263" spans="1:20" ht="17">
      <c r="A263" s="130" t="s">
        <v>102</v>
      </c>
      <c r="B263" s="130" t="s">
        <v>172</v>
      </c>
      <c r="C263" s="130" t="s">
        <v>205</v>
      </c>
      <c r="D263" s="130">
        <v>0</v>
      </c>
      <c r="E263" s="7">
        <v>10</v>
      </c>
      <c r="F263" s="130">
        <f t="shared" si="27"/>
        <v>0.10445476145502987</v>
      </c>
      <c r="G263" s="130">
        <f t="shared" si="28"/>
        <v>12.551755901591676</v>
      </c>
      <c r="H263" s="130">
        <f t="shared" si="29"/>
        <v>1.0047453740564987</v>
      </c>
      <c r="I263" s="130">
        <f t="shared" si="31"/>
        <v>2.2656452539383188E-2</v>
      </c>
      <c r="J263" s="130"/>
      <c r="K263" s="130"/>
      <c r="L263" s="79">
        <v>21014</v>
      </c>
      <c r="M263" s="26">
        <v>271</v>
      </c>
      <c r="N263" s="48">
        <v>39386</v>
      </c>
      <c r="O263" s="48">
        <v>282591</v>
      </c>
      <c r="P263" s="48">
        <v>201178</v>
      </c>
      <c r="Q263" s="48">
        <v>-1341</v>
      </c>
      <c r="R263" s="48">
        <v>169957</v>
      </c>
      <c r="S263" s="48">
        <v>113975</v>
      </c>
      <c r="T263" s="35">
        <f t="shared" si="30"/>
        <v>283932</v>
      </c>
    </row>
    <row r="264" spans="1:20" ht="17">
      <c r="A264" s="130" t="s">
        <v>102</v>
      </c>
      <c r="B264" s="130" t="s">
        <v>172</v>
      </c>
      <c r="C264" s="130" t="s">
        <v>203</v>
      </c>
      <c r="D264" s="130">
        <v>0</v>
      </c>
      <c r="E264" s="7">
        <v>13</v>
      </c>
      <c r="F264" s="130">
        <f t="shared" si="27"/>
        <v>0.19687272838181993</v>
      </c>
      <c r="G264" s="130">
        <f t="shared" si="28"/>
        <v>12.394471531227319</v>
      </c>
      <c r="H264" s="130">
        <f t="shared" si="29"/>
        <v>0.84510256229732916</v>
      </c>
      <c r="I264" s="130">
        <f t="shared" si="31"/>
        <v>0.16235139798161236</v>
      </c>
      <c r="J264" s="130"/>
      <c r="K264" s="130"/>
      <c r="L264" s="79">
        <v>38729</v>
      </c>
      <c r="M264" s="26">
        <v>274</v>
      </c>
      <c r="N264" s="48">
        <v>2092</v>
      </c>
      <c r="O264" s="48">
        <v>241463</v>
      </c>
      <c r="P264" s="48">
        <v>196721</v>
      </c>
      <c r="Q264" s="48">
        <v>37403</v>
      </c>
      <c r="R264" s="48">
        <v>161592</v>
      </c>
      <c r="S264" s="48">
        <v>42469</v>
      </c>
      <c r="T264" s="35">
        <f t="shared" si="30"/>
        <v>204061</v>
      </c>
    </row>
    <row r="265" spans="1:20" ht="17">
      <c r="A265" s="130" t="s">
        <v>102</v>
      </c>
      <c r="B265" s="130" t="s">
        <v>172</v>
      </c>
      <c r="C265" s="130" t="s">
        <v>202</v>
      </c>
      <c r="D265" s="130">
        <v>0</v>
      </c>
      <c r="E265" s="7">
        <v>13</v>
      </c>
      <c r="F265" s="130">
        <f t="shared" si="27"/>
        <v>-0.14772754130131643</v>
      </c>
      <c r="G265" s="130">
        <f t="shared" si="28"/>
        <v>12.472551510330852</v>
      </c>
      <c r="H265" s="130">
        <f t="shared" si="29"/>
        <v>0.45955521848378994</v>
      </c>
      <c r="I265" s="130">
        <f t="shared" si="31"/>
        <v>3.4890973351759225E-2</v>
      </c>
      <c r="J265" s="130"/>
      <c r="K265" s="130"/>
      <c r="L265" s="79">
        <v>-25002</v>
      </c>
      <c r="M265" s="26">
        <v>292</v>
      </c>
      <c r="N265" s="48">
        <v>125233</v>
      </c>
      <c r="O265" s="48">
        <v>261072</v>
      </c>
      <c r="P265" s="48">
        <v>169244</v>
      </c>
      <c r="Q265" s="48">
        <v>12199</v>
      </c>
      <c r="R265" s="48">
        <v>15843</v>
      </c>
      <c r="S265" s="48">
        <v>104134</v>
      </c>
      <c r="T265" s="48">
        <f t="shared" si="30"/>
        <v>119977</v>
      </c>
    </row>
    <row r="266" spans="1:20" ht="17">
      <c r="A266" s="130" t="s">
        <v>102</v>
      </c>
      <c r="B266" s="130" t="s">
        <v>172</v>
      </c>
      <c r="C266" s="130" t="s">
        <v>201</v>
      </c>
      <c r="D266" s="130">
        <v>0</v>
      </c>
      <c r="E266" s="130">
        <v>12</v>
      </c>
      <c r="F266" s="130">
        <f t="shared" si="27"/>
        <v>-8.6964497547970504E-2</v>
      </c>
      <c r="G266" s="130">
        <f t="shared" si="28"/>
        <v>12.284259786550393</v>
      </c>
      <c r="H266" s="130">
        <f t="shared" si="29"/>
        <v>1.0064226758837538</v>
      </c>
      <c r="I266" s="130">
        <f t="shared" si="31"/>
        <v>-0.22059811747885141</v>
      </c>
      <c r="J266" s="130"/>
      <c r="K266" s="130"/>
      <c r="L266" s="79">
        <v>-14222</v>
      </c>
      <c r="M266" s="26">
        <v>291</v>
      </c>
      <c r="N266" s="48">
        <v>137287</v>
      </c>
      <c r="O266" s="48">
        <v>216265</v>
      </c>
      <c r="P266" s="48">
        <v>163538</v>
      </c>
      <c r="Q266" s="48">
        <v>-1389</v>
      </c>
      <c r="R266" s="48">
        <v>11122</v>
      </c>
      <c r="S266" s="48">
        <v>206532</v>
      </c>
      <c r="T266" s="35">
        <f t="shared" si="30"/>
        <v>217654</v>
      </c>
    </row>
    <row r="267" spans="1:20">
      <c r="A267" s="130" t="s">
        <v>102</v>
      </c>
      <c r="B267" s="130" t="s">
        <v>172</v>
      </c>
      <c r="C267" s="130" t="s">
        <v>173</v>
      </c>
      <c r="D267" s="130">
        <v>0</v>
      </c>
      <c r="E267" s="130">
        <v>11</v>
      </c>
      <c r="F267" s="130">
        <f t="shared" si="27"/>
        <v>-0.39253187179792687</v>
      </c>
      <c r="G267" s="130">
        <f t="shared" si="28"/>
        <v>12.735532567302572</v>
      </c>
      <c r="H267" s="130">
        <f t="shared" si="29"/>
        <v>0.66788868178431871</v>
      </c>
      <c r="I267" s="130">
        <v>-1.7482340152415871E-4</v>
      </c>
      <c r="J267" s="130"/>
      <c r="K267" s="130"/>
      <c r="L267" s="71">
        <v>-82363</v>
      </c>
      <c r="M267" s="27">
        <v>289</v>
      </c>
      <c r="N267" s="34">
        <v>11335</v>
      </c>
      <c r="O267" s="34">
        <v>339603</v>
      </c>
      <c r="P267" s="34">
        <v>209825</v>
      </c>
      <c r="Q267" s="34">
        <v>112786</v>
      </c>
      <c r="R267" s="34">
        <v>56670</v>
      </c>
      <c r="S267" s="34">
        <v>170147</v>
      </c>
      <c r="T267" s="34">
        <f t="shared" si="30"/>
        <v>226817</v>
      </c>
    </row>
    <row r="268" spans="1:20">
      <c r="A268" s="134" t="s">
        <v>103</v>
      </c>
      <c r="B268" s="134" t="s">
        <v>200</v>
      </c>
      <c r="C268" s="134" t="s">
        <v>203</v>
      </c>
      <c r="D268" s="134">
        <v>0</v>
      </c>
      <c r="E268" s="15">
        <v>9</v>
      </c>
      <c r="F268" s="130">
        <f t="shared" si="27"/>
        <v>9.936771634019341E-2</v>
      </c>
      <c r="G268" s="130">
        <f t="shared" si="28"/>
        <v>10.028356534581997</v>
      </c>
      <c r="H268" s="130">
        <f t="shared" si="29"/>
        <v>0.97060900264783756</v>
      </c>
      <c r="I268" s="130">
        <f t="shared" si="31"/>
        <v>0.54373205741626796</v>
      </c>
      <c r="J268" s="130"/>
      <c r="K268" s="130"/>
      <c r="L268" s="78">
        <v>3206</v>
      </c>
      <c r="M268" s="15"/>
      <c r="N268" s="47"/>
      <c r="O268" s="32">
        <v>22660</v>
      </c>
      <c r="P268" s="32">
        <v>32264</v>
      </c>
      <c r="Q268" s="32">
        <v>666</v>
      </c>
      <c r="R268" s="32"/>
      <c r="S268" s="32"/>
      <c r="T268" s="32">
        <v>21994</v>
      </c>
    </row>
    <row r="269" spans="1:20">
      <c r="A269" s="134" t="s">
        <v>103</v>
      </c>
      <c r="B269" s="134" t="s">
        <v>200</v>
      </c>
      <c r="C269" s="134" t="s">
        <v>202</v>
      </c>
      <c r="D269" s="134">
        <v>0</v>
      </c>
      <c r="E269" s="15">
        <v>18</v>
      </c>
      <c r="F269" s="130">
        <f t="shared" si="27"/>
        <v>0.40488038277511962</v>
      </c>
      <c r="G269" s="130">
        <f t="shared" si="28"/>
        <v>10.656647403002244</v>
      </c>
      <c r="H269" s="130">
        <f t="shared" si="29"/>
        <v>0.78165465932099643</v>
      </c>
      <c r="I269" s="130">
        <f t="shared" si="31"/>
        <v>-0.145473873579197</v>
      </c>
      <c r="J269" s="130"/>
      <c r="K269" s="130"/>
      <c r="L269" s="78">
        <v>8462</v>
      </c>
      <c r="M269" s="15"/>
      <c r="N269" s="47"/>
      <c r="O269" s="32">
        <v>42474</v>
      </c>
      <c r="P269" s="32">
        <v>20900</v>
      </c>
      <c r="Q269" s="32">
        <v>9274</v>
      </c>
      <c r="R269" s="32"/>
      <c r="S269" s="32"/>
      <c r="T269" s="32">
        <v>33200</v>
      </c>
    </row>
    <row r="270" spans="1:20">
      <c r="A270" s="134" t="s">
        <v>103</v>
      </c>
      <c r="B270" s="134" t="s">
        <v>200</v>
      </c>
      <c r="C270" s="134" t="s">
        <v>201</v>
      </c>
      <c r="D270" s="134">
        <v>0</v>
      </c>
      <c r="E270" s="15">
        <v>19</v>
      </c>
      <c r="F270" s="130">
        <f t="shared" si="27"/>
        <v>-0.31727860004906372</v>
      </c>
      <c r="G270" s="130">
        <f t="shared" si="28"/>
        <v>10.444415520118563</v>
      </c>
      <c r="H270" s="130">
        <f t="shared" si="29"/>
        <v>0.9603516534699581</v>
      </c>
      <c r="I270" s="130">
        <v>0.19912909191853548</v>
      </c>
      <c r="J270" s="130"/>
      <c r="K270" s="130"/>
      <c r="L270" s="78">
        <v>-7760</v>
      </c>
      <c r="M270" s="14"/>
      <c r="N270" s="53"/>
      <c r="O270" s="52">
        <v>34352</v>
      </c>
      <c r="P270" s="52">
        <v>24458</v>
      </c>
      <c r="Q270" s="52">
        <v>1362</v>
      </c>
      <c r="R270" s="52"/>
      <c r="S270" s="32"/>
      <c r="T270" s="32">
        <v>32990</v>
      </c>
    </row>
    <row r="271" spans="1:20" ht="17">
      <c r="A271" s="130" t="s">
        <v>104</v>
      </c>
      <c r="B271" s="130" t="s">
        <v>172</v>
      </c>
      <c r="C271" s="130" t="s">
        <v>202</v>
      </c>
      <c r="D271" s="130">
        <v>0</v>
      </c>
      <c r="E271" s="7">
        <v>20</v>
      </c>
      <c r="F271" s="130">
        <f t="shared" si="27"/>
        <v>1.6471850514178637E-2</v>
      </c>
      <c r="G271" s="130">
        <f t="shared" si="28"/>
        <v>11.750878807937918</v>
      </c>
      <c r="H271" s="130">
        <f t="shared" si="29"/>
        <v>1.8442596460804792</v>
      </c>
      <c r="I271" s="130">
        <f t="shared" si="31"/>
        <v>-0.15195883687252501</v>
      </c>
      <c r="J271" s="130"/>
      <c r="K271" s="130"/>
      <c r="L271" s="79">
        <v>2180</v>
      </c>
      <c r="M271" s="26">
        <v>327</v>
      </c>
      <c r="N271" s="48">
        <v>12187</v>
      </c>
      <c r="O271" s="48">
        <v>126865</v>
      </c>
      <c r="P271" s="48">
        <v>132347</v>
      </c>
      <c r="Q271" s="48">
        <v>5368</v>
      </c>
      <c r="R271" s="48">
        <v>17363</v>
      </c>
      <c r="S271" s="48">
        <v>216609</v>
      </c>
      <c r="T271" s="48">
        <f>R271+S271</f>
        <v>233972</v>
      </c>
    </row>
    <row r="272" spans="1:20">
      <c r="A272" s="130" t="s">
        <v>104</v>
      </c>
      <c r="B272" s="130" t="s">
        <v>172</v>
      </c>
      <c r="C272" s="130" t="s">
        <v>173</v>
      </c>
      <c r="D272" s="130">
        <v>0</v>
      </c>
      <c r="E272" s="130">
        <v>20</v>
      </c>
      <c r="F272" s="130">
        <f t="shared" si="27"/>
        <v>-0.13342774025707732</v>
      </c>
      <c r="G272" s="130">
        <f t="shared" si="28"/>
        <v>12.000093440385545</v>
      </c>
      <c r="H272" s="130">
        <f t="shared" si="29"/>
        <v>0.98061067764330034</v>
      </c>
      <c r="I272" s="130">
        <v>0.19504364599999999</v>
      </c>
      <c r="J272" s="130"/>
      <c r="K272" s="130"/>
      <c r="L272" s="71">
        <v>-20823</v>
      </c>
      <c r="M272" s="27">
        <v>354</v>
      </c>
      <c r="N272" s="34">
        <v>27370</v>
      </c>
      <c r="O272" s="34">
        <v>162770</v>
      </c>
      <c r="P272" s="34">
        <v>156062</v>
      </c>
      <c r="Q272" s="34">
        <v>3156</v>
      </c>
      <c r="R272" s="34">
        <v>62341</v>
      </c>
      <c r="S272" s="34">
        <v>97273</v>
      </c>
      <c r="T272" s="34">
        <f>R272+S272</f>
        <v>159614</v>
      </c>
    </row>
    <row r="273" spans="1:20" ht="17">
      <c r="A273" s="134" t="s">
        <v>105</v>
      </c>
      <c r="B273" s="134" t="s">
        <v>200</v>
      </c>
      <c r="C273" s="134" t="s">
        <v>205</v>
      </c>
      <c r="D273" s="134">
        <v>0</v>
      </c>
      <c r="E273" s="15">
        <v>8</v>
      </c>
      <c r="F273" s="130">
        <f t="shared" si="27"/>
        <v>-8.8828936850519583E-2</v>
      </c>
      <c r="G273" s="130">
        <f t="shared" si="28"/>
        <v>12.835800678220464</v>
      </c>
      <c r="H273" s="130">
        <f t="shared" si="29"/>
        <v>0.90965052474561825</v>
      </c>
      <c r="I273" s="130">
        <f t="shared" si="31"/>
        <v>-3.8016052290094679E-2</v>
      </c>
      <c r="J273" s="130"/>
      <c r="K273" s="130"/>
      <c r="L273" s="72">
        <v>-1778</v>
      </c>
      <c r="M273" s="24" t="s">
        <v>197</v>
      </c>
      <c r="N273" s="38">
        <v>0</v>
      </c>
      <c r="O273" s="38">
        <v>375420</v>
      </c>
      <c r="P273" s="38">
        <v>20016</v>
      </c>
      <c r="Q273" s="38">
        <v>33919</v>
      </c>
      <c r="R273" s="38">
        <v>129640</v>
      </c>
      <c r="S273" s="38">
        <v>211861</v>
      </c>
      <c r="T273" s="32">
        <v>341501</v>
      </c>
    </row>
    <row r="274" spans="1:20" ht="17">
      <c r="A274" s="134" t="s">
        <v>105</v>
      </c>
      <c r="B274" s="134" t="s">
        <v>200</v>
      </c>
      <c r="C274" s="134" t="s">
        <v>203</v>
      </c>
      <c r="D274" s="134">
        <v>0</v>
      </c>
      <c r="E274" s="15">
        <v>7</v>
      </c>
      <c r="F274" s="130">
        <f t="shared" si="27"/>
        <v>-7.2812034411496127E-2</v>
      </c>
      <c r="G274" s="130">
        <f t="shared" si="28"/>
        <v>12.790826939661995</v>
      </c>
      <c r="H274" s="130">
        <f t="shared" si="29"/>
        <v>0.91580897718090881</v>
      </c>
      <c r="I274" s="130">
        <f t="shared" si="31"/>
        <v>0.17946828411087806</v>
      </c>
      <c r="J274" s="130"/>
      <c r="K274" s="130"/>
      <c r="L274" s="72">
        <v>-1515</v>
      </c>
      <c r="M274" s="24">
        <v>15</v>
      </c>
      <c r="N274" s="38">
        <v>4356</v>
      </c>
      <c r="O274" s="38">
        <v>358910</v>
      </c>
      <c r="P274" s="38">
        <v>20807</v>
      </c>
      <c r="Q274" s="38">
        <v>30217</v>
      </c>
      <c r="R274" s="38">
        <v>301995</v>
      </c>
      <c r="S274" s="38">
        <v>26698</v>
      </c>
      <c r="T274" s="32">
        <v>328693</v>
      </c>
    </row>
    <row r="275" spans="1:20" ht="17">
      <c r="A275" s="134" t="s">
        <v>105</v>
      </c>
      <c r="B275" s="134" t="s">
        <v>200</v>
      </c>
      <c r="C275" s="134" t="s">
        <v>202</v>
      </c>
      <c r="D275" s="134">
        <v>0</v>
      </c>
      <c r="E275" s="15">
        <v>5</v>
      </c>
      <c r="F275" s="130">
        <f t="shared" si="27"/>
        <v>-0.12510628649169547</v>
      </c>
      <c r="G275" s="130">
        <f t="shared" si="28"/>
        <v>12.730141193411955</v>
      </c>
      <c r="H275" s="130">
        <f t="shared" si="29"/>
        <v>0.92356791611033318</v>
      </c>
      <c r="I275" s="130">
        <f t="shared" si="31"/>
        <v>-0.73933152077545949</v>
      </c>
      <c r="J275" s="130"/>
      <c r="K275" s="130"/>
      <c r="L275" s="72">
        <v>-2207</v>
      </c>
      <c r="M275" s="24" t="s">
        <v>197</v>
      </c>
      <c r="N275" s="38">
        <v>0</v>
      </c>
      <c r="O275" s="38">
        <v>337777</v>
      </c>
      <c r="P275" s="38">
        <v>17641</v>
      </c>
      <c r="Q275" s="38">
        <v>25817</v>
      </c>
      <c r="R275" s="38">
        <v>122129</v>
      </c>
      <c r="S275" s="38">
        <v>189831</v>
      </c>
      <c r="T275" s="32">
        <v>311960</v>
      </c>
    </row>
    <row r="276" spans="1:20">
      <c r="A276" s="134" t="s">
        <v>105</v>
      </c>
      <c r="B276" s="134" t="s">
        <v>200</v>
      </c>
      <c r="C276" s="134" t="s">
        <v>201</v>
      </c>
      <c r="D276" s="134">
        <v>0</v>
      </c>
      <c r="E276" s="15">
        <v>9</v>
      </c>
      <c r="F276" s="130">
        <f t="shared" si="27"/>
        <v>-0.44566759264731959</v>
      </c>
      <c r="G276" s="130">
        <f t="shared" si="28"/>
        <v>11.846916053419703</v>
      </c>
      <c r="H276" s="130">
        <f t="shared" si="29"/>
        <v>0.48280380657773198</v>
      </c>
      <c r="I276" s="130">
        <f t="shared" si="31"/>
        <v>-0.13715990514317769</v>
      </c>
      <c r="J276" s="130"/>
      <c r="K276" s="130"/>
      <c r="L276" s="78">
        <v>-30161</v>
      </c>
      <c r="M276" s="14"/>
      <c r="N276" s="53"/>
      <c r="O276" s="52">
        <v>139653</v>
      </c>
      <c r="P276" s="52">
        <v>67676</v>
      </c>
      <c r="Q276" s="52">
        <v>72228</v>
      </c>
      <c r="R276" s="52"/>
      <c r="S276" s="32"/>
      <c r="T276" s="32">
        <v>67425</v>
      </c>
    </row>
    <row r="277" spans="1:20" ht="17">
      <c r="A277" s="134" t="s">
        <v>105</v>
      </c>
      <c r="B277" s="134" t="s">
        <v>200</v>
      </c>
      <c r="C277" s="134" t="s">
        <v>173</v>
      </c>
      <c r="D277" s="134">
        <v>0</v>
      </c>
      <c r="E277" s="15">
        <v>5</v>
      </c>
      <c r="F277" s="130">
        <f t="shared" si="27"/>
        <v>-0.76042277583700946</v>
      </c>
      <c r="G277" s="130">
        <f t="shared" si="28"/>
        <v>11.121156139991051</v>
      </c>
      <c r="H277" s="130">
        <f t="shared" si="29"/>
        <v>0.79121415677803097</v>
      </c>
      <c r="I277" s="130">
        <v>-0.18375979852446345</v>
      </c>
      <c r="J277" s="130"/>
      <c r="K277" s="130"/>
      <c r="L277" s="72">
        <v>-59643</v>
      </c>
      <c r="M277" s="24" t="s">
        <v>197</v>
      </c>
      <c r="N277" s="38" t="s">
        <v>197</v>
      </c>
      <c r="O277" s="38">
        <v>67586</v>
      </c>
      <c r="P277" s="38">
        <v>78434</v>
      </c>
      <c r="Q277" s="38">
        <v>14111</v>
      </c>
      <c r="R277" s="38" t="s">
        <v>197</v>
      </c>
      <c r="S277" s="38" t="s">
        <v>197</v>
      </c>
      <c r="T277" s="32">
        <v>53475</v>
      </c>
    </row>
    <row r="278" spans="1:20" ht="17">
      <c r="A278" s="134" t="s">
        <v>106</v>
      </c>
      <c r="B278" s="134" t="s">
        <v>200</v>
      </c>
      <c r="C278" s="134" t="s">
        <v>205</v>
      </c>
      <c r="D278" s="134">
        <v>1</v>
      </c>
      <c r="E278" s="15">
        <v>4</v>
      </c>
      <c r="F278" s="130">
        <f t="shared" si="27"/>
        <v>-0.54966530737862584</v>
      </c>
      <c r="G278" s="130">
        <f t="shared" si="28"/>
        <v>12.09332379208818</v>
      </c>
      <c r="H278" s="130">
        <f t="shared" si="29"/>
        <v>0.85044354274520773</v>
      </c>
      <c r="I278" s="130">
        <f t="shared" si="31"/>
        <v>0.10336178554339605</v>
      </c>
      <c r="J278" s="130"/>
      <c r="K278" s="130"/>
      <c r="L278" s="72">
        <v>-78584</v>
      </c>
      <c r="M278" s="24" t="s">
        <v>197</v>
      </c>
      <c r="N278" s="38" t="s">
        <v>197</v>
      </c>
      <c r="O278" s="38">
        <v>178675</v>
      </c>
      <c r="P278" s="38">
        <v>142967</v>
      </c>
      <c r="Q278" s="38">
        <v>26722</v>
      </c>
      <c r="R278" s="38" t="s">
        <v>197</v>
      </c>
      <c r="S278" s="38" t="s">
        <v>197</v>
      </c>
      <c r="T278" s="32">
        <v>151953</v>
      </c>
    </row>
    <row r="279" spans="1:20" ht="17">
      <c r="A279" s="134" t="s">
        <v>106</v>
      </c>
      <c r="B279" s="134" t="s">
        <v>200</v>
      </c>
      <c r="C279" s="134" t="s">
        <v>203</v>
      </c>
      <c r="D279" s="134">
        <v>1</v>
      </c>
      <c r="E279" s="15">
        <v>5</v>
      </c>
      <c r="F279" s="130">
        <f t="shared" si="27"/>
        <v>-0.7055273434485313</v>
      </c>
      <c r="G279" s="130">
        <f t="shared" si="28"/>
        <v>12.351267628263496</v>
      </c>
      <c r="H279" s="130">
        <f t="shared" si="29"/>
        <v>0.8153105040799471</v>
      </c>
      <c r="I279" s="130">
        <f t="shared" si="31"/>
        <v>8.9937921636580806E-2</v>
      </c>
      <c r="J279" s="130"/>
      <c r="K279" s="130"/>
      <c r="L279" s="72">
        <v>-91418</v>
      </c>
      <c r="M279" s="24" t="s">
        <v>197</v>
      </c>
      <c r="N279" s="38" t="s">
        <v>197</v>
      </c>
      <c r="O279" s="38">
        <v>231253</v>
      </c>
      <c r="P279" s="38">
        <v>129574</v>
      </c>
      <c r="Q279" s="38">
        <v>42710</v>
      </c>
      <c r="R279" s="38" t="s">
        <v>197</v>
      </c>
      <c r="S279" s="38" t="s">
        <v>197</v>
      </c>
      <c r="T279" s="32">
        <v>188543</v>
      </c>
    </row>
    <row r="280" spans="1:20" ht="17">
      <c r="A280" s="134" t="s">
        <v>106</v>
      </c>
      <c r="B280" s="134" t="s">
        <v>200</v>
      </c>
      <c r="C280" s="134" t="s">
        <v>202</v>
      </c>
      <c r="D280" s="134">
        <v>1</v>
      </c>
      <c r="E280" s="15">
        <v>2</v>
      </c>
      <c r="F280" s="130">
        <f t="shared" si="27"/>
        <v>-0.82302619404115007</v>
      </c>
      <c r="G280" s="130">
        <f t="shared" si="28"/>
        <v>12.327741455112179</v>
      </c>
      <c r="H280" s="130">
        <f t="shared" si="29"/>
        <v>1.2440852503143318</v>
      </c>
      <c r="I280" s="130">
        <f t="shared" si="31"/>
        <v>-0.18383907730330909</v>
      </c>
      <c r="J280" s="130"/>
      <c r="K280" s="130"/>
      <c r="L280" s="72">
        <v>-97843</v>
      </c>
      <c r="M280" s="24" t="s">
        <v>197</v>
      </c>
      <c r="N280" s="38" t="s">
        <v>197</v>
      </c>
      <c r="O280" s="38">
        <v>225876</v>
      </c>
      <c r="P280" s="38">
        <v>118882</v>
      </c>
      <c r="Q280" s="38">
        <v>-55133</v>
      </c>
      <c r="R280" s="38" t="s">
        <v>197</v>
      </c>
      <c r="S280" s="38" t="s">
        <v>197</v>
      </c>
      <c r="T280" s="32">
        <v>281009</v>
      </c>
    </row>
    <row r="281" spans="1:20" ht="17">
      <c r="A281" s="134" t="s">
        <v>106</v>
      </c>
      <c r="B281" s="134" t="s">
        <v>200</v>
      </c>
      <c r="C281" s="134" t="s">
        <v>201</v>
      </c>
      <c r="D281" s="134">
        <v>1</v>
      </c>
      <c r="E281" s="15">
        <v>5</v>
      </c>
      <c r="F281" s="130">
        <f t="shared" si="27"/>
        <v>-0.52445420843059176</v>
      </c>
      <c r="G281" s="130">
        <f t="shared" si="28"/>
        <v>12.002376266188522</v>
      </c>
      <c r="H281" s="130">
        <f t="shared" si="29"/>
        <v>1.0267313138247662</v>
      </c>
      <c r="I281" s="130">
        <f t="shared" si="31"/>
        <v>-0.38682124530096951</v>
      </c>
      <c r="J281" s="130"/>
      <c r="K281" s="130"/>
      <c r="L281" s="72">
        <v>-76392</v>
      </c>
      <c r="M281" s="24" t="s">
        <v>197</v>
      </c>
      <c r="N281" s="38" t="s">
        <v>197</v>
      </c>
      <c r="O281" s="38">
        <v>163142</v>
      </c>
      <c r="P281" s="38">
        <v>145660</v>
      </c>
      <c r="Q281" s="38">
        <v>-4361</v>
      </c>
      <c r="R281" s="38" t="s">
        <v>197</v>
      </c>
      <c r="S281" s="38" t="s">
        <v>197</v>
      </c>
      <c r="T281" s="32">
        <v>167503</v>
      </c>
    </row>
    <row r="282" spans="1:20" ht="17">
      <c r="A282" s="134" t="s">
        <v>106</v>
      </c>
      <c r="B282" s="134" t="s">
        <v>200</v>
      </c>
      <c r="C282" s="134" t="s">
        <v>173</v>
      </c>
      <c r="D282" s="134">
        <v>1</v>
      </c>
      <c r="E282" s="15">
        <v>2</v>
      </c>
      <c r="F282" s="130">
        <f t="shared" si="27"/>
        <v>-0.13049939170444835</v>
      </c>
      <c r="G282" s="130">
        <f t="shared" si="28"/>
        <v>12.407587984180815</v>
      </c>
      <c r="H282" s="130">
        <f t="shared" si="29"/>
        <v>0.89928919154223774</v>
      </c>
      <c r="I282" s="130">
        <v>-9.4340153856075443E-2</v>
      </c>
      <c r="J282" s="130"/>
      <c r="K282" s="130"/>
      <c r="L282" s="72">
        <v>-31000</v>
      </c>
      <c r="M282" s="24" t="s">
        <v>197</v>
      </c>
      <c r="N282" s="38" t="s">
        <v>197</v>
      </c>
      <c r="O282" s="38">
        <v>244651</v>
      </c>
      <c r="P282" s="38">
        <v>237549</v>
      </c>
      <c r="Q282" s="38">
        <v>24639</v>
      </c>
      <c r="R282" s="38" t="s">
        <v>197</v>
      </c>
      <c r="S282" s="38" t="s">
        <v>197</v>
      </c>
      <c r="T282" s="32">
        <v>220012</v>
      </c>
    </row>
    <row r="283" spans="1:20" ht="17">
      <c r="A283" s="134" t="s">
        <v>107</v>
      </c>
      <c r="B283" s="134" t="s">
        <v>200</v>
      </c>
      <c r="C283" s="134" t="s">
        <v>205</v>
      </c>
      <c r="D283" s="134">
        <v>0</v>
      </c>
      <c r="E283" s="15">
        <v>3</v>
      </c>
      <c r="F283" s="130">
        <f t="shared" si="27"/>
        <v>9.9618435659724006E-3</v>
      </c>
      <c r="G283" s="130">
        <f t="shared" si="28"/>
        <v>13.299506549477837</v>
      </c>
      <c r="H283" s="130">
        <f t="shared" si="29"/>
        <v>0.68972241628008668</v>
      </c>
      <c r="I283" s="130">
        <f t="shared" si="31"/>
        <v>8.3492980185203625E-2</v>
      </c>
      <c r="J283" s="130"/>
      <c r="K283" s="130"/>
      <c r="L283" s="72">
        <v>2710</v>
      </c>
      <c r="M283" s="24">
        <v>153</v>
      </c>
      <c r="N283" s="38">
        <v>8987</v>
      </c>
      <c r="O283" s="38">
        <v>596901</v>
      </c>
      <c r="P283" s="38">
        <v>272038</v>
      </c>
      <c r="Q283" s="38">
        <v>185205</v>
      </c>
      <c r="R283" s="38">
        <v>301641</v>
      </c>
      <c r="S283" s="38">
        <v>110055</v>
      </c>
      <c r="T283" s="32">
        <v>411696</v>
      </c>
    </row>
    <row r="284" spans="1:20" ht="17">
      <c r="A284" s="134" t="s">
        <v>107</v>
      </c>
      <c r="B284" s="134" t="s">
        <v>200</v>
      </c>
      <c r="C284" s="134" t="s">
        <v>203</v>
      </c>
      <c r="D284" s="134">
        <v>0</v>
      </c>
      <c r="E284" s="15">
        <v>3</v>
      </c>
      <c r="F284" s="130">
        <f t="shared" si="27"/>
        <v>1.1618042417604302E-2</v>
      </c>
      <c r="G284" s="130">
        <f t="shared" si="28"/>
        <v>13.331787648289493</v>
      </c>
      <c r="H284" s="130">
        <f t="shared" si="29"/>
        <v>0.69484690600242671</v>
      </c>
      <c r="I284" s="130">
        <f t="shared" si="31"/>
        <v>0.1945826870557337</v>
      </c>
      <c r="J284" s="130"/>
      <c r="K284" s="130"/>
      <c r="L284" s="72">
        <v>2917</v>
      </c>
      <c r="M284" s="24">
        <v>171</v>
      </c>
      <c r="N284" s="38">
        <v>8983</v>
      </c>
      <c r="O284" s="38">
        <v>616484</v>
      </c>
      <c r="P284" s="38">
        <v>251075</v>
      </c>
      <c r="Q284" s="38">
        <v>188122</v>
      </c>
      <c r="R284" s="38">
        <v>311671</v>
      </c>
      <c r="S284" s="38">
        <v>116692</v>
      </c>
      <c r="T284" s="32">
        <v>428362</v>
      </c>
    </row>
    <row r="285" spans="1:20" ht="17">
      <c r="A285" s="134" t="s">
        <v>107</v>
      </c>
      <c r="B285" s="134" t="s">
        <v>200</v>
      </c>
      <c r="C285" s="134" t="s">
        <v>202</v>
      </c>
      <c r="D285" s="134">
        <v>0</v>
      </c>
      <c r="E285" s="15">
        <v>7</v>
      </c>
      <c r="F285" s="130">
        <f t="shared" si="27"/>
        <v>-0.18714613327750765</v>
      </c>
      <c r="G285" s="130">
        <f t="shared" si="28"/>
        <v>13.410446369477096</v>
      </c>
      <c r="H285" s="130">
        <f t="shared" si="29"/>
        <v>0.77690746010849654</v>
      </c>
      <c r="I285" s="130">
        <f t="shared" si="31"/>
        <v>0.29947261362301458</v>
      </c>
      <c r="J285" s="130"/>
      <c r="K285" s="130"/>
      <c r="L285" s="72">
        <v>-39334</v>
      </c>
      <c r="M285" s="24" t="s">
        <v>197</v>
      </c>
      <c r="N285" s="38">
        <v>16689</v>
      </c>
      <c r="O285" s="38">
        <v>666934</v>
      </c>
      <c r="P285" s="38">
        <v>210178</v>
      </c>
      <c r="Q285" s="38">
        <v>148788</v>
      </c>
      <c r="R285" s="38">
        <v>346812</v>
      </c>
      <c r="S285" s="38">
        <v>171334</v>
      </c>
      <c r="T285" s="32">
        <v>518146</v>
      </c>
    </row>
    <row r="286" spans="1:20" ht="17">
      <c r="A286" s="134" t="s">
        <v>107</v>
      </c>
      <c r="B286" s="134" t="s">
        <v>200</v>
      </c>
      <c r="C286" s="134" t="s">
        <v>201</v>
      </c>
      <c r="D286" s="134">
        <v>0</v>
      </c>
      <c r="E286" s="15">
        <v>4</v>
      </c>
      <c r="F286" s="130">
        <f t="shared" si="27"/>
        <v>-0.62145034345033112</v>
      </c>
      <c r="G286" s="130">
        <f t="shared" si="28"/>
        <v>13.400561620174347</v>
      </c>
      <c r="H286" s="130">
        <f t="shared" si="29"/>
        <v>0.92689899965776967</v>
      </c>
      <c r="I286" s="130">
        <f t="shared" si="31"/>
        <v>-0.15321508224872518</v>
      </c>
      <c r="J286" s="130"/>
      <c r="K286" s="130"/>
      <c r="L286" s="72">
        <v>-100514</v>
      </c>
      <c r="M286" s="24" t="s">
        <v>197</v>
      </c>
      <c r="N286" s="38">
        <v>9062</v>
      </c>
      <c r="O286" s="38">
        <v>660374</v>
      </c>
      <c r="P286" s="38">
        <v>161741</v>
      </c>
      <c r="Q286" s="38">
        <v>48274</v>
      </c>
      <c r="R286" s="38">
        <v>446853</v>
      </c>
      <c r="S286" s="38">
        <v>165247</v>
      </c>
      <c r="T286" s="32">
        <v>612100</v>
      </c>
    </row>
    <row r="287" spans="1:20" ht="17">
      <c r="A287" s="134" t="s">
        <v>107</v>
      </c>
      <c r="B287" s="134" t="s">
        <v>200</v>
      </c>
      <c r="C287" s="134" t="s">
        <v>173</v>
      </c>
      <c r="D287" s="134">
        <v>0</v>
      </c>
      <c r="E287" s="15">
        <v>8</v>
      </c>
      <c r="F287" s="130">
        <f t="shared" si="27"/>
        <v>-0.24097148780666575</v>
      </c>
      <c r="G287" s="130">
        <f t="shared" si="28"/>
        <v>13.21605952809143</v>
      </c>
      <c r="H287" s="130">
        <f t="shared" si="29"/>
        <v>0.99590976720638558</v>
      </c>
      <c r="I287" s="130">
        <v>0.1060832996538067</v>
      </c>
      <c r="J287" s="130"/>
      <c r="K287" s="130"/>
      <c r="L287" s="72">
        <v>-46027</v>
      </c>
      <c r="M287" s="24" t="s">
        <v>197</v>
      </c>
      <c r="N287" s="38">
        <v>30132</v>
      </c>
      <c r="O287" s="38">
        <v>549113</v>
      </c>
      <c r="P287" s="38">
        <v>191006</v>
      </c>
      <c r="Q287" s="38">
        <v>2246</v>
      </c>
      <c r="R287" s="38">
        <v>394875</v>
      </c>
      <c r="S287" s="38">
        <v>151991</v>
      </c>
      <c r="T287" s="32">
        <v>546867</v>
      </c>
    </row>
    <row r="288" spans="1:20">
      <c r="A288" s="131" t="s">
        <v>108</v>
      </c>
      <c r="B288" s="131" t="s">
        <v>193</v>
      </c>
      <c r="C288" s="131" t="s">
        <v>202</v>
      </c>
      <c r="D288" s="131">
        <v>0</v>
      </c>
      <c r="E288" s="131">
        <v>10</v>
      </c>
      <c r="F288" s="130">
        <f t="shared" si="27"/>
        <v>3.7712895377128956E-2</v>
      </c>
      <c r="G288" s="130">
        <f t="shared" si="28"/>
        <v>12.578890587306093</v>
      </c>
      <c r="H288" s="130">
        <f t="shared" si="29"/>
        <v>0.84593820170544554</v>
      </c>
      <c r="I288" s="130">
        <f t="shared" si="31"/>
        <v>-9.8401754935756813E-2</v>
      </c>
      <c r="J288" s="130"/>
      <c r="K288" s="130"/>
      <c r="L288" s="75">
        <v>2170</v>
      </c>
      <c r="M288" s="12">
        <v>185</v>
      </c>
      <c r="N288" s="42">
        <v>83467</v>
      </c>
      <c r="O288" s="42">
        <v>290364</v>
      </c>
      <c r="P288" s="42">
        <v>57540</v>
      </c>
      <c r="Q288" s="42">
        <f>O288-T288</f>
        <v>44734</v>
      </c>
      <c r="R288" s="42">
        <v>98753</v>
      </c>
      <c r="S288" s="42">
        <v>146877</v>
      </c>
      <c r="T288" s="42">
        <f>R288+S288</f>
        <v>245630</v>
      </c>
    </row>
    <row r="289" spans="1:20">
      <c r="A289" s="131" t="s">
        <v>108</v>
      </c>
      <c r="B289" s="131" t="s">
        <v>193</v>
      </c>
      <c r="C289" s="131" t="s">
        <v>201</v>
      </c>
      <c r="D289" s="131">
        <v>0</v>
      </c>
      <c r="E289" s="131">
        <v>11</v>
      </c>
      <c r="F289" s="130">
        <f t="shared" si="27"/>
        <v>-1.6452522720150423E-2</v>
      </c>
      <c r="G289" s="130">
        <f t="shared" si="28"/>
        <v>11.468733214177846</v>
      </c>
      <c r="H289" s="130">
        <f t="shared" si="29"/>
        <v>0.98468806505220685</v>
      </c>
      <c r="I289" s="130">
        <f t="shared" si="31"/>
        <v>-0.87405844777332886</v>
      </c>
      <c r="J289" s="130"/>
      <c r="K289" s="130"/>
      <c r="L289" s="75">
        <v>-1050</v>
      </c>
      <c r="M289" s="12">
        <v>354</v>
      </c>
      <c r="N289" s="75">
        <v>54761</v>
      </c>
      <c r="O289" s="42">
        <v>95677</v>
      </c>
      <c r="P289" s="42">
        <v>63820</v>
      </c>
      <c r="Q289" s="42">
        <f>O289-T289</f>
        <v>1465</v>
      </c>
      <c r="R289" s="42">
        <v>56644</v>
      </c>
      <c r="S289" s="42">
        <v>37568</v>
      </c>
      <c r="T289" s="42">
        <f>R289+S289</f>
        <v>94212</v>
      </c>
    </row>
    <row r="290" spans="1:20">
      <c r="A290" s="131" t="s">
        <v>108</v>
      </c>
      <c r="B290" s="131" t="s">
        <v>193</v>
      </c>
      <c r="C290" s="131" t="s">
        <v>173</v>
      </c>
      <c r="D290" s="131">
        <v>0</v>
      </c>
      <c r="E290" s="131">
        <v>10</v>
      </c>
      <c r="F290" s="130">
        <f t="shared" si="27"/>
        <v>2.6443384516411672E-3</v>
      </c>
      <c r="G290" s="130">
        <f t="shared" si="28"/>
        <v>7.8030266436322169</v>
      </c>
      <c r="H290" s="130">
        <f t="shared" si="29"/>
        <v>0.67075163398692805</v>
      </c>
      <c r="I290" s="130">
        <v>6.3411534000000006E-2</v>
      </c>
      <c r="J290" s="130"/>
      <c r="K290" s="130"/>
      <c r="L290" s="75">
        <v>1340</v>
      </c>
      <c r="M290" s="12">
        <v>323</v>
      </c>
      <c r="N290" s="42">
        <v>886</v>
      </c>
      <c r="O290" s="42">
        <v>2448</v>
      </c>
      <c r="P290" s="42">
        <v>506743</v>
      </c>
      <c r="Q290" s="42">
        <f>O290-T290</f>
        <v>806</v>
      </c>
      <c r="R290" s="42">
        <v>1178</v>
      </c>
      <c r="S290" s="42">
        <v>464</v>
      </c>
      <c r="T290" s="42">
        <f>R290+S290</f>
        <v>1642</v>
      </c>
    </row>
    <row r="291" spans="1:20" ht="18">
      <c r="A291" s="133" t="s">
        <v>109</v>
      </c>
      <c r="B291" s="133" t="s">
        <v>199</v>
      </c>
      <c r="C291" s="133" t="s">
        <v>205</v>
      </c>
      <c r="D291" s="133">
        <v>0</v>
      </c>
      <c r="E291" s="135">
        <v>16</v>
      </c>
      <c r="F291" s="130">
        <f t="shared" si="27"/>
        <v>-0.54648514549484517</v>
      </c>
      <c r="G291" s="130">
        <f t="shared" si="28"/>
        <v>11.36828112305642</v>
      </c>
      <c r="H291" s="130">
        <f t="shared" si="29"/>
        <v>2.2457790669455582</v>
      </c>
      <c r="I291" s="130">
        <v>-0.48913641000000002</v>
      </c>
      <c r="J291" s="130"/>
      <c r="K291" s="130"/>
      <c r="L291" s="88">
        <v>-53749</v>
      </c>
      <c r="M291" s="22"/>
      <c r="N291" s="45">
        <v>22345</v>
      </c>
      <c r="O291" s="32">
        <v>86533</v>
      </c>
      <c r="P291" s="38">
        <v>98354</v>
      </c>
      <c r="Q291" s="38">
        <f>O291-T291</f>
        <v>-107801</v>
      </c>
      <c r="R291" s="38"/>
      <c r="S291" s="32"/>
      <c r="T291" s="32">
        <v>194334</v>
      </c>
    </row>
    <row r="292" spans="1:20" ht="17">
      <c r="A292" s="134" t="s">
        <v>111</v>
      </c>
      <c r="B292" s="134" t="s">
        <v>200</v>
      </c>
      <c r="C292" s="134" t="s">
        <v>205</v>
      </c>
      <c r="D292" s="134">
        <v>1</v>
      </c>
      <c r="E292" s="15">
        <v>1</v>
      </c>
      <c r="F292" s="130">
        <f t="shared" si="27"/>
        <v>6.763322606881432E-2</v>
      </c>
      <c r="G292" s="130">
        <f t="shared" si="28"/>
        <v>13.889179147889475</v>
      </c>
      <c r="H292" s="130">
        <f t="shared" si="29"/>
        <v>0.55477356124297461</v>
      </c>
      <c r="I292" s="130">
        <f t="shared" si="31"/>
        <v>7.3325772723201205E-2</v>
      </c>
      <c r="J292" s="130"/>
      <c r="K292" s="130"/>
      <c r="L292" s="72">
        <v>47815</v>
      </c>
      <c r="M292" s="24">
        <v>632</v>
      </c>
      <c r="N292" s="38">
        <v>103885</v>
      </c>
      <c r="O292" s="38">
        <v>1076450</v>
      </c>
      <c r="P292" s="38">
        <v>706975</v>
      </c>
      <c r="Q292" s="38">
        <v>479264</v>
      </c>
      <c r="R292" s="38">
        <v>81730</v>
      </c>
      <c r="S292" s="38">
        <v>515456</v>
      </c>
      <c r="T292" s="32">
        <v>597186</v>
      </c>
    </row>
    <row r="293" spans="1:20" ht="17">
      <c r="A293" s="134" t="s">
        <v>111</v>
      </c>
      <c r="B293" s="134" t="s">
        <v>200</v>
      </c>
      <c r="C293" s="134" t="s">
        <v>203</v>
      </c>
      <c r="D293" s="134">
        <v>1</v>
      </c>
      <c r="E293" s="15">
        <v>1</v>
      </c>
      <c r="F293" s="130">
        <f t="shared" si="27"/>
        <v>4.194316789564536E-2</v>
      </c>
      <c r="G293" s="130">
        <f t="shared" si="28"/>
        <v>13.800543102362488</v>
      </c>
      <c r="H293" s="130">
        <f t="shared" si="29"/>
        <v>0.52538004596282373</v>
      </c>
      <c r="I293" s="130">
        <f t="shared" si="31"/>
        <v>0.26973389982110912</v>
      </c>
      <c r="J293" s="130"/>
      <c r="K293" s="130"/>
      <c r="L293" s="72">
        <v>27627</v>
      </c>
      <c r="M293" s="24" t="s">
        <v>197</v>
      </c>
      <c r="N293" s="38" t="s">
        <v>197</v>
      </c>
      <c r="O293" s="38">
        <v>985144</v>
      </c>
      <c r="P293" s="38">
        <v>658677</v>
      </c>
      <c r="Q293" s="38">
        <v>467569</v>
      </c>
      <c r="R293" s="38" t="s">
        <v>197</v>
      </c>
      <c r="S293" s="38" t="s">
        <v>197</v>
      </c>
      <c r="T293" s="32">
        <v>517575</v>
      </c>
    </row>
    <row r="294" spans="1:20" ht="17">
      <c r="A294" s="134" t="s">
        <v>111</v>
      </c>
      <c r="B294" s="134" t="s">
        <v>200</v>
      </c>
      <c r="C294" s="134" t="s">
        <v>202</v>
      </c>
      <c r="D294" s="134">
        <v>0</v>
      </c>
      <c r="E294" s="15">
        <v>1</v>
      </c>
      <c r="F294" s="130">
        <f t="shared" si="27"/>
        <v>-0.33729219357226575</v>
      </c>
      <c r="G294" s="130">
        <f t="shared" si="28"/>
        <v>13.89929088740374</v>
      </c>
      <c r="H294" s="130">
        <f t="shared" si="29"/>
        <v>0.70216665593761207</v>
      </c>
      <c r="I294" s="130">
        <f t="shared" si="31"/>
        <v>-4.7939611615917838E-2</v>
      </c>
      <c r="J294" s="130"/>
      <c r="K294" s="130"/>
      <c r="L294" s="72">
        <v>-174971</v>
      </c>
      <c r="M294" s="24" t="s">
        <v>197</v>
      </c>
      <c r="N294" s="38">
        <v>197494</v>
      </c>
      <c r="O294" s="38">
        <v>1087390</v>
      </c>
      <c r="P294" s="38">
        <v>518752</v>
      </c>
      <c r="Q294" s="38">
        <v>323861</v>
      </c>
      <c r="R294" s="38">
        <v>97947</v>
      </c>
      <c r="S294" s="38">
        <v>665582</v>
      </c>
      <c r="T294" s="32">
        <v>763529</v>
      </c>
    </row>
    <row r="295" spans="1:20" ht="17">
      <c r="A295" s="134" t="s">
        <v>111</v>
      </c>
      <c r="B295" s="134" t="s">
        <v>200</v>
      </c>
      <c r="C295" s="134" t="s">
        <v>201</v>
      </c>
      <c r="D295" s="134">
        <v>0</v>
      </c>
      <c r="E295" s="15">
        <v>2</v>
      </c>
      <c r="F295" s="130">
        <f t="shared" si="27"/>
        <v>-0.32601358481701243</v>
      </c>
      <c r="G295" s="130">
        <f t="shared" si="28"/>
        <v>13.787617128219823</v>
      </c>
      <c r="H295" s="130">
        <f t="shared" si="29"/>
        <v>0.67580093203851543</v>
      </c>
      <c r="I295" s="130">
        <f t="shared" si="31"/>
        <v>-0.18629035148503023</v>
      </c>
      <c r="J295" s="130"/>
      <c r="K295" s="130"/>
      <c r="L295" s="72">
        <v>-177636</v>
      </c>
      <c r="M295" s="24">
        <v>643</v>
      </c>
      <c r="N295" s="38">
        <v>68444</v>
      </c>
      <c r="O295" s="38">
        <v>972492</v>
      </c>
      <c r="P295" s="38">
        <v>544873</v>
      </c>
      <c r="Q295" s="38">
        <v>315281</v>
      </c>
      <c r="R295" s="38">
        <v>151626</v>
      </c>
      <c r="S295" s="38">
        <v>505585</v>
      </c>
      <c r="T295" s="32">
        <v>657211</v>
      </c>
    </row>
    <row r="296" spans="1:20" ht="17">
      <c r="A296" s="134" t="s">
        <v>111</v>
      </c>
      <c r="B296" s="134" t="s">
        <v>200</v>
      </c>
      <c r="C296" s="134" t="s">
        <v>173</v>
      </c>
      <c r="D296" s="134">
        <v>1</v>
      </c>
      <c r="E296" s="15">
        <v>1</v>
      </c>
      <c r="F296" s="130">
        <f t="shared" si="27"/>
        <v>-0.53825326754438363</v>
      </c>
      <c r="G296" s="130">
        <f t="shared" si="28"/>
        <v>13.838715234858867</v>
      </c>
      <c r="H296" s="130">
        <f t="shared" si="29"/>
        <v>0.85158030085707925</v>
      </c>
      <c r="I296" s="130">
        <v>2.7207427360840565E-2</v>
      </c>
      <c r="J296" s="130"/>
      <c r="K296" s="130"/>
      <c r="L296" s="72">
        <v>-360423</v>
      </c>
      <c r="M296" s="24" t="s">
        <v>197</v>
      </c>
      <c r="N296" s="38" t="s">
        <v>197</v>
      </c>
      <c r="O296" s="38">
        <v>1023476</v>
      </c>
      <c r="P296" s="38">
        <v>669616</v>
      </c>
      <c r="Q296" s="38">
        <v>151904</v>
      </c>
      <c r="R296" s="38" t="s">
        <v>197</v>
      </c>
      <c r="S296" s="38" t="s">
        <v>197</v>
      </c>
      <c r="T296" s="32">
        <v>871572</v>
      </c>
    </row>
    <row r="297" spans="1:20">
      <c r="A297" s="131" t="s">
        <v>114</v>
      </c>
      <c r="B297" s="131" t="s">
        <v>193</v>
      </c>
      <c r="C297" s="131" t="s">
        <v>203</v>
      </c>
      <c r="D297" s="131">
        <v>0</v>
      </c>
      <c r="E297" s="131">
        <v>20</v>
      </c>
      <c r="F297" s="130">
        <f t="shared" si="27"/>
        <v>1.3435013262599469</v>
      </c>
      <c r="G297" s="130">
        <f t="shared" si="28"/>
        <v>8.8254129150855665</v>
      </c>
      <c r="H297" s="130">
        <f t="shared" si="29"/>
        <v>1.0385011021307862</v>
      </c>
      <c r="I297" s="130">
        <f t="shared" si="31"/>
        <v>-0.27708533077660596</v>
      </c>
      <c r="J297" s="130"/>
      <c r="K297" s="130"/>
      <c r="L297" s="75">
        <v>10130</v>
      </c>
      <c r="M297" s="12">
        <v>156</v>
      </c>
      <c r="N297" s="42">
        <v>785</v>
      </c>
      <c r="O297" s="42">
        <v>6805</v>
      </c>
      <c r="P297" s="42">
        <v>7540</v>
      </c>
      <c r="Q297" s="42">
        <f>O297-T297</f>
        <v>-262</v>
      </c>
      <c r="R297" s="42">
        <v>6809</v>
      </c>
      <c r="S297" s="42">
        <v>258</v>
      </c>
      <c r="T297" s="42">
        <f>R297+S297</f>
        <v>7067</v>
      </c>
    </row>
    <row r="298" spans="1:20">
      <c r="A298" s="131" t="s">
        <v>114</v>
      </c>
      <c r="B298" s="131" t="s">
        <v>193</v>
      </c>
      <c r="C298" s="131" t="s">
        <v>173</v>
      </c>
      <c r="D298" s="131">
        <v>0</v>
      </c>
      <c r="E298" s="131">
        <v>12</v>
      </c>
      <c r="F298" s="130">
        <f t="shared" si="27"/>
        <v>-0.67785234899328861</v>
      </c>
      <c r="G298" s="130">
        <f t="shared" si="28"/>
        <v>4.9126548857360524</v>
      </c>
      <c r="H298" s="130">
        <f t="shared" si="29"/>
        <v>10.272058823529411</v>
      </c>
      <c r="I298" s="130">
        <v>-0.39015435999999998</v>
      </c>
      <c r="J298" s="130"/>
      <c r="K298" s="130"/>
      <c r="L298" s="75">
        <v>-7070</v>
      </c>
      <c r="M298" s="12">
        <v>98</v>
      </c>
      <c r="N298" s="42">
        <v>476</v>
      </c>
      <c r="O298" s="42">
        <v>136</v>
      </c>
      <c r="P298" s="42">
        <v>10430</v>
      </c>
      <c r="Q298" s="42">
        <f>O298-T298</f>
        <v>-1261</v>
      </c>
      <c r="R298" s="42">
        <v>689</v>
      </c>
      <c r="S298" s="42">
        <v>708</v>
      </c>
      <c r="T298" s="42">
        <f>R298+S298</f>
        <v>1397</v>
      </c>
    </row>
    <row r="299" spans="1:20">
      <c r="A299" s="134" t="s">
        <v>115</v>
      </c>
      <c r="B299" s="134" t="s">
        <v>200</v>
      </c>
      <c r="C299" s="134" t="s">
        <v>201</v>
      </c>
      <c r="D299" s="134">
        <v>0</v>
      </c>
      <c r="E299" s="15">
        <v>7</v>
      </c>
      <c r="F299" s="130">
        <f t="shared" si="27"/>
        <v>-0.71510252956144293</v>
      </c>
      <c r="G299" s="130">
        <f t="shared" si="28"/>
        <v>11.552155793461898</v>
      </c>
      <c r="H299" s="130">
        <f t="shared" si="29"/>
        <v>0.62030172786800131</v>
      </c>
      <c r="I299" s="130">
        <f t="shared" si="31"/>
        <v>-0.2963220424671385</v>
      </c>
      <c r="J299" s="130"/>
      <c r="K299" s="130"/>
      <c r="L299" s="78">
        <v>-23888</v>
      </c>
      <c r="M299" s="14"/>
      <c r="N299" s="53"/>
      <c r="O299" s="52">
        <v>104001</v>
      </c>
      <c r="P299" s="52">
        <v>33405</v>
      </c>
      <c r="Q299" s="52">
        <v>39489</v>
      </c>
      <c r="R299" s="52"/>
      <c r="S299" s="32"/>
      <c r="T299" s="32">
        <v>64512</v>
      </c>
    </row>
    <row r="300" spans="1:20">
      <c r="A300" s="134" t="s">
        <v>115</v>
      </c>
      <c r="B300" s="134" t="s">
        <v>200</v>
      </c>
      <c r="C300" s="134" t="s">
        <v>173</v>
      </c>
      <c r="D300" s="134">
        <v>0</v>
      </c>
      <c r="E300" s="15">
        <v>7</v>
      </c>
      <c r="F300" s="130">
        <f t="shared" si="27"/>
        <v>3.4546680148297947E-2</v>
      </c>
      <c r="G300" s="130">
        <f t="shared" si="28"/>
        <v>11.93165553647575</v>
      </c>
      <c r="H300" s="130">
        <f t="shared" si="29"/>
        <v>0.74924837009795864</v>
      </c>
      <c r="I300" s="130">
        <v>5.4213341999999998E-2</v>
      </c>
      <c r="J300" s="130"/>
      <c r="K300" s="130"/>
      <c r="L300" s="78">
        <v>1640</v>
      </c>
      <c r="M300" s="16"/>
      <c r="N300" s="32"/>
      <c r="O300" s="32">
        <v>152003</v>
      </c>
      <c r="P300" s="32">
        <v>47472</v>
      </c>
      <c r="Q300" s="32">
        <v>38115</v>
      </c>
      <c r="R300" s="32"/>
      <c r="S300" s="32"/>
      <c r="T300" s="32">
        <v>113888</v>
      </c>
    </row>
    <row r="301" spans="1:20">
      <c r="A301" s="134" t="s">
        <v>116</v>
      </c>
      <c r="B301" s="134" t="s">
        <v>200</v>
      </c>
      <c r="C301" s="134" t="s">
        <v>205</v>
      </c>
      <c r="D301" s="134">
        <v>0</v>
      </c>
      <c r="E301" s="15">
        <v>15</v>
      </c>
      <c r="F301" s="130">
        <f t="shared" si="27"/>
        <v>0.14341826450979378</v>
      </c>
      <c r="G301" s="130">
        <f t="shared" si="28"/>
        <v>10.292857153479407</v>
      </c>
      <c r="H301" s="130">
        <f t="shared" si="29"/>
        <v>0.7197926899495275</v>
      </c>
      <c r="I301" s="130">
        <f t="shared" si="31"/>
        <v>-0.20484106273244704</v>
      </c>
      <c r="J301" s="130"/>
      <c r="K301" s="130"/>
      <c r="L301" s="78">
        <v>5550</v>
      </c>
      <c r="M301" s="16"/>
      <c r="N301" s="47"/>
      <c r="O301" s="32">
        <v>29521</v>
      </c>
      <c r="P301" s="32">
        <v>38698</v>
      </c>
      <c r="Q301" s="32">
        <v>8272</v>
      </c>
      <c r="R301" s="32"/>
      <c r="S301" s="32"/>
      <c r="T301" s="32">
        <v>21249</v>
      </c>
    </row>
    <row r="302" spans="1:20">
      <c r="A302" s="134" t="s">
        <v>116</v>
      </c>
      <c r="B302" s="134" t="s">
        <v>200</v>
      </c>
      <c r="C302" s="134" t="s">
        <v>203</v>
      </c>
      <c r="D302" s="134">
        <v>0</v>
      </c>
      <c r="E302" s="15">
        <v>11</v>
      </c>
      <c r="F302" s="130">
        <f t="shared" si="27"/>
        <v>0.10123903260936569</v>
      </c>
      <c r="G302" s="130">
        <f t="shared" si="28"/>
        <v>10.596609732783568</v>
      </c>
      <c r="H302" s="130">
        <f t="shared" si="29"/>
        <v>0.67111677791944802</v>
      </c>
      <c r="I302" s="130">
        <f t="shared" si="31"/>
        <v>0.28660180828001902</v>
      </c>
      <c r="J302" s="130"/>
      <c r="K302" s="130"/>
      <c r="L302" s="78">
        <v>4927</v>
      </c>
      <c r="M302" s="16"/>
      <c r="N302" s="47"/>
      <c r="O302" s="32">
        <v>39999</v>
      </c>
      <c r="P302" s="32">
        <v>48667</v>
      </c>
      <c r="Q302" s="32">
        <v>13155</v>
      </c>
      <c r="R302" s="32"/>
      <c r="S302" s="32"/>
      <c r="T302" s="32">
        <v>26844</v>
      </c>
    </row>
    <row r="303" spans="1:20">
      <c r="A303" s="134" t="s">
        <v>116</v>
      </c>
      <c r="B303" s="134" t="s">
        <v>200</v>
      </c>
      <c r="C303" s="134" t="s">
        <v>202</v>
      </c>
      <c r="D303" s="134">
        <v>0</v>
      </c>
      <c r="E303" s="15">
        <v>10</v>
      </c>
      <c r="F303" s="130">
        <f t="shared" si="27"/>
        <v>6.1518532226510866E-2</v>
      </c>
      <c r="G303" s="130">
        <f t="shared" si="28"/>
        <v>11.291642681353503</v>
      </c>
      <c r="H303" s="130">
        <f t="shared" si="29"/>
        <v>0.80733384072165593</v>
      </c>
      <c r="I303" s="130">
        <f t="shared" si="31"/>
        <v>-4.3856323146533205E-2</v>
      </c>
      <c r="J303" s="130"/>
      <c r="K303" s="130"/>
      <c r="L303" s="78">
        <v>2327</v>
      </c>
      <c r="M303" s="16"/>
      <c r="N303" s="47"/>
      <c r="O303" s="32">
        <v>80149</v>
      </c>
      <c r="P303" s="32">
        <v>37826</v>
      </c>
      <c r="Q303" s="32">
        <v>15442</v>
      </c>
      <c r="R303" s="32"/>
      <c r="S303" s="32"/>
      <c r="T303" s="32">
        <v>64707</v>
      </c>
    </row>
    <row r="304" spans="1:20">
      <c r="A304" s="134" t="s">
        <v>116</v>
      </c>
      <c r="B304" s="134" t="s">
        <v>200</v>
      </c>
      <c r="C304" s="134" t="s">
        <v>201</v>
      </c>
      <c r="D304" s="134">
        <v>0</v>
      </c>
      <c r="E304" s="15">
        <v>15</v>
      </c>
      <c r="F304" s="130">
        <f t="shared" si="27"/>
        <v>-0.18791233790854631</v>
      </c>
      <c r="G304" s="130">
        <f t="shared" si="28"/>
        <v>10.966334484757494</v>
      </c>
      <c r="H304" s="130">
        <f t="shared" si="29"/>
        <v>0.86227803496165278</v>
      </c>
      <c r="I304" s="130">
        <f t="shared" si="31"/>
        <v>-0.3116474109131403</v>
      </c>
      <c r="J304" s="130"/>
      <c r="K304" s="130"/>
      <c r="L304" s="78">
        <v>-7434</v>
      </c>
      <c r="M304" s="14"/>
      <c r="N304" s="53"/>
      <c r="O304" s="52">
        <v>57892</v>
      </c>
      <c r="P304" s="52">
        <v>39561</v>
      </c>
      <c r="Q304" s="52">
        <v>7973</v>
      </c>
      <c r="R304" s="52"/>
      <c r="S304" s="32"/>
      <c r="T304" s="32">
        <v>49919</v>
      </c>
    </row>
    <row r="305" spans="1:20">
      <c r="A305" s="134" t="s">
        <v>116</v>
      </c>
      <c r="B305" s="134" t="s">
        <v>200</v>
      </c>
      <c r="C305" s="134" t="s">
        <v>173</v>
      </c>
      <c r="D305" s="134">
        <v>0</v>
      </c>
      <c r="E305" s="15">
        <v>6</v>
      </c>
      <c r="F305" s="130">
        <f t="shared" si="27"/>
        <v>3.6574331848552341E-2</v>
      </c>
      <c r="G305" s="130">
        <f t="shared" si="28"/>
        <v>10.827567866685113</v>
      </c>
      <c r="H305" s="130">
        <f t="shared" si="29"/>
        <v>0.80030164116608127</v>
      </c>
      <c r="I305" s="130">
        <v>-6.8435747128025387E-2</v>
      </c>
      <c r="J305" s="130"/>
      <c r="K305" s="130"/>
      <c r="L305" s="78">
        <v>2102</v>
      </c>
      <c r="M305" s="16"/>
      <c r="N305" s="32"/>
      <c r="O305" s="32">
        <v>50391</v>
      </c>
      <c r="P305" s="32">
        <v>57472</v>
      </c>
      <c r="Q305" s="32">
        <v>10063</v>
      </c>
      <c r="R305" s="32"/>
      <c r="S305" s="32"/>
      <c r="T305" s="32">
        <v>40328</v>
      </c>
    </row>
    <row r="306" spans="1:20" ht="17">
      <c r="A306" s="131" t="s">
        <v>117</v>
      </c>
      <c r="B306" s="131" t="s">
        <v>193</v>
      </c>
      <c r="C306" s="131" t="s">
        <v>205</v>
      </c>
      <c r="D306" s="131">
        <v>0</v>
      </c>
      <c r="E306" s="131">
        <v>6</v>
      </c>
      <c r="F306" s="130">
        <f t="shared" si="27"/>
        <v>6.9533299729879934E-3</v>
      </c>
      <c r="G306" s="130">
        <f t="shared" si="28"/>
        <v>11.729793365516766</v>
      </c>
      <c r="H306" s="130">
        <f t="shared" si="29"/>
        <v>0.95309858474617204</v>
      </c>
      <c r="I306" s="130">
        <f t="shared" si="31"/>
        <v>-0.28945845922143754</v>
      </c>
      <c r="J306" s="130"/>
      <c r="K306" s="130"/>
      <c r="L306" s="94">
        <v>538</v>
      </c>
      <c r="M306" s="98">
        <v>243</v>
      </c>
      <c r="N306" s="96">
        <v>9542</v>
      </c>
      <c r="O306" s="96">
        <v>124218</v>
      </c>
      <c r="P306" s="96">
        <v>77373</v>
      </c>
      <c r="Q306" s="96">
        <v>5826</v>
      </c>
      <c r="R306" s="96">
        <v>38102</v>
      </c>
      <c r="S306" s="96">
        <v>80290</v>
      </c>
      <c r="T306" s="42">
        <f t="shared" ref="T306:T343" si="32">R306+S306</f>
        <v>118392</v>
      </c>
    </row>
    <row r="307" spans="1:20" ht="17">
      <c r="A307" s="131" t="s">
        <v>117</v>
      </c>
      <c r="B307" s="131" t="s">
        <v>193</v>
      </c>
      <c r="C307" s="131" t="s">
        <v>203</v>
      </c>
      <c r="D307" s="131">
        <v>0</v>
      </c>
      <c r="E307" s="131">
        <v>10</v>
      </c>
      <c r="F307" s="130">
        <f t="shared" si="27"/>
        <v>5.6560109465254881E-2</v>
      </c>
      <c r="G307" s="130">
        <f t="shared" si="28"/>
        <v>12.131257500311589</v>
      </c>
      <c r="H307" s="130">
        <f t="shared" si="29"/>
        <v>0.93676144905513969</v>
      </c>
      <c r="I307" s="130">
        <f t="shared" si="31"/>
        <v>6.3428973222133242E-2</v>
      </c>
      <c r="J307" s="130"/>
      <c r="K307" s="130"/>
      <c r="L307" s="94">
        <v>6159</v>
      </c>
      <c r="M307" s="98">
        <v>408</v>
      </c>
      <c r="N307" s="96">
        <v>17508</v>
      </c>
      <c r="O307" s="96">
        <v>185583</v>
      </c>
      <c r="P307" s="96">
        <v>108893</v>
      </c>
      <c r="Q307" s="96">
        <v>11736</v>
      </c>
      <c r="R307" s="96">
        <v>57276</v>
      </c>
      <c r="S307" s="96">
        <v>116571</v>
      </c>
      <c r="T307" s="42">
        <f t="shared" si="32"/>
        <v>173847</v>
      </c>
    </row>
    <row r="308" spans="1:20" ht="17">
      <c r="A308" s="131" t="s">
        <v>117</v>
      </c>
      <c r="B308" s="131" t="s">
        <v>193</v>
      </c>
      <c r="C308" s="131" t="s">
        <v>202</v>
      </c>
      <c r="D308" s="131">
        <v>0</v>
      </c>
      <c r="E308" s="131">
        <v>15</v>
      </c>
      <c r="F308" s="130">
        <f t="shared" si="27"/>
        <v>1.3847926717318697E-2</v>
      </c>
      <c r="G308" s="130">
        <f t="shared" si="28"/>
        <v>12.079465794263994</v>
      </c>
      <c r="H308" s="130">
        <f t="shared" si="29"/>
        <v>0.92546647296499751</v>
      </c>
      <c r="I308" s="130">
        <f t="shared" si="31"/>
        <v>0.16784708203601692</v>
      </c>
      <c r="J308" s="130"/>
      <c r="K308" s="130"/>
      <c r="L308" s="94">
        <v>1418</v>
      </c>
      <c r="M308" s="98">
        <v>400</v>
      </c>
      <c r="N308" s="96">
        <v>13452</v>
      </c>
      <c r="O308" s="96">
        <v>176216</v>
      </c>
      <c r="P308" s="96">
        <v>102398</v>
      </c>
      <c r="Q308" s="96">
        <v>13134</v>
      </c>
      <c r="R308" s="96">
        <v>35768</v>
      </c>
      <c r="S308" s="96">
        <v>127314</v>
      </c>
      <c r="T308" s="42">
        <f t="shared" si="32"/>
        <v>163082</v>
      </c>
    </row>
    <row r="309" spans="1:20" ht="17">
      <c r="A309" s="131" t="s">
        <v>117</v>
      </c>
      <c r="B309" s="131" t="s">
        <v>193</v>
      </c>
      <c r="C309" s="131" t="s">
        <v>201</v>
      </c>
      <c r="D309" s="131">
        <v>0</v>
      </c>
      <c r="E309" s="131">
        <v>6</v>
      </c>
      <c r="F309" s="130">
        <f t="shared" si="27"/>
        <v>-0.41838026482362201</v>
      </c>
      <c r="G309" s="130">
        <f t="shared" si="28"/>
        <v>11.809007161600341</v>
      </c>
      <c r="H309" s="130">
        <f t="shared" si="29"/>
        <v>1.2328905680584272</v>
      </c>
      <c r="I309" s="130">
        <f t="shared" si="31"/>
        <v>-0.28501883653799109</v>
      </c>
      <c r="J309" s="130"/>
      <c r="K309" s="130"/>
      <c r="L309" s="94">
        <v>-36684</v>
      </c>
      <c r="M309" s="98">
        <v>384</v>
      </c>
      <c r="N309" s="96">
        <v>37024</v>
      </c>
      <c r="O309" s="96">
        <v>134458</v>
      </c>
      <c r="P309" s="96">
        <v>87681</v>
      </c>
      <c r="Q309" s="96">
        <v>-31314</v>
      </c>
      <c r="R309" s="96">
        <v>31067</v>
      </c>
      <c r="S309" s="96">
        <v>134705</v>
      </c>
      <c r="T309" s="42">
        <f t="shared" si="32"/>
        <v>165772</v>
      </c>
    </row>
    <row r="310" spans="1:20" ht="17">
      <c r="A310" s="131" t="s">
        <v>117</v>
      </c>
      <c r="B310" s="131" t="s">
        <v>193</v>
      </c>
      <c r="C310" s="131" t="s">
        <v>173</v>
      </c>
      <c r="D310" s="131">
        <v>1</v>
      </c>
      <c r="E310" s="131">
        <v>5</v>
      </c>
      <c r="F310" s="130">
        <f t="shared" si="27"/>
        <v>-0.31181401568896067</v>
      </c>
      <c r="G310" s="130">
        <f t="shared" si="28"/>
        <v>12.031719258385396</v>
      </c>
      <c r="H310" s="130">
        <f t="shared" si="29"/>
        <v>1.41675</v>
      </c>
      <c r="I310" s="130">
        <v>-8.5800310125319607E-2</v>
      </c>
      <c r="J310" s="130"/>
      <c r="K310" s="130"/>
      <c r="L310" s="94">
        <v>-38239</v>
      </c>
      <c r="M310" s="98">
        <v>450</v>
      </c>
      <c r="N310" s="96">
        <v>39946</v>
      </c>
      <c r="O310" s="96">
        <v>168000</v>
      </c>
      <c r="P310" s="96">
        <v>122634</v>
      </c>
      <c r="Q310" s="96">
        <v>-70013</v>
      </c>
      <c r="R310" s="96">
        <v>82885</v>
      </c>
      <c r="S310" s="96">
        <v>155129</v>
      </c>
      <c r="T310" s="42">
        <f t="shared" si="32"/>
        <v>238014</v>
      </c>
    </row>
    <row r="311" spans="1:20" ht="17">
      <c r="A311" s="131" t="s">
        <v>118</v>
      </c>
      <c r="B311" s="131" t="s">
        <v>193</v>
      </c>
      <c r="C311" s="131" t="s">
        <v>205</v>
      </c>
      <c r="D311" s="131">
        <v>0</v>
      </c>
      <c r="E311" s="131">
        <v>3</v>
      </c>
      <c r="F311" s="130">
        <f t="shared" si="27"/>
        <v>4.1674130596945094E-2</v>
      </c>
      <c r="G311" s="130">
        <f t="shared" si="28"/>
        <v>13.900793358492733</v>
      </c>
      <c r="H311" s="130">
        <f t="shared" si="29"/>
        <v>0.49757443584858013</v>
      </c>
      <c r="I311" s="130">
        <f t="shared" si="31"/>
        <v>0.24186441859770169</v>
      </c>
      <c r="J311" s="130"/>
      <c r="K311" s="130"/>
      <c r="L311" s="94">
        <v>31174</v>
      </c>
      <c r="M311" s="98">
        <v>811</v>
      </c>
      <c r="N311" s="96">
        <v>107564</v>
      </c>
      <c r="O311" s="96">
        <v>1089025</v>
      </c>
      <c r="P311" s="96">
        <v>748042</v>
      </c>
      <c r="Q311" s="96">
        <v>494566</v>
      </c>
      <c r="R311" s="96">
        <v>176436</v>
      </c>
      <c r="S311" s="96">
        <v>365435</v>
      </c>
      <c r="T311" s="42">
        <f t="shared" si="32"/>
        <v>541871</v>
      </c>
    </row>
    <row r="312" spans="1:20" ht="17">
      <c r="A312" s="131" t="s">
        <v>118</v>
      </c>
      <c r="B312" s="131" t="s">
        <v>193</v>
      </c>
      <c r="C312" s="131" t="s">
        <v>203</v>
      </c>
      <c r="D312" s="131">
        <v>0</v>
      </c>
      <c r="E312" s="131">
        <v>3</v>
      </c>
      <c r="F312" s="130">
        <f t="shared" si="27"/>
        <v>6.373992701965954E-2</v>
      </c>
      <c r="G312" s="130">
        <f t="shared" si="28"/>
        <v>13.945031544650263</v>
      </c>
      <c r="H312" s="130">
        <f t="shared" si="29"/>
        <v>0.53205310103023584</v>
      </c>
      <c r="I312" s="130">
        <f t="shared" si="31"/>
        <v>-0.12929459381324082</v>
      </c>
      <c r="J312" s="130"/>
      <c r="K312" s="130"/>
      <c r="L312" s="94">
        <v>38394</v>
      </c>
      <c r="M312" s="108">
        <v>817</v>
      </c>
      <c r="N312" s="96">
        <v>27588</v>
      </c>
      <c r="O312" s="96">
        <v>1138283</v>
      </c>
      <c r="P312" s="96">
        <v>602354</v>
      </c>
      <c r="Q312" s="96">
        <v>533676</v>
      </c>
      <c r="R312" s="96">
        <v>132868</v>
      </c>
      <c r="S312" s="96">
        <v>472759</v>
      </c>
      <c r="T312" s="42">
        <f t="shared" si="32"/>
        <v>605627</v>
      </c>
    </row>
    <row r="313" spans="1:20" ht="17">
      <c r="A313" s="131" t="s">
        <v>118</v>
      </c>
      <c r="B313" s="131" t="s">
        <v>193</v>
      </c>
      <c r="C313" s="131" t="s">
        <v>202</v>
      </c>
      <c r="D313" s="131">
        <v>0</v>
      </c>
      <c r="E313" s="131">
        <v>1</v>
      </c>
      <c r="F313" s="130">
        <f t="shared" si="27"/>
        <v>4.5244290257299795E-4</v>
      </c>
      <c r="G313" s="130">
        <f t="shared" si="28"/>
        <v>14.095001928008301</v>
      </c>
      <c r="H313" s="130">
        <f t="shared" si="29"/>
        <v>0.67963873305521461</v>
      </c>
      <c r="I313" s="130">
        <f t="shared" si="31"/>
        <v>7.975651631028563E-2</v>
      </c>
      <c r="J313" s="130"/>
      <c r="K313" s="130"/>
      <c r="L313" s="94">
        <v>313</v>
      </c>
      <c r="M313" s="108">
        <v>777</v>
      </c>
      <c r="N313" s="96">
        <v>511433</v>
      </c>
      <c r="O313" s="96">
        <v>1322457</v>
      </c>
      <c r="P313" s="96">
        <v>691800</v>
      </c>
      <c r="Q313" s="96">
        <f>O313-T313</f>
        <v>423664</v>
      </c>
      <c r="R313" s="96">
        <v>397465</v>
      </c>
      <c r="S313" s="96">
        <v>501328</v>
      </c>
      <c r="T313" s="42">
        <f t="shared" si="32"/>
        <v>898793</v>
      </c>
    </row>
    <row r="314" spans="1:20" ht="17">
      <c r="A314" s="131" t="s">
        <v>118</v>
      </c>
      <c r="B314" s="131" t="s">
        <v>193</v>
      </c>
      <c r="C314" s="131" t="s">
        <v>201</v>
      </c>
      <c r="D314" s="131">
        <v>0</v>
      </c>
      <c r="E314" s="131">
        <v>2</v>
      </c>
      <c r="F314" s="130">
        <f t="shared" si="27"/>
        <v>1.3641329795536132E-3</v>
      </c>
      <c r="G314" s="130">
        <f t="shared" si="28"/>
        <v>14.276452630030484</v>
      </c>
      <c r="H314" s="130">
        <f t="shared" si="29"/>
        <v>0.71165015417197763</v>
      </c>
      <c r="I314" s="130">
        <f t="shared" si="31"/>
        <v>-0.10986443042160221</v>
      </c>
      <c r="J314" s="130"/>
      <c r="K314" s="130"/>
      <c r="L314" s="75">
        <v>874</v>
      </c>
      <c r="M314" s="108">
        <v>861</v>
      </c>
      <c r="N314" s="96">
        <v>237237</v>
      </c>
      <c r="O314" s="96">
        <v>1585567</v>
      </c>
      <c r="P314" s="96">
        <v>640700</v>
      </c>
      <c r="Q314" s="96">
        <v>533655</v>
      </c>
      <c r="R314" s="96">
        <v>456682</v>
      </c>
      <c r="S314" s="96">
        <v>671687</v>
      </c>
      <c r="T314" s="42">
        <f t="shared" si="32"/>
        <v>1128369</v>
      </c>
    </row>
    <row r="315" spans="1:20" ht="17">
      <c r="A315" s="131" t="s">
        <v>118</v>
      </c>
      <c r="B315" s="131" t="s">
        <v>193</v>
      </c>
      <c r="C315" s="131" t="s">
        <v>173</v>
      </c>
      <c r="D315" s="131">
        <v>0</v>
      </c>
      <c r="E315" s="131">
        <v>1</v>
      </c>
      <c r="F315" s="130">
        <f t="shared" si="27"/>
        <v>1.7972208097496729E-2</v>
      </c>
      <c r="G315" s="130">
        <f t="shared" si="28"/>
        <v>14.634948040113837</v>
      </c>
      <c r="H315" s="130">
        <f t="shared" si="29"/>
        <v>0.75919202299641775</v>
      </c>
      <c r="I315" s="130">
        <v>2.0615477668286072E-2</v>
      </c>
      <c r="J315" s="130"/>
      <c r="K315" s="130"/>
      <c r="L315" s="94">
        <v>12936</v>
      </c>
      <c r="M315" s="98">
        <v>894</v>
      </c>
      <c r="N315" s="96">
        <v>38356</v>
      </c>
      <c r="O315" s="96">
        <v>2269223</v>
      </c>
      <c r="P315" s="96">
        <v>719778</v>
      </c>
      <c r="Q315" s="96">
        <v>546447</v>
      </c>
      <c r="R315" s="96">
        <v>1096046</v>
      </c>
      <c r="S315" s="96">
        <v>626730</v>
      </c>
      <c r="T315" s="42">
        <f t="shared" si="32"/>
        <v>1722776</v>
      </c>
    </row>
    <row r="316" spans="1:20" ht="17">
      <c r="A316" s="132" t="s">
        <v>121</v>
      </c>
      <c r="B316" s="132" t="s">
        <v>198</v>
      </c>
      <c r="C316" s="132" t="s">
        <v>205</v>
      </c>
      <c r="D316" s="132">
        <v>1</v>
      </c>
      <c r="E316" s="10">
        <v>3</v>
      </c>
      <c r="F316" s="130">
        <f t="shared" si="27"/>
        <v>-7.9596927005453594E-2</v>
      </c>
      <c r="G316" s="130">
        <f t="shared" si="28"/>
        <v>13.074724450307126</v>
      </c>
      <c r="H316" s="130">
        <f t="shared" si="29"/>
        <v>1.2211356738173298</v>
      </c>
      <c r="I316" s="130">
        <f t="shared" si="31"/>
        <v>-0.1562165807093977</v>
      </c>
      <c r="J316" s="130"/>
      <c r="K316" s="130"/>
      <c r="L316" s="99">
        <v>-25498</v>
      </c>
      <c r="M316" s="100">
        <v>348</v>
      </c>
      <c r="N316" s="101">
        <v>37762</v>
      </c>
      <c r="O316" s="101">
        <v>476739</v>
      </c>
      <c r="P316" s="101">
        <v>320339</v>
      </c>
      <c r="Q316" s="101">
        <v>-105424</v>
      </c>
      <c r="R316" s="101">
        <v>342188</v>
      </c>
      <c r="S316" s="101">
        <v>239975</v>
      </c>
      <c r="T316" s="102">
        <f t="shared" si="32"/>
        <v>582163</v>
      </c>
    </row>
    <row r="317" spans="1:20" ht="17">
      <c r="A317" s="132" t="s">
        <v>121</v>
      </c>
      <c r="B317" s="132" t="s">
        <v>198</v>
      </c>
      <c r="C317" s="132" t="s">
        <v>203</v>
      </c>
      <c r="D317" s="132">
        <v>1</v>
      </c>
      <c r="E317" s="10">
        <v>6</v>
      </c>
      <c r="F317" s="130">
        <f t="shared" si="27"/>
        <v>-6.3991191794461152E-2</v>
      </c>
      <c r="G317" s="130">
        <f t="shared" si="28"/>
        <v>13.001209918246479</v>
      </c>
      <c r="H317" s="130">
        <f t="shared" si="29"/>
        <v>1.2877351568690751</v>
      </c>
      <c r="I317" s="130">
        <f t="shared" si="31"/>
        <v>0.38652574220904201</v>
      </c>
      <c r="J317" s="130"/>
      <c r="K317" s="130"/>
      <c r="L317" s="99">
        <v>-24294</v>
      </c>
      <c r="M317" s="100">
        <v>406</v>
      </c>
      <c r="N317" s="101">
        <v>38952</v>
      </c>
      <c r="O317" s="101">
        <v>442949</v>
      </c>
      <c r="P317" s="101">
        <v>379646</v>
      </c>
      <c r="Q317" s="101">
        <v>-127452</v>
      </c>
      <c r="R317" s="101">
        <v>317098</v>
      </c>
      <c r="S317" s="101">
        <v>253303</v>
      </c>
      <c r="T317" s="102">
        <f t="shared" si="32"/>
        <v>570401</v>
      </c>
    </row>
    <row r="318" spans="1:20" ht="17">
      <c r="A318" s="132" t="s">
        <v>121</v>
      </c>
      <c r="B318" s="132" t="s">
        <v>198</v>
      </c>
      <c r="C318" s="132" t="s">
        <v>202</v>
      </c>
      <c r="D318" s="132">
        <v>0</v>
      </c>
      <c r="E318" s="10">
        <v>5</v>
      </c>
      <c r="F318" s="130">
        <f t="shared" si="27"/>
        <v>-0.74514172184463001</v>
      </c>
      <c r="G318" s="130">
        <f t="shared" si="28"/>
        <v>13.051874387289839</v>
      </c>
      <c r="H318" s="130">
        <f t="shared" si="29"/>
        <v>1.5203135830924375</v>
      </c>
      <c r="I318" s="130">
        <f t="shared" si="31"/>
        <v>0.20868114259480791</v>
      </c>
      <c r="J318" s="130"/>
      <c r="K318" s="130"/>
      <c r="L318" s="99">
        <v>-204028</v>
      </c>
      <c r="M318" s="100">
        <v>424</v>
      </c>
      <c r="N318" s="101">
        <v>22886</v>
      </c>
      <c r="O318" s="101">
        <v>465969</v>
      </c>
      <c r="P318" s="101">
        <v>273811</v>
      </c>
      <c r="Q318" s="101">
        <v>-242450</v>
      </c>
      <c r="R318" s="101">
        <v>386910</v>
      </c>
      <c r="S318" s="101">
        <v>321509</v>
      </c>
      <c r="T318" s="102">
        <f t="shared" si="32"/>
        <v>708419</v>
      </c>
    </row>
    <row r="319" spans="1:20" ht="17">
      <c r="A319" s="132" t="s">
        <v>121</v>
      </c>
      <c r="B319" s="132" t="s">
        <v>198</v>
      </c>
      <c r="C319" s="132" t="s">
        <v>201</v>
      </c>
      <c r="D319" s="132">
        <v>0</v>
      </c>
      <c r="E319" s="132">
        <v>7</v>
      </c>
      <c r="F319" s="130">
        <f t="shared" si="27"/>
        <v>-0.81804296869827009</v>
      </c>
      <c r="G319" s="130">
        <f t="shared" si="28"/>
        <v>12.835478320584524</v>
      </c>
      <c r="H319" s="130">
        <f t="shared" si="29"/>
        <v>1.7280728166075583</v>
      </c>
      <c r="I319" s="130">
        <f t="shared" si="31"/>
        <v>0.10036187006678809</v>
      </c>
      <c r="J319" s="130"/>
      <c r="K319" s="130"/>
      <c r="L319" s="99">
        <v>-185317</v>
      </c>
      <c r="M319" s="100">
        <v>403</v>
      </c>
      <c r="N319" s="101">
        <v>22968</v>
      </c>
      <c r="O319" s="101">
        <v>375299</v>
      </c>
      <c r="P319" s="101">
        <v>226537</v>
      </c>
      <c r="Q319" s="101">
        <v>-273245</v>
      </c>
      <c r="R319" s="101">
        <v>389087</v>
      </c>
      <c r="S319" s="101">
        <v>259457</v>
      </c>
      <c r="T319" s="102">
        <f t="shared" si="32"/>
        <v>648544</v>
      </c>
    </row>
    <row r="320" spans="1:20" ht="17">
      <c r="A320" s="132" t="s">
        <v>121</v>
      </c>
      <c r="B320" s="132" t="s">
        <v>198</v>
      </c>
      <c r="C320" s="132" t="s">
        <v>173</v>
      </c>
      <c r="D320" s="132">
        <v>1</v>
      </c>
      <c r="E320" s="10">
        <v>6</v>
      </c>
      <c r="F320" s="130">
        <f t="shared" si="27"/>
        <v>-1.0651657559198542</v>
      </c>
      <c r="G320" s="130">
        <f t="shared" si="28"/>
        <v>12.80278050905021</v>
      </c>
      <c r="H320" s="130">
        <f t="shared" si="29"/>
        <v>1.9370667298045845</v>
      </c>
      <c r="I320" s="130">
        <v>0.13483804354031009</v>
      </c>
      <c r="J320" s="130"/>
      <c r="K320" s="130"/>
      <c r="L320" s="99">
        <v>-219291</v>
      </c>
      <c r="M320" s="100">
        <v>455</v>
      </c>
      <c r="N320" s="101">
        <v>20531</v>
      </c>
      <c r="O320" s="101">
        <v>363226</v>
      </c>
      <c r="P320" s="101">
        <v>205875</v>
      </c>
      <c r="Q320" s="101">
        <v>-340367</v>
      </c>
      <c r="R320" s="101">
        <v>460299</v>
      </c>
      <c r="S320" s="101">
        <v>243294</v>
      </c>
      <c r="T320" s="102">
        <f t="shared" si="32"/>
        <v>703593</v>
      </c>
    </row>
    <row r="321" spans="1:20" ht="17">
      <c r="A321" s="132" t="s">
        <v>122</v>
      </c>
      <c r="B321" s="132" t="s">
        <v>198</v>
      </c>
      <c r="C321" s="132" t="s">
        <v>173</v>
      </c>
      <c r="D321" s="132">
        <v>0</v>
      </c>
      <c r="E321" s="10">
        <v>17</v>
      </c>
      <c r="F321" s="130">
        <f t="shared" si="27"/>
        <v>-0.29479533748983466</v>
      </c>
      <c r="G321" s="130">
        <f t="shared" si="28"/>
        <v>11.739782114196322</v>
      </c>
      <c r="H321" s="130">
        <f t="shared" si="29"/>
        <v>1.2199099350416451</v>
      </c>
      <c r="I321" s="130">
        <v>0.18906431000000001</v>
      </c>
      <c r="J321" s="130"/>
      <c r="K321" s="130"/>
      <c r="L321" s="103">
        <v>-4350</v>
      </c>
      <c r="M321" s="100">
        <v>103</v>
      </c>
      <c r="N321" s="102">
        <v>587</v>
      </c>
      <c r="O321" s="102">
        <v>125465</v>
      </c>
      <c r="P321" s="102">
        <v>14756</v>
      </c>
      <c r="Q321" s="102">
        <f>O321-T321</f>
        <v>-27591</v>
      </c>
      <c r="R321" s="102">
        <v>90680</v>
      </c>
      <c r="S321" s="102">
        <v>62376</v>
      </c>
      <c r="T321" s="102">
        <f t="shared" si="32"/>
        <v>153056</v>
      </c>
    </row>
    <row r="322" spans="1:20" ht="17">
      <c r="A322" s="132" t="s">
        <v>123</v>
      </c>
      <c r="B322" s="132" t="s">
        <v>198</v>
      </c>
      <c r="C322" s="132" t="s">
        <v>205</v>
      </c>
      <c r="D322" s="132">
        <v>0</v>
      </c>
      <c r="E322" s="10">
        <v>10</v>
      </c>
      <c r="F322" s="130">
        <f t="shared" ref="F322:F385" si="33">L322/P322</f>
        <v>8.6712854049309701E-2</v>
      </c>
      <c r="G322" s="130">
        <f t="shared" ref="G322:G385" si="34">LN(O322)</f>
        <v>12.322476953400276</v>
      </c>
      <c r="H322" s="130">
        <f t="shared" ref="H322:H385" si="35">T322/O322</f>
        <v>0.79970626196092398</v>
      </c>
      <c r="I322" s="130">
        <f t="shared" si="31"/>
        <v>0.11619783343638831</v>
      </c>
      <c r="J322" s="130"/>
      <c r="K322" s="130"/>
      <c r="L322" s="99">
        <v>12053</v>
      </c>
      <c r="M322" s="100">
        <v>158</v>
      </c>
      <c r="N322" s="101">
        <v>13720</v>
      </c>
      <c r="O322" s="101">
        <v>224690</v>
      </c>
      <c r="P322" s="101">
        <v>138999</v>
      </c>
      <c r="Q322" s="101">
        <v>45004</v>
      </c>
      <c r="R322" s="101">
        <v>56529</v>
      </c>
      <c r="S322" s="101">
        <v>123157</v>
      </c>
      <c r="T322" s="102">
        <f t="shared" si="32"/>
        <v>179686</v>
      </c>
    </row>
    <row r="323" spans="1:20" ht="17">
      <c r="A323" s="132" t="s">
        <v>123</v>
      </c>
      <c r="B323" s="132" t="s">
        <v>198</v>
      </c>
      <c r="C323" s="132" t="s">
        <v>203</v>
      </c>
      <c r="D323" s="132">
        <v>0</v>
      </c>
      <c r="E323" s="10">
        <v>9</v>
      </c>
      <c r="F323" s="130">
        <f t="shared" si="33"/>
        <v>-0.10490729067124926</v>
      </c>
      <c r="G323" s="130">
        <f t="shared" si="34"/>
        <v>12.457916378149264</v>
      </c>
      <c r="H323" s="130">
        <f t="shared" si="35"/>
        <v>0.87585461697223632</v>
      </c>
      <c r="I323" s="130">
        <f t="shared" ref="I323:I386" si="36">IF(A323=A324, (P323-P324)/P324, "")</f>
        <v>0.77227638226713158</v>
      </c>
      <c r="J323" s="130"/>
      <c r="K323" s="130"/>
      <c r="L323" s="99">
        <v>-13064</v>
      </c>
      <c r="M323" s="100">
        <v>167</v>
      </c>
      <c r="N323" s="101">
        <v>26410</v>
      </c>
      <c r="O323" s="101">
        <v>257279</v>
      </c>
      <c r="P323" s="101">
        <v>124529</v>
      </c>
      <c r="Q323" s="101">
        <v>31940</v>
      </c>
      <c r="R323" s="101">
        <v>82621</v>
      </c>
      <c r="S323" s="101">
        <v>142718</v>
      </c>
      <c r="T323" s="102">
        <f t="shared" si="32"/>
        <v>225339</v>
      </c>
    </row>
    <row r="324" spans="1:20" ht="17">
      <c r="A324" s="132" t="s">
        <v>123</v>
      </c>
      <c r="B324" s="132" t="s">
        <v>198</v>
      </c>
      <c r="C324" s="132" t="s">
        <v>202</v>
      </c>
      <c r="D324" s="132">
        <v>0</v>
      </c>
      <c r="E324" s="10">
        <v>15</v>
      </c>
      <c r="F324" s="130">
        <f t="shared" si="33"/>
        <v>-0.20926492563865368</v>
      </c>
      <c r="G324" s="130">
        <f t="shared" si="34"/>
        <v>12.628745513909234</v>
      </c>
      <c r="H324" s="130">
        <f t="shared" si="35"/>
        <v>0.75780699656298844</v>
      </c>
      <c r="I324" s="130">
        <f t="shared" si="36"/>
        <v>-7.9264617239300783E-2</v>
      </c>
      <c r="J324" s="130"/>
      <c r="K324" s="130"/>
      <c r="L324" s="99">
        <v>-14704</v>
      </c>
      <c r="M324" s="100">
        <v>169</v>
      </c>
      <c r="N324" s="101">
        <v>21520</v>
      </c>
      <c r="O324" s="101">
        <v>305207</v>
      </c>
      <c r="P324" s="101">
        <v>70265</v>
      </c>
      <c r="Q324" s="101">
        <v>73919</v>
      </c>
      <c r="R324" s="101">
        <v>109859</v>
      </c>
      <c r="S324" s="101">
        <v>121429</v>
      </c>
      <c r="T324" s="102">
        <f t="shared" si="32"/>
        <v>231288</v>
      </c>
    </row>
    <row r="325" spans="1:20" ht="17">
      <c r="A325" s="132" t="s">
        <v>123</v>
      </c>
      <c r="B325" s="132" t="s">
        <v>198</v>
      </c>
      <c r="C325" s="132" t="s">
        <v>201</v>
      </c>
      <c r="D325" s="132">
        <v>0</v>
      </c>
      <c r="E325" s="132">
        <v>9</v>
      </c>
      <c r="F325" s="130">
        <f t="shared" si="33"/>
        <v>-0.32000681395287889</v>
      </c>
      <c r="G325" s="130">
        <f t="shared" si="34"/>
        <v>12.792950564314253</v>
      </c>
      <c r="H325" s="130">
        <f t="shared" si="35"/>
        <v>0.99963856058141698</v>
      </c>
      <c r="I325" s="130">
        <f t="shared" si="36"/>
        <v>-1.8898488120950324E-2</v>
      </c>
      <c r="J325" s="130"/>
      <c r="K325" s="130"/>
      <c r="L325" s="103">
        <v>-24421</v>
      </c>
      <c r="M325" s="100">
        <v>201</v>
      </c>
      <c r="N325" s="102">
        <v>76784</v>
      </c>
      <c r="O325" s="102">
        <v>359673</v>
      </c>
      <c r="P325" s="102">
        <v>76314</v>
      </c>
      <c r="Q325" s="102">
        <f>O325-T325</f>
        <v>130</v>
      </c>
      <c r="R325" s="102">
        <v>254067</v>
      </c>
      <c r="S325" s="102">
        <v>105476</v>
      </c>
      <c r="T325" s="102">
        <f t="shared" si="32"/>
        <v>359543</v>
      </c>
    </row>
    <row r="326" spans="1:20" ht="17">
      <c r="A326" s="132" t="s">
        <v>123</v>
      </c>
      <c r="B326" s="132" t="s">
        <v>198</v>
      </c>
      <c r="C326" s="132" t="s">
        <v>173</v>
      </c>
      <c r="D326" s="132">
        <v>0</v>
      </c>
      <c r="E326" s="10">
        <v>15</v>
      </c>
      <c r="F326" s="130">
        <f t="shared" si="33"/>
        <v>-0.47243649079502209</v>
      </c>
      <c r="G326" s="130">
        <f t="shared" si="34"/>
        <v>12.487703948944798</v>
      </c>
      <c r="H326" s="130">
        <f t="shared" si="35"/>
        <v>0.9518746840314195</v>
      </c>
      <c r="I326" s="130">
        <v>0.19757777758581721</v>
      </c>
      <c r="J326" s="130"/>
      <c r="K326" s="130"/>
      <c r="L326" s="99">
        <v>-36748</v>
      </c>
      <c r="M326" s="100">
        <v>197</v>
      </c>
      <c r="N326" s="101">
        <v>56552</v>
      </c>
      <c r="O326" s="101">
        <v>265058</v>
      </c>
      <c r="P326" s="101">
        <v>77784</v>
      </c>
      <c r="Q326" s="101">
        <v>12756</v>
      </c>
      <c r="R326" s="101">
        <v>91614</v>
      </c>
      <c r="S326" s="101">
        <v>160688</v>
      </c>
      <c r="T326" s="102">
        <f t="shared" si="32"/>
        <v>252302</v>
      </c>
    </row>
    <row r="327" spans="1:20" ht="17">
      <c r="A327" s="132" t="s">
        <v>124</v>
      </c>
      <c r="B327" s="132" t="s">
        <v>198</v>
      </c>
      <c r="C327" s="132" t="s">
        <v>205</v>
      </c>
      <c r="D327" s="132">
        <v>0</v>
      </c>
      <c r="E327" s="10">
        <v>11</v>
      </c>
      <c r="F327" s="130">
        <f t="shared" si="33"/>
        <v>7.7692777290243806E-2</v>
      </c>
      <c r="G327" s="130">
        <f t="shared" si="34"/>
        <v>12.074082921067221</v>
      </c>
      <c r="H327" s="130">
        <f t="shared" si="35"/>
        <v>0.84461687681862274</v>
      </c>
      <c r="I327" s="130">
        <f t="shared" si="36"/>
        <v>0.52035385396272926</v>
      </c>
      <c r="J327" s="130"/>
      <c r="K327" s="130"/>
      <c r="L327" s="99">
        <v>8145</v>
      </c>
      <c r="M327" s="100">
        <v>159</v>
      </c>
      <c r="N327" s="101">
        <v>26649</v>
      </c>
      <c r="O327" s="101">
        <v>175270</v>
      </c>
      <c r="P327" s="101">
        <v>104836</v>
      </c>
      <c r="Q327" s="101">
        <v>27233</v>
      </c>
      <c r="R327" s="101">
        <v>41128</v>
      </c>
      <c r="S327" s="101">
        <v>106908</v>
      </c>
      <c r="T327" s="102">
        <f t="shared" si="32"/>
        <v>148036</v>
      </c>
    </row>
    <row r="328" spans="1:20" ht="17">
      <c r="A328" s="132" t="s">
        <v>124</v>
      </c>
      <c r="B328" s="132" t="s">
        <v>198</v>
      </c>
      <c r="C328" s="132" t="s">
        <v>203</v>
      </c>
      <c r="D328" s="132">
        <v>0</v>
      </c>
      <c r="E328" s="10">
        <v>11</v>
      </c>
      <c r="F328" s="130">
        <f t="shared" si="33"/>
        <v>1.222536436806613E-2</v>
      </c>
      <c r="G328" s="130">
        <f t="shared" si="34"/>
        <v>12.456099578678142</v>
      </c>
      <c r="H328" s="130">
        <f t="shared" si="35"/>
        <v>0.89067489058143701</v>
      </c>
      <c r="I328" s="130">
        <f t="shared" si="36"/>
        <v>-0.43148183264764323</v>
      </c>
      <c r="J328" s="130"/>
      <c r="K328" s="130"/>
      <c r="L328" s="99">
        <v>843</v>
      </c>
      <c r="M328" s="100">
        <v>180</v>
      </c>
      <c r="N328" s="101">
        <v>25930</v>
      </c>
      <c r="O328" s="101">
        <v>256812</v>
      </c>
      <c r="P328" s="101">
        <v>68955</v>
      </c>
      <c r="Q328" s="101">
        <v>28076</v>
      </c>
      <c r="R328" s="101">
        <v>106410</v>
      </c>
      <c r="S328" s="101">
        <v>122326</v>
      </c>
      <c r="T328" s="102">
        <f t="shared" si="32"/>
        <v>228736</v>
      </c>
    </row>
    <row r="329" spans="1:20" ht="17">
      <c r="A329" s="132" t="s">
        <v>124</v>
      </c>
      <c r="B329" s="132" t="s">
        <v>198</v>
      </c>
      <c r="C329" s="132" t="s">
        <v>202</v>
      </c>
      <c r="D329" s="132">
        <v>0</v>
      </c>
      <c r="E329" s="10">
        <v>8</v>
      </c>
      <c r="F329" s="130">
        <f t="shared" si="33"/>
        <v>-1.4395369736744469E-2</v>
      </c>
      <c r="G329" s="130">
        <f t="shared" si="34"/>
        <v>12.404197831202247</v>
      </c>
      <c r="H329" s="130">
        <f t="shared" si="35"/>
        <v>0.89201182825246184</v>
      </c>
      <c r="I329" s="130">
        <f t="shared" si="36"/>
        <v>3.7252101630848432E-2</v>
      </c>
      <c r="J329" s="130"/>
      <c r="K329" s="130"/>
      <c r="L329" s="99">
        <v>-1746</v>
      </c>
      <c r="M329" s="100">
        <v>182</v>
      </c>
      <c r="N329" s="101">
        <v>5893</v>
      </c>
      <c r="O329" s="101">
        <v>243823</v>
      </c>
      <c r="P329" s="101">
        <v>121289</v>
      </c>
      <c r="Q329" s="101">
        <v>26330</v>
      </c>
      <c r="R329" s="101">
        <v>91905</v>
      </c>
      <c r="S329" s="101">
        <v>125588</v>
      </c>
      <c r="T329" s="102">
        <f t="shared" si="32"/>
        <v>217493</v>
      </c>
    </row>
    <row r="330" spans="1:20" ht="17">
      <c r="A330" s="132" t="s">
        <v>124</v>
      </c>
      <c r="B330" s="132" t="s">
        <v>198</v>
      </c>
      <c r="C330" s="132" t="s">
        <v>201</v>
      </c>
      <c r="D330" s="132">
        <v>0</v>
      </c>
      <c r="E330" s="132">
        <v>8</v>
      </c>
      <c r="F330" s="130">
        <f t="shared" si="33"/>
        <v>-0.11845244712784243</v>
      </c>
      <c r="G330" s="130">
        <f t="shared" si="34"/>
        <v>12.31168412969277</v>
      </c>
      <c r="H330" s="130">
        <f t="shared" si="35"/>
        <v>0.94385409262275166</v>
      </c>
      <c r="I330" s="130">
        <f t="shared" si="36"/>
        <v>-0.15868276397962414</v>
      </c>
      <c r="J330" s="130"/>
      <c r="K330" s="130"/>
      <c r="L330" s="99">
        <v>-13851</v>
      </c>
      <c r="M330" s="100">
        <v>181</v>
      </c>
      <c r="N330" s="101">
        <v>40997</v>
      </c>
      <c r="O330" s="101">
        <v>222278</v>
      </c>
      <c r="P330" s="101">
        <v>116933</v>
      </c>
      <c r="Q330" s="101">
        <v>12480</v>
      </c>
      <c r="R330" s="101">
        <v>58908</v>
      </c>
      <c r="S330" s="101">
        <v>150890</v>
      </c>
      <c r="T330" s="102">
        <f t="shared" si="32"/>
        <v>209798</v>
      </c>
    </row>
    <row r="331" spans="1:20" ht="17">
      <c r="A331" s="132" t="s">
        <v>124</v>
      </c>
      <c r="B331" s="132" t="s">
        <v>198</v>
      </c>
      <c r="C331" s="132" t="s">
        <v>173</v>
      </c>
      <c r="D331" s="132">
        <v>0</v>
      </c>
      <c r="E331" s="10">
        <v>11</v>
      </c>
      <c r="F331" s="130">
        <f t="shared" si="33"/>
        <v>9.9576941894264255E-3</v>
      </c>
      <c r="G331" s="130">
        <f t="shared" si="34"/>
        <v>12.388069149500183</v>
      </c>
      <c r="H331" s="130">
        <f t="shared" si="35"/>
        <v>0.88448745842398779</v>
      </c>
      <c r="I331" s="130">
        <v>-8.1396602584224154E-3</v>
      </c>
      <c r="J331" s="130"/>
      <c r="K331" s="130"/>
      <c r="L331" s="99">
        <v>1384</v>
      </c>
      <c r="M331" s="100">
        <v>228</v>
      </c>
      <c r="N331" s="101">
        <v>23893</v>
      </c>
      <c r="O331" s="101">
        <v>239922</v>
      </c>
      <c r="P331" s="101">
        <v>138988</v>
      </c>
      <c r="Q331" s="101">
        <v>27714</v>
      </c>
      <c r="R331" s="101">
        <v>81654</v>
      </c>
      <c r="S331" s="101">
        <v>130554</v>
      </c>
      <c r="T331" s="102">
        <f t="shared" si="32"/>
        <v>212208</v>
      </c>
    </row>
    <row r="332" spans="1:20" ht="17">
      <c r="A332" s="131" t="s">
        <v>126</v>
      </c>
      <c r="B332" s="131" t="s">
        <v>193</v>
      </c>
      <c r="C332" s="131" t="s">
        <v>205</v>
      </c>
      <c r="D332" s="131">
        <v>0</v>
      </c>
      <c r="E332" s="131">
        <v>7</v>
      </c>
      <c r="F332" s="130">
        <f t="shared" si="33"/>
        <v>0.15573110566300433</v>
      </c>
      <c r="G332" s="130">
        <f t="shared" si="34"/>
        <v>12.411215145734831</v>
      </c>
      <c r="H332" s="130">
        <f t="shared" si="35"/>
        <v>0.58880834079986966</v>
      </c>
      <c r="I332" s="130">
        <f t="shared" si="36"/>
        <v>0.15967820061916896</v>
      </c>
      <c r="J332" s="130"/>
      <c r="K332" s="130"/>
      <c r="L332" s="94">
        <v>25726</v>
      </c>
      <c r="M332" s="98">
        <v>432</v>
      </c>
      <c r="N332" s="96">
        <v>1006</v>
      </c>
      <c r="O332" s="96">
        <v>245540</v>
      </c>
      <c r="P332" s="96">
        <v>165195</v>
      </c>
      <c r="Q332" s="96">
        <v>100964</v>
      </c>
      <c r="R332" s="96">
        <v>32212</v>
      </c>
      <c r="S332" s="96">
        <v>112364</v>
      </c>
      <c r="T332" s="42">
        <f t="shared" si="32"/>
        <v>144576</v>
      </c>
    </row>
    <row r="333" spans="1:20" ht="17">
      <c r="A333" s="131" t="s">
        <v>126</v>
      </c>
      <c r="B333" s="131" t="s">
        <v>193</v>
      </c>
      <c r="C333" s="131" t="s">
        <v>203</v>
      </c>
      <c r="D333" s="131">
        <v>0</v>
      </c>
      <c r="E333" s="131">
        <v>6</v>
      </c>
      <c r="F333" s="130">
        <f t="shared" si="33"/>
        <v>1.7381659400908394E-2</v>
      </c>
      <c r="G333" s="130">
        <f t="shared" si="34"/>
        <v>12.481960438099243</v>
      </c>
      <c r="H333" s="130">
        <f t="shared" si="35"/>
        <v>0.61370190483418074</v>
      </c>
      <c r="I333" s="130">
        <f t="shared" si="36"/>
        <v>-6.4927136667979515E-2</v>
      </c>
      <c r="J333" s="130"/>
      <c r="K333" s="130"/>
      <c r="L333" s="94">
        <v>2476</v>
      </c>
      <c r="M333" s="98">
        <v>444</v>
      </c>
      <c r="N333" s="96">
        <v>1141</v>
      </c>
      <c r="O333" s="96">
        <v>263540</v>
      </c>
      <c r="P333" s="96">
        <v>142449</v>
      </c>
      <c r="Q333" s="96">
        <v>101805</v>
      </c>
      <c r="R333" s="96">
        <v>40636</v>
      </c>
      <c r="S333" s="96">
        <v>121099</v>
      </c>
      <c r="T333" s="42">
        <f t="shared" si="32"/>
        <v>161735</v>
      </c>
    </row>
    <row r="334" spans="1:20" ht="17">
      <c r="A334" s="131" t="s">
        <v>126</v>
      </c>
      <c r="B334" s="131" t="s">
        <v>193</v>
      </c>
      <c r="C334" s="131" t="s">
        <v>202</v>
      </c>
      <c r="D334" s="131">
        <v>0</v>
      </c>
      <c r="E334" s="131">
        <v>4</v>
      </c>
      <c r="F334" s="130">
        <f t="shared" si="33"/>
        <v>7.7655244847052649E-3</v>
      </c>
      <c r="G334" s="130">
        <f t="shared" si="34"/>
        <v>12.739051073937297</v>
      </c>
      <c r="H334" s="130">
        <f t="shared" si="35"/>
        <v>0.71140551643192484</v>
      </c>
      <c r="I334" s="130">
        <f t="shared" si="36"/>
        <v>-0.12165083977652086</v>
      </c>
      <c r="J334" s="130"/>
      <c r="K334" s="130"/>
      <c r="L334" s="94">
        <v>1183</v>
      </c>
      <c r="M334" s="98">
        <v>423</v>
      </c>
      <c r="N334" s="96">
        <v>12815</v>
      </c>
      <c r="O334" s="96">
        <v>340800</v>
      </c>
      <c r="P334" s="96">
        <v>152340</v>
      </c>
      <c r="Q334" s="96">
        <v>98353</v>
      </c>
      <c r="R334" s="96">
        <v>78752</v>
      </c>
      <c r="S334" s="96">
        <v>163695</v>
      </c>
      <c r="T334" s="42">
        <f t="shared" si="32"/>
        <v>242447</v>
      </c>
    </row>
    <row r="335" spans="1:20" ht="17">
      <c r="A335" s="131" t="s">
        <v>126</v>
      </c>
      <c r="B335" s="131" t="s">
        <v>193</v>
      </c>
      <c r="C335" s="131" t="s">
        <v>201</v>
      </c>
      <c r="D335" s="131">
        <v>0</v>
      </c>
      <c r="E335" s="131">
        <v>4</v>
      </c>
      <c r="F335" s="130">
        <f t="shared" si="33"/>
        <v>-0.23846424391284543</v>
      </c>
      <c r="G335" s="130">
        <f t="shared" si="34"/>
        <v>12.482582540978704</v>
      </c>
      <c r="H335" s="130">
        <f t="shared" si="35"/>
        <v>0.78573703849770959</v>
      </c>
      <c r="I335" s="130">
        <f t="shared" si="36"/>
        <v>-0.55051663414216967</v>
      </c>
      <c r="J335" s="130"/>
      <c r="K335" s="130"/>
      <c r="L335" s="94">
        <v>-41359</v>
      </c>
      <c r="M335" s="98">
        <v>397</v>
      </c>
      <c r="N335" s="96">
        <v>12949</v>
      </c>
      <c r="O335" s="96">
        <v>263704</v>
      </c>
      <c r="P335" s="96">
        <v>173439</v>
      </c>
      <c r="Q335" s="96">
        <v>56502</v>
      </c>
      <c r="R335" s="96">
        <v>61193</v>
      </c>
      <c r="S335" s="96">
        <v>146009</v>
      </c>
      <c r="T335" s="42">
        <f t="shared" si="32"/>
        <v>207202</v>
      </c>
    </row>
    <row r="336" spans="1:20" ht="17">
      <c r="A336" s="131" t="s">
        <v>126</v>
      </c>
      <c r="B336" s="131" t="s">
        <v>193</v>
      </c>
      <c r="C336" s="131" t="s">
        <v>173</v>
      </c>
      <c r="D336" s="131">
        <v>0</v>
      </c>
      <c r="E336" s="131">
        <v>4</v>
      </c>
      <c r="F336" s="130">
        <f t="shared" si="33"/>
        <v>1.4199340180323069E-2</v>
      </c>
      <c r="G336" s="130">
        <f t="shared" si="34"/>
        <v>13.660918947608103</v>
      </c>
      <c r="H336" s="130">
        <f t="shared" si="35"/>
        <v>0.86124199751390407</v>
      </c>
      <c r="I336" s="130">
        <v>-0.14435410249187527</v>
      </c>
      <c r="J336" s="130"/>
      <c r="K336" s="130"/>
      <c r="L336" s="94">
        <v>5479</v>
      </c>
      <c r="M336" s="98">
        <v>524</v>
      </c>
      <c r="N336" s="96">
        <v>95635</v>
      </c>
      <c r="O336" s="96">
        <v>856765</v>
      </c>
      <c r="P336" s="96">
        <v>385863</v>
      </c>
      <c r="Q336" s="96">
        <f>O336-T336</f>
        <v>118883</v>
      </c>
      <c r="R336" s="96">
        <v>478007</v>
      </c>
      <c r="S336" s="96">
        <v>259875</v>
      </c>
      <c r="T336" s="42">
        <f t="shared" si="32"/>
        <v>737882</v>
      </c>
    </row>
    <row r="337" spans="1:20" ht="17">
      <c r="A337" s="130" t="s">
        <v>129</v>
      </c>
      <c r="B337" s="130" t="s">
        <v>172</v>
      </c>
      <c r="C337" s="130" t="s">
        <v>205</v>
      </c>
      <c r="D337" s="130">
        <v>0</v>
      </c>
      <c r="E337" s="7">
        <v>17</v>
      </c>
      <c r="F337" s="130">
        <f t="shared" si="33"/>
        <v>0.18651180306897727</v>
      </c>
      <c r="G337" s="130">
        <f t="shared" si="34"/>
        <v>12.569437164286198</v>
      </c>
      <c r="H337" s="130">
        <f t="shared" si="35"/>
        <v>0.63194637592479275</v>
      </c>
      <c r="I337" s="130">
        <f t="shared" si="36"/>
        <v>3.7316533245695081E-2</v>
      </c>
      <c r="J337" s="130"/>
      <c r="K337" s="130"/>
      <c r="L337" s="79">
        <v>31201</v>
      </c>
      <c r="M337" s="26">
        <v>385</v>
      </c>
      <c r="N337" s="48">
        <v>46366</v>
      </c>
      <c r="O337" s="48">
        <v>287632</v>
      </c>
      <c r="P337" s="48">
        <v>167287</v>
      </c>
      <c r="Q337" s="48">
        <v>105864</v>
      </c>
      <c r="R337" s="48">
        <v>57193</v>
      </c>
      <c r="S337" s="48">
        <v>124575</v>
      </c>
      <c r="T337" s="35">
        <f t="shared" si="32"/>
        <v>181768</v>
      </c>
    </row>
    <row r="338" spans="1:20" ht="17">
      <c r="A338" s="130" t="s">
        <v>129</v>
      </c>
      <c r="B338" s="130" t="s">
        <v>172</v>
      </c>
      <c r="C338" s="130" t="s">
        <v>203</v>
      </c>
      <c r="D338" s="130">
        <v>0</v>
      </c>
      <c r="E338" s="7">
        <v>16</v>
      </c>
      <c r="F338" s="130">
        <f t="shared" si="33"/>
        <v>-0.23668528979531095</v>
      </c>
      <c r="G338" s="130">
        <f t="shared" si="34"/>
        <v>12.496534600525615</v>
      </c>
      <c r="H338" s="130">
        <f t="shared" si="35"/>
        <v>0.75113029105228324</v>
      </c>
      <c r="I338" s="130">
        <f t="shared" si="36"/>
        <v>0.16359057981471326</v>
      </c>
      <c r="J338" s="130"/>
      <c r="K338" s="130"/>
      <c r="L338" s="79">
        <v>-38170</v>
      </c>
      <c r="M338" s="26">
        <v>385</v>
      </c>
      <c r="N338" s="48">
        <v>48907</v>
      </c>
      <c r="O338" s="48">
        <v>267409</v>
      </c>
      <c r="P338" s="48">
        <v>161269</v>
      </c>
      <c r="Q338" s="48">
        <v>66550</v>
      </c>
      <c r="R338" s="48">
        <v>58405</v>
      </c>
      <c r="S338" s="48">
        <v>142454</v>
      </c>
      <c r="T338" s="35">
        <f t="shared" si="32"/>
        <v>200859</v>
      </c>
    </row>
    <row r="339" spans="1:20" ht="17">
      <c r="A339" s="130" t="s">
        <v>129</v>
      </c>
      <c r="B339" s="130" t="s">
        <v>172</v>
      </c>
      <c r="C339" s="130" t="s">
        <v>202</v>
      </c>
      <c r="D339" s="130">
        <v>0</v>
      </c>
      <c r="E339" s="7">
        <v>11</v>
      </c>
      <c r="F339" s="130">
        <f t="shared" si="33"/>
        <v>-0.49050477647262547</v>
      </c>
      <c r="G339" s="130">
        <f t="shared" si="34"/>
        <v>12.48410581669433</v>
      </c>
      <c r="H339" s="130">
        <f t="shared" si="35"/>
        <v>1.4455445919441436</v>
      </c>
      <c r="I339" s="130">
        <f t="shared" si="36"/>
        <v>-0.2439297150743818</v>
      </c>
      <c r="J339" s="130"/>
      <c r="K339" s="130"/>
      <c r="L339" s="79">
        <v>-67982</v>
      </c>
      <c r="M339" s="26">
        <v>431</v>
      </c>
      <c r="N339" s="48">
        <v>106340</v>
      </c>
      <c r="O339" s="48">
        <v>264106</v>
      </c>
      <c r="P339" s="48">
        <v>138596</v>
      </c>
      <c r="Q339" s="48">
        <v>13953</v>
      </c>
      <c r="R339" s="48">
        <v>33545</v>
      </c>
      <c r="S339" s="48">
        <v>348232</v>
      </c>
      <c r="T339" s="48">
        <f t="shared" si="32"/>
        <v>381777</v>
      </c>
    </row>
    <row r="340" spans="1:20" ht="17">
      <c r="A340" s="130" t="s">
        <v>129</v>
      </c>
      <c r="B340" s="130" t="s">
        <v>172</v>
      </c>
      <c r="C340" s="130" t="s">
        <v>201</v>
      </c>
      <c r="D340" s="130">
        <v>0</v>
      </c>
      <c r="E340" s="130">
        <v>15</v>
      </c>
      <c r="F340" s="130">
        <f t="shared" si="33"/>
        <v>-6.4120538320122628E-2</v>
      </c>
      <c r="G340" s="130">
        <f t="shared" si="34"/>
        <v>12.253714531632998</v>
      </c>
      <c r="H340" s="130">
        <f t="shared" si="35"/>
        <v>0.98522590210670336</v>
      </c>
      <c r="I340" s="130">
        <f t="shared" si="36"/>
        <v>4.3912300683371298E-2</v>
      </c>
      <c r="J340" s="130"/>
      <c r="K340" s="130"/>
      <c r="L340" s="79">
        <v>-11754</v>
      </c>
      <c r="M340" s="26">
        <v>385</v>
      </c>
      <c r="N340" s="48">
        <v>103501</v>
      </c>
      <c r="O340" s="48">
        <v>209759</v>
      </c>
      <c r="P340" s="48">
        <v>183311</v>
      </c>
      <c r="Q340" s="48">
        <v>3099</v>
      </c>
      <c r="R340" s="48">
        <v>31284</v>
      </c>
      <c r="S340" s="48">
        <v>175376</v>
      </c>
      <c r="T340" s="35">
        <f t="shared" si="32"/>
        <v>206660</v>
      </c>
    </row>
    <row r="341" spans="1:20">
      <c r="A341" s="130" t="s">
        <v>129</v>
      </c>
      <c r="B341" s="130" t="s">
        <v>172</v>
      </c>
      <c r="C341" s="130" t="s">
        <v>173</v>
      </c>
      <c r="D341" s="130">
        <v>0</v>
      </c>
      <c r="E341" s="130">
        <v>15</v>
      </c>
      <c r="F341" s="130">
        <f t="shared" si="33"/>
        <v>-2.8929384965831435E-2</v>
      </c>
      <c r="G341" s="130">
        <f t="shared" si="34"/>
        <v>12.212914188710526</v>
      </c>
      <c r="H341" s="130">
        <f t="shared" si="35"/>
        <v>1.0098473976153706</v>
      </c>
      <c r="I341" s="130">
        <v>2.2242466734946099E-4</v>
      </c>
      <c r="J341" s="130"/>
      <c r="K341" s="130"/>
      <c r="L341" s="71">
        <v>-5080</v>
      </c>
      <c r="M341" s="27">
        <v>408</v>
      </c>
      <c r="N341" s="34">
        <v>91980</v>
      </c>
      <c r="O341" s="34">
        <v>201373</v>
      </c>
      <c r="P341" s="34">
        <v>175600</v>
      </c>
      <c r="Q341" s="34">
        <v>-1983</v>
      </c>
      <c r="R341" s="34">
        <v>41669</v>
      </c>
      <c r="S341" s="34">
        <v>161687</v>
      </c>
      <c r="T341" s="34">
        <f t="shared" si="32"/>
        <v>203356</v>
      </c>
    </row>
    <row r="342" spans="1:20" ht="17">
      <c r="A342" s="132" t="s">
        <v>131</v>
      </c>
      <c r="B342" s="132" t="s">
        <v>198</v>
      </c>
      <c r="C342" s="132" t="s">
        <v>201</v>
      </c>
      <c r="D342" s="132">
        <v>0</v>
      </c>
      <c r="E342" s="132">
        <v>15</v>
      </c>
      <c r="F342" s="130">
        <f t="shared" si="33"/>
        <v>-0.42066759250074398</v>
      </c>
      <c r="G342" s="130">
        <f t="shared" si="34"/>
        <v>12.024400877577715</v>
      </c>
      <c r="H342" s="130">
        <f t="shared" si="35"/>
        <v>0.76378354069854593</v>
      </c>
      <c r="I342" s="130">
        <f t="shared" si="36"/>
        <v>3.2096237522395703E-2</v>
      </c>
      <c r="J342" s="130"/>
      <c r="K342" s="130"/>
      <c r="L342" s="103">
        <v>-16963</v>
      </c>
      <c r="M342" s="100">
        <v>94</v>
      </c>
      <c r="N342" s="102">
        <v>124</v>
      </c>
      <c r="O342" s="102">
        <v>166775</v>
      </c>
      <c r="P342" s="102">
        <v>40324</v>
      </c>
      <c r="Q342" s="102">
        <f>O342-T342</f>
        <v>39395</v>
      </c>
      <c r="R342" s="102">
        <v>28890</v>
      </c>
      <c r="S342" s="102">
        <v>98490</v>
      </c>
      <c r="T342" s="102">
        <f t="shared" si="32"/>
        <v>127380</v>
      </c>
    </row>
    <row r="343" spans="1:20" ht="17">
      <c r="A343" s="132" t="s">
        <v>131</v>
      </c>
      <c r="B343" s="132" t="s">
        <v>198</v>
      </c>
      <c r="C343" s="132" t="s">
        <v>173</v>
      </c>
      <c r="D343" s="132">
        <v>0</v>
      </c>
      <c r="E343" s="10">
        <v>16</v>
      </c>
      <c r="F343" s="130">
        <f t="shared" si="33"/>
        <v>-0.45328896851804451</v>
      </c>
      <c r="G343" s="130">
        <f t="shared" si="34"/>
        <v>12.090038704315873</v>
      </c>
      <c r="H343" s="130">
        <f t="shared" si="35"/>
        <v>0.76115874646946191</v>
      </c>
      <c r="I343" s="130">
        <v>9.3264143999999993E-2</v>
      </c>
      <c r="J343" s="130"/>
      <c r="K343" s="130"/>
      <c r="L343" s="103">
        <v>-17710</v>
      </c>
      <c r="M343" s="100">
        <v>134</v>
      </c>
      <c r="N343" s="102">
        <v>10344</v>
      </c>
      <c r="O343" s="102">
        <v>178089</v>
      </c>
      <c r="P343" s="102">
        <v>39070</v>
      </c>
      <c r="Q343" s="102">
        <f>O343-T343</f>
        <v>42535</v>
      </c>
      <c r="R343" s="102">
        <v>97889</v>
      </c>
      <c r="S343" s="102">
        <v>37665</v>
      </c>
      <c r="T343" s="102">
        <f t="shared" si="32"/>
        <v>135554</v>
      </c>
    </row>
    <row r="344" spans="1:20">
      <c r="A344" s="134" t="s">
        <v>133</v>
      </c>
      <c r="B344" s="134" t="s">
        <v>200</v>
      </c>
      <c r="C344" s="134" t="s">
        <v>202</v>
      </c>
      <c r="D344" s="134">
        <v>0</v>
      </c>
      <c r="E344" s="15">
        <v>14</v>
      </c>
      <c r="F344" s="130">
        <f t="shared" si="33"/>
        <v>0.10260095344924285</v>
      </c>
      <c r="G344" s="130">
        <f t="shared" si="34"/>
        <v>9.7737204944770628</v>
      </c>
      <c r="H344" s="130">
        <f t="shared" si="35"/>
        <v>0.77923260844813846</v>
      </c>
      <c r="I344" s="130">
        <f t="shared" si="36"/>
        <v>4.1319900715432907E-2</v>
      </c>
      <c r="J344" s="130"/>
      <c r="K344" s="130"/>
      <c r="L344" s="78">
        <v>2927</v>
      </c>
      <c r="M344" s="16"/>
      <c r="N344" s="47"/>
      <c r="O344" s="32">
        <v>17566</v>
      </c>
      <c r="P344" s="32">
        <v>28528</v>
      </c>
      <c r="Q344" s="32">
        <v>3878</v>
      </c>
      <c r="R344" s="32"/>
      <c r="S344" s="32"/>
      <c r="T344" s="32">
        <v>13688</v>
      </c>
    </row>
    <row r="345" spans="1:20">
      <c r="A345" s="134" t="s">
        <v>133</v>
      </c>
      <c r="B345" s="134" t="s">
        <v>200</v>
      </c>
      <c r="C345" s="134" t="s">
        <v>201</v>
      </c>
      <c r="D345" s="134">
        <v>0</v>
      </c>
      <c r="E345" s="15">
        <v>17</v>
      </c>
      <c r="F345" s="130">
        <f t="shared" si="33"/>
        <v>-0.16527960286173163</v>
      </c>
      <c r="G345" s="130">
        <f t="shared" si="34"/>
        <v>10.623008857981173</v>
      </c>
      <c r="H345" s="130">
        <f t="shared" si="35"/>
        <v>1.0210377657113638</v>
      </c>
      <c r="I345" s="130">
        <f t="shared" si="36"/>
        <v>-0.38244443442585996</v>
      </c>
      <c r="J345" s="130"/>
      <c r="K345" s="130"/>
      <c r="L345" s="78">
        <v>-4528</v>
      </c>
      <c r="M345" s="14"/>
      <c r="N345" s="53"/>
      <c r="O345" s="52">
        <v>41069</v>
      </c>
      <c r="P345" s="52">
        <v>27396</v>
      </c>
      <c r="Q345" s="52">
        <v>-864</v>
      </c>
      <c r="R345" s="52"/>
      <c r="S345" s="32"/>
      <c r="T345" s="32">
        <v>41933</v>
      </c>
    </row>
    <row r="346" spans="1:20">
      <c r="A346" s="134" t="s">
        <v>133</v>
      </c>
      <c r="B346" s="134" t="s">
        <v>200</v>
      </c>
      <c r="C346" s="134" t="s">
        <v>173</v>
      </c>
      <c r="D346" s="134">
        <v>0</v>
      </c>
      <c r="E346" s="15">
        <v>11</v>
      </c>
      <c r="F346" s="130">
        <f t="shared" si="33"/>
        <v>0.27530318741265047</v>
      </c>
      <c r="G346" s="130">
        <f t="shared" si="34"/>
        <v>10.753510268558554</v>
      </c>
      <c r="H346" s="130">
        <f t="shared" si="35"/>
        <v>0.76176432876009748</v>
      </c>
      <c r="I346" s="130">
        <v>-0.17056226685521353</v>
      </c>
      <c r="J346" s="130"/>
      <c r="K346" s="130"/>
      <c r="L346" s="78">
        <v>12213</v>
      </c>
      <c r="M346" s="16"/>
      <c r="N346" s="32"/>
      <c r="O346" s="32">
        <v>46794</v>
      </c>
      <c r="P346" s="32">
        <v>44362</v>
      </c>
      <c r="Q346" s="32">
        <v>11148</v>
      </c>
      <c r="R346" s="32"/>
      <c r="S346" s="32"/>
      <c r="T346" s="32">
        <v>35646</v>
      </c>
    </row>
    <row r="347" spans="1:20">
      <c r="A347" s="134" t="s">
        <v>134</v>
      </c>
      <c r="B347" s="134" t="s">
        <v>200</v>
      </c>
      <c r="C347" s="134" t="s">
        <v>203</v>
      </c>
      <c r="D347" s="134">
        <v>0</v>
      </c>
      <c r="E347" s="15">
        <v>8</v>
      </c>
      <c r="F347" s="130">
        <f t="shared" si="33"/>
        <v>2.4853413121636949E-3</v>
      </c>
      <c r="G347" s="130">
        <f t="shared" si="34"/>
        <v>10.527070269710164</v>
      </c>
      <c r="H347" s="130">
        <f t="shared" si="35"/>
        <v>0.75594982847341341</v>
      </c>
      <c r="I347" s="130">
        <f t="shared" si="36"/>
        <v>0.21267008046817848</v>
      </c>
      <c r="J347" s="130"/>
      <c r="K347" s="130"/>
      <c r="L347" s="78">
        <v>103</v>
      </c>
      <c r="M347" s="16"/>
      <c r="N347" s="47"/>
      <c r="O347" s="32">
        <v>37312</v>
      </c>
      <c r="P347" s="32">
        <v>41443</v>
      </c>
      <c r="Q347" s="32">
        <v>9106</v>
      </c>
      <c r="R347" s="32"/>
      <c r="S347" s="32"/>
      <c r="T347" s="32">
        <v>28206</v>
      </c>
    </row>
    <row r="348" spans="1:20">
      <c r="A348" s="134" t="s">
        <v>134</v>
      </c>
      <c r="B348" s="134" t="s">
        <v>200</v>
      </c>
      <c r="C348" s="134" t="s">
        <v>202</v>
      </c>
      <c r="D348" s="134">
        <v>0</v>
      </c>
      <c r="E348" s="15">
        <v>6</v>
      </c>
      <c r="F348" s="130">
        <f t="shared" si="33"/>
        <v>5.7468910021945867E-2</v>
      </c>
      <c r="G348" s="130">
        <f t="shared" si="34"/>
        <v>11.089255652207218</v>
      </c>
      <c r="H348" s="130">
        <f t="shared" si="35"/>
        <v>0.83485579860686787</v>
      </c>
      <c r="I348" s="130">
        <f t="shared" si="36"/>
        <v>-0.15290997422169345</v>
      </c>
      <c r="J348" s="130"/>
      <c r="K348" s="130"/>
      <c r="L348" s="78">
        <v>1964</v>
      </c>
      <c r="M348" s="16"/>
      <c r="N348" s="47"/>
      <c r="O348" s="32">
        <v>65464</v>
      </c>
      <c r="P348" s="32">
        <v>34175</v>
      </c>
      <c r="Q348" s="32">
        <v>54960</v>
      </c>
      <c r="R348" s="32"/>
      <c r="S348" s="32"/>
      <c r="T348" s="32">
        <v>54653</v>
      </c>
    </row>
    <row r="349" spans="1:20">
      <c r="A349" s="134" t="s">
        <v>134</v>
      </c>
      <c r="B349" s="134" t="s">
        <v>200</v>
      </c>
      <c r="C349" s="134" t="s">
        <v>201</v>
      </c>
      <c r="D349" s="134">
        <v>0</v>
      </c>
      <c r="E349" s="15">
        <v>14</v>
      </c>
      <c r="F349" s="130">
        <f t="shared" si="33"/>
        <v>5.4952409280190365E-2</v>
      </c>
      <c r="G349" s="130">
        <f t="shared" si="34"/>
        <v>11.127483548067531</v>
      </c>
      <c r="H349" s="130">
        <f t="shared" si="35"/>
        <v>0.78700286701462907</v>
      </c>
      <c r="I349" s="130">
        <f t="shared" si="36"/>
        <v>0.10786467486818981</v>
      </c>
      <c r="J349" s="130"/>
      <c r="K349" s="130"/>
      <c r="L349" s="78">
        <v>2217</v>
      </c>
      <c r="M349" s="14"/>
      <c r="N349" s="47"/>
      <c r="O349" s="52">
        <v>68015</v>
      </c>
      <c r="P349" s="52">
        <v>40344</v>
      </c>
      <c r="Q349" s="52">
        <v>14487</v>
      </c>
      <c r="R349" s="52"/>
      <c r="S349" s="32"/>
      <c r="T349" s="32">
        <v>53528</v>
      </c>
    </row>
    <row r="350" spans="1:20">
      <c r="A350" s="134" t="s">
        <v>134</v>
      </c>
      <c r="B350" s="134" t="s">
        <v>200</v>
      </c>
      <c r="C350" s="134" t="s">
        <v>173</v>
      </c>
      <c r="D350" s="134">
        <v>0</v>
      </c>
      <c r="E350" s="15">
        <v>12</v>
      </c>
      <c r="F350" s="130">
        <f t="shared" si="33"/>
        <v>3.108523725834798E-2</v>
      </c>
      <c r="G350" s="130">
        <f t="shared" si="34"/>
        <v>11.121156139991051</v>
      </c>
      <c r="H350" s="130">
        <f t="shared" si="35"/>
        <v>0.79121415677803097</v>
      </c>
      <c r="I350" s="130">
        <v>5.5874927038224942E-2</v>
      </c>
      <c r="J350" s="130"/>
      <c r="K350" s="130"/>
      <c r="L350" s="78">
        <v>1132</v>
      </c>
      <c r="M350" s="15"/>
      <c r="N350" s="32"/>
      <c r="O350" s="32">
        <v>67586</v>
      </c>
      <c r="P350" s="32">
        <v>36416</v>
      </c>
      <c r="Q350" s="32">
        <v>14111</v>
      </c>
      <c r="R350" s="32"/>
      <c r="S350" s="32"/>
      <c r="T350" s="32">
        <v>53475</v>
      </c>
    </row>
    <row r="351" spans="1:20" ht="17">
      <c r="A351" s="134" t="s">
        <v>135</v>
      </c>
      <c r="B351" s="134" t="s">
        <v>200</v>
      </c>
      <c r="C351" s="134" t="s">
        <v>205</v>
      </c>
      <c r="D351" s="134">
        <v>0</v>
      </c>
      <c r="E351" s="15">
        <v>5</v>
      </c>
      <c r="F351" s="130">
        <f t="shared" si="33"/>
        <v>8.5934025203854708E-2</v>
      </c>
      <c r="G351" s="130">
        <f t="shared" si="34"/>
        <v>11.304769043464267</v>
      </c>
      <c r="H351" s="130">
        <f t="shared" si="35"/>
        <v>0.78372820411782096</v>
      </c>
      <c r="I351" s="130">
        <f t="shared" si="36"/>
        <v>-0.2890083537565552</v>
      </c>
      <c r="J351" s="130"/>
      <c r="K351" s="130"/>
      <c r="L351" s="72">
        <v>4637</v>
      </c>
      <c r="M351" s="24" t="s">
        <v>197</v>
      </c>
      <c r="N351" s="38" t="s">
        <v>197</v>
      </c>
      <c r="O351" s="38">
        <v>81208</v>
      </c>
      <c r="P351" s="38">
        <v>53960</v>
      </c>
      <c r="Q351" s="38">
        <v>17563</v>
      </c>
      <c r="R351" s="38" t="s">
        <v>197</v>
      </c>
      <c r="S351" s="38" t="s">
        <v>197</v>
      </c>
      <c r="T351" s="32">
        <v>63645</v>
      </c>
    </row>
    <row r="352" spans="1:20" ht="17">
      <c r="A352" s="134" t="s">
        <v>135</v>
      </c>
      <c r="B352" s="134" t="s">
        <v>200</v>
      </c>
      <c r="C352" s="134" t="s">
        <v>203</v>
      </c>
      <c r="D352" s="134">
        <v>0</v>
      </c>
      <c r="E352" s="15">
        <v>10</v>
      </c>
      <c r="F352" s="130">
        <f t="shared" si="33"/>
        <v>0.11649142224681792</v>
      </c>
      <c r="G352" s="130">
        <f t="shared" si="34"/>
        <v>11.946232692306483</v>
      </c>
      <c r="H352" s="130">
        <f t="shared" si="35"/>
        <v>0.79404155995720815</v>
      </c>
      <c r="I352" s="130">
        <f t="shared" si="36"/>
        <v>0.24003725307582963</v>
      </c>
      <c r="J352" s="130"/>
      <c r="K352" s="130"/>
      <c r="L352" s="72">
        <v>8841</v>
      </c>
      <c r="M352" s="24">
        <v>208</v>
      </c>
      <c r="N352" s="38">
        <v>43160</v>
      </c>
      <c r="O352" s="38">
        <v>154235</v>
      </c>
      <c r="P352" s="38">
        <v>75894</v>
      </c>
      <c r="Q352" s="38">
        <v>31766</v>
      </c>
      <c r="R352" s="38">
        <v>11501</v>
      </c>
      <c r="S352" s="38">
        <v>110968</v>
      </c>
      <c r="T352" s="32">
        <v>122469</v>
      </c>
    </row>
    <row r="353" spans="1:20" ht="17">
      <c r="A353" s="134" t="s">
        <v>135</v>
      </c>
      <c r="B353" s="134" t="s">
        <v>200</v>
      </c>
      <c r="C353" s="134" t="s">
        <v>202</v>
      </c>
      <c r="D353" s="134">
        <v>0</v>
      </c>
      <c r="E353" s="15">
        <v>3</v>
      </c>
      <c r="F353" s="130">
        <f t="shared" si="33"/>
        <v>-3.1616097250134798E-2</v>
      </c>
      <c r="G353" s="130">
        <f t="shared" si="34"/>
        <v>11.775674270876797</v>
      </c>
      <c r="H353" s="130">
        <f t="shared" si="35"/>
        <v>0.88771241830065362</v>
      </c>
      <c r="I353" s="130">
        <f t="shared" si="36"/>
        <v>-0.24894157493649449</v>
      </c>
      <c r="J353" s="130"/>
      <c r="K353" s="130"/>
      <c r="L353" s="72">
        <v>-1935</v>
      </c>
      <c r="M353" s="24" t="s">
        <v>197</v>
      </c>
      <c r="N353" s="38" t="s">
        <v>197</v>
      </c>
      <c r="O353" s="38">
        <v>130050</v>
      </c>
      <c r="P353" s="38">
        <v>61203</v>
      </c>
      <c r="Q353" s="38">
        <v>14603</v>
      </c>
      <c r="R353" s="38" t="s">
        <v>197</v>
      </c>
      <c r="S353" s="38" t="s">
        <v>197</v>
      </c>
      <c r="T353" s="32">
        <v>115447</v>
      </c>
    </row>
    <row r="354" spans="1:20" ht="17">
      <c r="A354" s="134" t="s">
        <v>135</v>
      </c>
      <c r="B354" s="134" t="s">
        <v>200</v>
      </c>
      <c r="C354" s="134" t="s">
        <v>201</v>
      </c>
      <c r="D354" s="134">
        <v>0</v>
      </c>
      <c r="E354" s="15">
        <v>6</v>
      </c>
      <c r="F354" s="130">
        <f t="shared" si="33"/>
        <v>-0.11253052559241125</v>
      </c>
      <c r="G354" s="130">
        <f t="shared" si="34"/>
        <v>12.524402732641466</v>
      </c>
      <c r="H354" s="130">
        <f t="shared" si="35"/>
        <v>1.015343715222973</v>
      </c>
      <c r="I354" s="130">
        <f t="shared" si="36"/>
        <v>-2.4048768219217458E-2</v>
      </c>
      <c r="J354" s="130"/>
      <c r="K354" s="130"/>
      <c r="L354" s="72">
        <v>-9170</v>
      </c>
      <c r="M354" s="24">
        <v>221</v>
      </c>
      <c r="N354" s="38">
        <v>152653</v>
      </c>
      <c r="O354" s="38">
        <v>274966</v>
      </c>
      <c r="P354" s="38">
        <v>81489</v>
      </c>
      <c r="Q354" s="38">
        <v>-4219</v>
      </c>
      <c r="R354" s="38">
        <v>14389</v>
      </c>
      <c r="S354" s="38">
        <v>264795</v>
      </c>
      <c r="T354" s="32">
        <v>279185</v>
      </c>
    </row>
    <row r="355" spans="1:20" ht="17">
      <c r="A355" s="134" t="s">
        <v>135</v>
      </c>
      <c r="B355" s="134" t="s">
        <v>200</v>
      </c>
      <c r="C355" s="134" t="s">
        <v>173</v>
      </c>
      <c r="D355" s="134">
        <v>0</v>
      </c>
      <c r="E355" s="15">
        <v>4</v>
      </c>
      <c r="F355" s="130">
        <f t="shared" si="33"/>
        <v>-0.14623279878318982</v>
      </c>
      <c r="G355" s="130">
        <f t="shared" si="34"/>
        <v>12.301369188877887</v>
      </c>
      <c r="H355" s="130">
        <f t="shared" si="35"/>
        <v>0.78349250217048416</v>
      </c>
      <c r="I355" s="130">
        <v>-8.0490360959109386E-2</v>
      </c>
      <c r="J355" s="130"/>
      <c r="K355" s="130"/>
      <c r="L355" s="72">
        <v>-12210</v>
      </c>
      <c r="M355" s="24" t="s">
        <v>197</v>
      </c>
      <c r="N355" s="38" t="s">
        <v>197</v>
      </c>
      <c r="O355" s="38">
        <v>219997</v>
      </c>
      <c r="P355" s="38">
        <v>83497</v>
      </c>
      <c r="Q355" s="38">
        <v>47631</v>
      </c>
      <c r="R355" s="38" t="s">
        <v>197</v>
      </c>
      <c r="S355" s="38" t="s">
        <v>197</v>
      </c>
      <c r="T355" s="32">
        <v>172366</v>
      </c>
    </row>
    <row r="356" spans="1:20" ht="17">
      <c r="A356" s="132" t="s">
        <v>139</v>
      </c>
      <c r="B356" s="132" t="s">
        <v>198</v>
      </c>
      <c r="C356" s="132" t="s">
        <v>205</v>
      </c>
      <c r="D356" s="132">
        <v>0</v>
      </c>
      <c r="E356" s="10">
        <v>9</v>
      </c>
      <c r="F356" s="130">
        <f t="shared" si="33"/>
        <v>-0.13280477847965277</v>
      </c>
      <c r="G356" s="130">
        <f t="shared" si="34"/>
        <v>11.904460667544894</v>
      </c>
      <c r="H356" s="130">
        <f t="shared" si="35"/>
        <v>0.6740172384654386</v>
      </c>
      <c r="I356" s="130">
        <f t="shared" si="36"/>
        <v>-3.3726760300208651E-2</v>
      </c>
      <c r="J356" s="130"/>
      <c r="K356" s="130"/>
      <c r="L356" s="99">
        <v>-12362</v>
      </c>
      <c r="M356" s="100">
        <v>148</v>
      </c>
      <c r="N356" s="101">
        <v>0</v>
      </c>
      <c r="O356" s="101">
        <v>147925</v>
      </c>
      <c r="P356" s="101">
        <v>93084</v>
      </c>
      <c r="Q356" s="101">
        <v>48221</v>
      </c>
      <c r="R356" s="101">
        <v>34112</v>
      </c>
      <c r="S356" s="101">
        <v>65592</v>
      </c>
      <c r="T356" s="102">
        <f t="shared" ref="T356:T365" si="37">R356+S356</f>
        <v>99704</v>
      </c>
    </row>
    <row r="357" spans="1:20" ht="17">
      <c r="A357" s="132" t="s">
        <v>139</v>
      </c>
      <c r="B357" s="132" t="s">
        <v>198</v>
      </c>
      <c r="C357" s="132" t="s">
        <v>203</v>
      </c>
      <c r="D357" s="132">
        <v>0</v>
      </c>
      <c r="E357" s="10">
        <v>7</v>
      </c>
      <c r="F357" s="130">
        <f t="shared" si="33"/>
        <v>-0.14502818348852417</v>
      </c>
      <c r="G357" s="130">
        <f t="shared" si="34"/>
        <v>11.857557179470644</v>
      </c>
      <c r="H357" s="130">
        <f t="shared" si="35"/>
        <v>0.75734517913947874</v>
      </c>
      <c r="I357" s="130">
        <f t="shared" si="36"/>
        <v>0.19577711299512171</v>
      </c>
      <c r="J357" s="130"/>
      <c r="K357" s="130"/>
      <c r="L357" s="99">
        <v>-13971</v>
      </c>
      <c r="M357" s="100">
        <v>167</v>
      </c>
      <c r="N357" s="101">
        <v>0</v>
      </c>
      <c r="O357" s="101">
        <v>141147</v>
      </c>
      <c r="P357" s="101">
        <v>96333</v>
      </c>
      <c r="Q357" s="101">
        <v>34249</v>
      </c>
      <c r="R357" s="101">
        <v>33882</v>
      </c>
      <c r="S357" s="101">
        <v>73015</v>
      </c>
      <c r="T357" s="102">
        <f t="shared" si="37"/>
        <v>106897</v>
      </c>
    </row>
    <row r="358" spans="1:20" ht="17">
      <c r="A358" s="132" t="s">
        <v>139</v>
      </c>
      <c r="B358" s="132" t="s">
        <v>198</v>
      </c>
      <c r="C358" s="132" t="s">
        <v>202</v>
      </c>
      <c r="D358" s="132">
        <v>0</v>
      </c>
      <c r="E358" s="10">
        <v>16</v>
      </c>
      <c r="F358" s="130">
        <f t="shared" si="33"/>
        <v>-0.23671503581137274</v>
      </c>
      <c r="G358" s="130">
        <f t="shared" si="34"/>
        <v>12.253714531632998</v>
      </c>
      <c r="H358" s="130">
        <f t="shared" si="35"/>
        <v>0.65204830305255079</v>
      </c>
      <c r="I358" s="130">
        <f t="shared" si="36"/>
        <v>-3.7709930958694668E-2</v>
      </c>
      <c r="J358" s="130"/>
      <c r="K358" s="130"/>
      <c r="L358" s="99">
        <v>-19070</v>
      </c>
      <c r="M358" s="100">
        <v>166</v>
      </c>
      <c r="N358" s="101">
        <v>0</v>
      </c>
      <c r="O358" s="101">
        <v>209759</v>
      </c>
      <c r="P358" s="101">
        <v>80561</v>
      </c>
      <c r="Q358" s="101">
        <v>72987</v>
      </c>
      <c r="R358" s="101">
        <v>61677</v>
      </c>
      <c r="S358" s="101">
        <v>75096</v>
      </c>
      <c r="T358" s="102">
        <f t="shared" si="37"/>
        <v>136773</v>
      </c>
    </row>
    <row r="359" spans="1:20" ht="17">
      <c r="A359" s="132" t="s">
        <v>139</v>
      </c>
      <c r="B359" s="132" t="s">
        <v>198</v>
      </c>
      <c r="C359" s="132" t="s">
        <v>201</v>
      </c>
      <c r="D359" s="132">
        <v>0</v>
      </c>
      <c r="E359" s="132">
        <v>17</v>
      </c>
      <c r="F359" s="130">
        <f t="shared" si="33"/>
        <v>-0.45146802360304833</v>
      </c>
      <c r="G359" s="130">
        <f t="shared" si="34"/>
        <v>11.906378718745147</v>
      </c>
      <c r="H359" s="130">
        <f t="shared" si="35"/>
        <v>0.86268040402404711</v>
      </c>
      <c r="I359" s="130">
        <f t="shared" si="36"/>
        <v>-0.25716060337178348</v>
      </c>
      <c r="J359" s="130"/>
      <c r="K359" s="130"/>
      <c r="L359" s="99">
        <v>-37796</v>
      </c>
      <c r="M359" s="100">
        <v>180</v>
      </c>
      <c r="N359" s="101">
        <v>1250</v>
      </c>
      <c r="O359" s="101">
        <v>148209</v>
      </c>
      <c r="P359" s="101">
        <v>83718</v>
      </c>
      <c r="Q359" s="101">
        <v>20352</v>
      </c>
      <c r="R359" s="101">
        <v>60382</v>
      </c>
      <c r="S359" s="101">
        <v>67475</v>
      </c>
      <c r="T359" s="102">
        <f t="shared" si="37"/>
        <v>127857</v>
      </c>
    </row>
    <row r="360" spans="1:20" ht="17">
      <c r="A360" s="132" t="s">
        <v>139</v>
      </c>
      <c r="B360" s="132" t="s">
        <v>198</v>
      </c>
      <c r="C360" s="132" t="s">
        <v>173</v>
      </c>
      <c r="D360" s="132">
        <v>0</v>
      </c>
      <c r="E360" s="10">
        <v>10</v>
      </c>
      <c r="F360" s="130">
        <f t="shared" si="33"/>
        <v>-6.0612244897959182E-2</v>
      </c>
      <c r="G360" s="130">
        <f t="shared" si="34"/>
        <v>12.133319140287243</v>
      </c>
      <c r="H360" s="130">
        <f t="shared" si="35"/>
        <v>0.92329242979899551</v>
      </c>
      <c r="I360" s="130">
        <v>-3.3205045408891271E-2</v>
      </c>
      <c r="J360" s="130"/>
      <c r="K360" s="130"/>
      <c r="L360" s="99">
        <v>-6831</v>
      </c>
      <c r="M360" s="100">
        <v>172</v>
      </c>
      <c r="N360" s="101">
        <v>5000</v>
      </c>
      <c r="O360" s="101">
        <v>185966</v>
      </c>
      <c r="P360" s="101">
        <v>112700</v>
      </c>
      <c r="Q360" s="101">
        <v>14265</v>
      </c>
      <c r="R360" s="101">
        <v>95244</v>
      </c>
      <c r="S360" s="101">
        <v>76457</v>
      </c>
      <c r="T360" s="102">
        <f t="shared" si="37"/>
        <v>171701</v>
      </c>
    </row>
    <row r="361" spans="1:20" ht="17">
      <c r="A361" s="130" t="s">
        <v>140</v>
      </c>
      <c r="B361" s="130" t="s">
        <v>172</v>
      </c>
      <c r="C361" s="130" t="s">
        <v>205</v>
      </c>
      <c r="D361" s="130">
        <v>0</v>
      </c>
      <c r="E361" s="7">
        <v>3</v>
      </c>
      <c r="F361" s="130">
        <f t="shared" si="33"/>
        <v>0.29670035145288948</v>
      </c>
      <c r="G361" s="130">
        <f t="shared" si="34"/>
        <v>14.197019665450178</v>
      </c>
      <c r="H361" s="130">
        <f t="shared" si="35"/>
        <v>0.74204997907125536</v>
      </c>
      <c r="I361" s="130">
        <f t="shared" si="36"/>
        <v>-0.16461556732804156</v>
      </c>
      <c r="J361" s="130"/>
      <c r="K361" s="130"/>
      <c r="L361" s="79">
        <v>127307</v>
      </c>
      <c r="M361" s="26">
        <v>485</v>
      </c>
      <c r="N361" s="48">
        <v>639</v>
      </c>
      <c r="O361" s="48">
        <v>1464493</v>
      </c>
      <c r="P361" s="48">
        <v>429076</v>
      </c>
      <c r="Q361" s="48">
        <v>377766</v>
      </c>
      <c r="R361" s="48">
        <v>768549</v>
      </c>
      <c r="S361" s="48">
        <v>318178</v>
      </c>
      <c r="T361" s="35">
        <f t="shared" si="37"/>
        <v>1086727</v>
      </c>
    </row>
    <row r="362" spans="1:20" ht="17">
      <c r="A362" s="130" t="s">
        <v>140</v>
      </c>
      <c r="B362" s="130" t="s">
        <v>172</v>
      </c>
      <c r="C362" s="130" t="s">
        <v>203</v>
      </c>
      <c r="D362" s="130">
        <v>0</v>
      </c>
      <c r="E362" s="7">
        <v>4</v>
      </c>
      <c r="F362" s="130">
        <f t="shared" si="33"/>
        <v>0.14880058875409588</v>
      </c>
      <c r="G362" s="130">
        <f t="shared" si="34"/>
        <v>14.451658723744272</v>
      </c>
      <c r="H362" s="130">
        <f t="shared" si="35"/>
        <v>0.76174498065308416</v>
      </c>
      <c r="I362" s="130">
        <f t="shared" si="36"/>
        <v>0.19616994222076281</v>
      </c>
      <c r="J362" s="130"/>
      <c r="K362" s="130"/>
      <c r="L362" s="79">
        <v>76428</v>
      </c>
      <c r="M362" s="26">
        <v>561</v>
      </c>
      <c r="N362" s="48">
        <v>796</v>
      </c>
      <c r="O362" s="48">
        <v>1889190</v>
      </c>
      <c r="P362" s="48">
        <v>513627</v>
      </c>
      <c r="Q362" s="48">
        <v>450110</v>
      </c>
      <c r="R362" s="48">
        <v>991585</v>
      </c>
      <c r="S362" s="48">
        <v>447496</v>
      </c>
      <c r="T362" s="35">
        <f t="shared" si="37"/>
        <v>1439081</v>
      </c>
    </row>
    <row r="363" spans="1:20" ht="17">
      <c r="A363" s="130" t="s">
        <v>140</v>
      </c>
      <c r="B363" s="130" t="s">
        <v>172</v>
      </c>
      <c r="C363" s="130" t="s">
        <v>202</v>
      </c>
      <c r="D363" s="130">
        <v>0</v>
      </c>
      <c r="E363" s="7">
        <v>6</v>
      </c>
      <c r="F363" s="130">
        <f t="shared" si="33"/>
        <v>-0.1631093194346438</v>
      </c>
      <c r="G363" s="130">
        <f t="shared" si="34"/>
        <v>14.534530629921203</v>
      </c>
      <c r="H363" s="130">
        <f t="shared" si="35"/>
        <v>0.81857815721043592</v>
      </c>
      <c r="I363" s="130">
        <f t="shared" si="36"/>
        <v>2.1338084115483966E-2</v>
      </c>
      <c r="J363" s="130"/>
      <c r="K363" s="130"/>
      <c r="L363" s="79">
        <v>-70038</v>
      </c>
      <c r="M363" s="26">
        <v>647</v>
      </c>
      <c r="N363" s="48">
        <v>193252</v>
      </c>
      <c r="O363" s="48">
        <v>2052421</v>
      </c>
      <c r="P363" s="48">
        <v>429393</v>
      </c>
      <c r="Q363" s="48">
        <v>372354</v>
      </c>
      <c r="R363" s="48">
        <v>1075416</v>
      </c>
      <c r="S363" s="48">
        <v>604651</v>
      </c>
      <c r="T363" s="48">
        <f t="shared" si="37"/>
        <v>1680067</v>
      </c>
    </row>
    <row r="364" spans="1:20" ht="17">
      <c r="A364" s="130" t="s">
        <v>140</v>
      </c>
      <c r="B364" s="130" t="s">
        <v>172</v>
      </c>
      <c r="C364" s="130" t="s">
        <v>201</v>
      </c>
      <c r="D364" s="130">
        <v>0</v>
      </c>
      <c r="E364" s="130">
        <v>7</v>
      </c>
      <c r="F364" s="130">
        <f t="shared" si="33"/>
        <v>-0.23251875496524921</v>
      </c>
      <c r="G364" s="130">
        <f t="shared" si="34"/>
        <v>14.525119497210829</v>
      </c>
      <c r="H364" s="130">
        <f t="shared" si="35"/>
        <v>0.85311844013071048</v>
      </c>
      <c r="I364" s="130">
        <f t="shared" si="36"/>
        <v>-0.18668823003679444</v>
      </c>
      <c r="J364" s="130"/>
      <c r="K364" s="130"/>
      <c r="L364" s="79">
        <v>-97756</v>
      </c>
      <c r="M364" s="26">
        <v>672</v>
      </c>
      <c r="N364" s="48">
        <v>2293</v>
      </c>
      <c r="O364" s="48">
        <v>2033196</v>
      </c>
      <c r="P364" s="48">
        <v>420422</v>
      </c>
      <c r="Q364" s="48">
        <v>298639</v>
      </c>
      <c r="R364" s="48">
        <v>1347378</v>
      </c>
      <c r="S364" s="48">
        <v>387179</v>
      </c>
      <c r="T364" s="35">
        <f t="shared" si="37"/>
        <v>1734557</v>
      </c>
    </row>
    <row r="365" spans="1:20">
      <c r="A365" s="130" t="s">
        <v>140</v>
      </c>
      <c r="B365" s="130" t="s">
        <v>172</v>
      </c>
      <c r="C365" s="130" t="s">
        <v>173</v>
      </c>
      <c r="D365" s="130">
        <v>0</v>
      </c>
      <c r="E365" s="130">
        <v>4</v>
      </c>
      <c r="F365" s="130">
        <f t="shared" si="33"/>
        <v>-0.11302584896097313</v>
      </c>
      <c r="G365" s="130">
        <f t="shared" si="34"/>
        <v>14.589669822354679</v>
      </c>
      <c r="H365" s="130">
        <f t="shared" si="35"/>
        <v>0.90472517115708084</v>
      </c>
      <c r="I365" s="130">
        <v>-3.3448942757147306E-2</v>
      </c>
      <c r="J365" s="130"/>
      <c r="K365" s="130"/>
      <c r="L365" s="71">
        <v>-58426</v>
      </c>
      <c r="M365" s="27">
        <v>719</v>
      </c>
      <c r="N365" s="34">
        <v>2376</v>
      </c>
      <c r="O365" s="34">
        <v>2168768</v>
      </c>
      <c r="P365" s="34">
        <v>516926</v>
      </c>
      <c r="Q365" s="34">
        <v>206628</v>
      </c>
      <c r="R365" s="34">
        <v>1358642</v>
      </c>
      <c r="S365" s="34">
        <v>603497</v>
      </c>
      <c r="T365" s="34">
        <f t="shared" si="37"/>
        <v>1962139</v>
      </c>
    </row>
    <row r="366" spans="1:20">
      <c r="A366" s="134" t="s">
        <v>141</v>
      </c>
      <c r="B366" s="134" t="s">
        <v>200</v>
      </c>
      <c r="C366" s="134" t="s">
        <v>205</v>
      </c>
      <c r="D366" s="134">
        <v>0</v>
      </c>
      <c r="E366" s="15">
        <v>18</v>
      </c>
      <c r="F366" s="130">
        <f t="shared" si="33"/>
        <v>-1.1262517597683746E-2</v>
      </c>
      <c r="G366" s="130">
        <f t="shared" si="34"/>
        <v>10.31982665719617</v>
      </c>
      <c r="H366" s="130">
        <f t="shared" si="35"/>
        <v>0.98196386177789496</v>
      </c>
      <c r="I366" s="130">
        <f t="shared" si="36"/>
        <v>2.7259332023575639E-2</v>
      </c>
      <c r="J366" s="130"/>
      <c r="K366" s="130"/>
      <c r="L366" s="69">
        <v>-424</v>
      </c>
      <c r="M366" s="14"/>
      <c r="N366" s="53"/>
      <c r="O366" s="47">
        <v>30328</v>
      </c>
      <c r="P366" s="32">
        <v>37647</v>
      </c>
      <c r="Q366" s="32">
        <v>547</v>
      </c>
      <c r="R366" s="32"/>
      <c r="S366" s="32"/>
      <c r="T366" s="32">
        <v>29781</v>
      </c>
    </row>
    <row r="367" spans="1:20">
      <c r="A367" s="134" t="s">
        <v>141</v>
      </c>
      <c r="B367" s="134" t="s">
        <v>200</v>
      </c>
      <c r="C367" s="134" t="s">
        <v>203</v>
      </c>
      <c r="D367" s="134">
        <v>0</v>
      </c>
      <c r="E367" s="15">
        <v>16</v>
      </c>
      <c r="F367" s="130">
        <f t="shared" si="33"/>
        <v>0.28034271993014626</v>
      </c>
      <c r="G367" s="130">
        <f t="shared" si="34"/>
        <v>10.852051844960579</v>
      </c>
      <c r="H367" s="130">
        <f t="shared" si="35"/>
        <v>0.79825716498838106</v>
      </c>
      <c r="I367" s="130">
        <f t="shared" si="36"/>
        <v>1.4505591850293435E-2</v>
      </c>
      <c r="J367" s="130"/>
      <c r="K367" s="130"/>
      <c r="L367" s="69">
        <v>10274</v>
      </c>
      <c r="M367" s="14"/>
      <c r="N367" s="53"/>
      <c r="O367" s="47">
        <v>51640</v>
      </c>
      <c r="P367" s="32">
        <v>36648</v>
      </c>
      <c r="Q367" s="32">
        <v>10418</v>
      </c>
      <c r="R367" s="32"/>
      <c r="S367" s="32"/>
      <c r="T367" s="32">
        <v>41222</v>
      </c>
    </row>
    <row r="368" spans="1:20">
      <c r="A368" s="134" t="s">
        <v>141</v>
      </c>
      <c r="B368" s="134" t="s">
        <v>200</v>
      </c>
      <c r="C368" s="134" t="s">
        <v>202</v>
      </c>
      <c r="D368" s="134">
        <v>0</v>
      </c>
      <c r="E368" s="15">
        <v>20</v>
      </c>
      <c r="F368" s="130">
        <f t="shared" si="33"/>
        <v>-0.13484110286789946</v>
      </c>
      <c r="G368" s="130">
        <f t="shared" si="34"/>
        <v>10.842869615633681</v>
      </c>
      <c r="H368" s="130">
        <f t="shared" si="35"/>
        <v>0.88866088180112568</v>
      </c>
      <c r="I368" s="130">
        <v>2.0882461936934535E-2</v>
      </c>
      <c r="J368" s="130"/>
      <c r="K368" s="130"/>
      <c r="L368" s="69">
        <v>-4871</v>
      </c>
      <c r="M368" s="14"/>
      <c r="N368" s="53"/>
      <c r="O368" s="47">
        <v>51168</v>
      </c>
      <c r="P368" s="32">
        <v>36124</v>
      </c>
      <c r="Q368" s="32">
        <v>5697</v>
      </c>
      <c r="R368" s="32"/>
      <c r="S368" s="32"/>
      <c r="T368" s="32">
        <v>45471</v>
      </c>
    </row>
    <row r="369" spans="1:20" ht="17">
      <c r="A369" s="133" t="s">
        <v>142</v>
      </c>
      <c r="B369" s="133" t="s">
        <v>199</v>
      </c>
      <c r="C369" s="133" t="s">
        <v>205</v>
      </c>
      <c r="D369" s="133">
        <v>1</v>
      </c>
      <c r="E369" s="135">
        <v>5</v>
      </c>
      <c r="F369" s="130">
        <f t="shared" si="33"/>
        <v>-1.2176298303899282</v>
      </c>
      <c r="G369" s="130">
        <f t="shared" si="34"/>
        <v>11.243201181892225</v>
      </c>
      <c r="H369" s="130">
        <f t="shared" si="35"/>
        <v>2.449049882790503</v>
      </c>
      <c r="I369" s="130">
        <f t="shared" si="36"/>
        <v>-0.26741709765743837</v>
      </c>
      <c r="J369" s="130"/>
      <c r="K369" s="130"/>
      <c r="L369" s="72">
        <v>-55709</v>
      </c>
      <c r="M369" s="24">
        <v>96</v>
      </c>
      <c r="N369" s="38">
        <v>30457</v>
      </c>
      <c r="O369" s="38">
        <v>76359</v>
      </c>
      <c r="P369" s="38">
        <v>45752</v>
      </c>
      <c r="Q369" s="38">
        <v>-110649</v>
      </c>
      <c r="R369" s="38">
        <v>91068</v>
      </c>
      <c r="S369" s="38">
        <v>95939</v>
      </c>
      <c r="T369" s="32">
        <f>R369+S369</f>
        <v>187007</v>
      </c>
    </row>
    <row r="370" spans="1:20" ht="17">
      <c r="A370" s="133" t="s">
        <v>142</v>
      </c>
      <c r="B370" s="133" t="s">
        <v>199</v>
      </c>
      <c r="C370" s="133" t="s">
        <v>203</v>
      </c>
      <c r="D370" s="133">
        <v>1</v>
      </c>
      <c r="E370" s="135">
        <v>4</v>
      </c>
      <c r="F370" s="130">
        <f t="shared" si="33"/>
        <v>-0.15988022993290954</v>
      </c>
      <c r="G370" s="130">
        <f t="shared" si="34"/>
        <v>11.382372489597046</v>
      </c>
      <c r="H370" s="130">
        <f t="shared" si="35"/>
        <v>1.89677647246499</v>
      </c>
      <c r="I370" s="130">
        <f t="shared" si="36"/>
        <v>0.14881445100527932</v>
      </c>
      <c r="J370" s="130"/>
      <c r="K370" s="130"/>
      <c r="L370" s="72">
        <v>-9985</v>
      </c>
      <c r="M370" s="24">
        <v>86</v>
      </c>
      <c r="N370" s="38">
        <v>43034</v>
      </c>
      <c r="O370" s="38">
        <v>87761</v>
      </c>
      <c r="P370" s="38">
        <v>62453</v>
      </c>
      <c r="Q370" s="38">
        <v>-78702</v>
      </c>
      <c r="R370" s="38">
        <v>71931</v>
      </c>
      <c r="S370" s="38">
        <v>94532</v>
      </c>
      <c r="T370" s="32">
        <f>R370+S370</f>
        <v>166463</v>
      </c>
    </row>
    <row r="371" spans="1:20" ht="17">
      <c r="A371" s="133" t="s">
        <v>142</v>
      </c>
      <c r="B371" s="133" t="s">
        <v>199</v>
      </c>
      <c r="C371" s="133" t="s">
        <v>202</v>
      </c>
      <c r="D371" s="133">
        <v>1</v>
      </c>
      <c r="E371" s="135">
        <v>2</v>
      </c>
      <c r="F371" s="130">
        <f t="shared" si="33"/>
        <v>-2.8309695932895534E-2</v>
      </c>
      <c r="G371" s="130">
        <f t="shared" si="34"/>
        <v>11.381403480703243</v>
      </c>
      <c r="H371" s="130">
        <f t="shared" si="35"/>
        <v>1.8090355399425155</v>
      </c>
      <c r="I371" s="130">
        <f t="shared" si="36"/>
        <v>0.40891538162498381</v>
      </c>
      <c r="J371" s="130"/>
      <c r="K371" s="130"/>
      <c r="L371" s="72">
        <v>-1539</v>
      </c>
      <c r="M371" s="24">
        <v>108</v>
      </c>
      <c r="N371" s="38">
        <v>11185</v>
      </c>
      <c r="O371" s="38">
        <v>87676</v>
      </c>
      <c r="P371" s="38">
        <v>54363</v>
      </c>
      <c r="Q371" s="38">
        <v>-70933</v>
      </c>
      <c r="R371" s="38">
        <v>116331</v>
      </c>
      <c r="S371" s="38">
        <v>42278</v>
      </c>
      <c r="T371" s="38">
        <f>R371+S371</f>
        <v>158609</v>
      </c>
    </row>
    <row r="372" spans="1:20" ht="18">
      <c r="A372" s="133" t="s">
        <v>142</v>
      </c>
      <c r="B372" s="133" t="s">
        <v>199</v>
      </c>
      <c r="C372" s="133" t="s">
        <v>201</v>
      </c>
      <c r="D372" s="133">
        <v>1</v>
      </c>
      <c r="E372" s="133">
        <v>4</v>
      </c>
      <c r="F372" s="130">
        <f t="shared" si="33"/>
        <v>-0.57309835428275235</v>
      </c>
      <c r="G372" s="130">
        <f t="shared" si="34"/>
        <v>11.283562613842102</v>
      </c>
      <c r="H372" s="130">
        <f t="shared" si="35"/>
        <v>1.7364409337894948</v>
      </c>
      <c r="I372" s="130">
        <f t="shared" si="36"/>
        <v>-0.13718694096601072</v>
      </c>
      <c r="J372" s="130"/>
      <c r="K372" s="130"/>
      <c r="L372" s="72">
        <v>-22113</v>
      </c>
      <c r="M372" s="24">
        <v>119</v>
      </c>
      <c r="N372" s="38">
        <v>4285</v>
      </c>
      <c r="O372" s="38">
        <v>79504</v>
      </c>
      <c r="P372" s="38">
        <v>38585</v>
      </c>
      <c r="Q372" s="38">
        <v>-58549</v>
      </c>
      <c r="R372" s="38">
        <v>107900</v>
      </c>
      <c r="S372" s="38">
        <v>30154</v>
      </c>
      <c r="T372" s="37">
        <f>R372+S372</f>
        <v>138054</v>
      </c>
    </row>
    <row r="373" spans="1:20" ht="17">
      <c r="A373" s="133" t="s">
        <v>142</v>
      </c>
      <c r="B373" s="133" t="s">
        <v>199</v>
      </c>
      <c r="C373" s="133" t="s">
        <v>173</v>
      </c>
      <c r="D373" s="133">
        <v>1</v>
      </c>
      <c r="E373" s="135">
        <v>1</v>
      </c>
      <c r="F373" s="130">
        <f t="shared" si="33"/>
        <v>-0.42745974955277283</v>
      </c>
      <c r="G373" s="130">
        <f t="shared" si="34"/>
        <v>11.421588381953585</v>
      </c>
      <c r="H373" s="130">
        <f t="shared" si="35"/>
        <v>1.4993700079981593</v>
      </c>
      <c r="I373" s="130">
        <v>3.8281448501703501E-2</v>
      </c>
      <c r="J373" s="130"/>
      <c r="K373" s="130"/>
      <c r="L373" s="72">
        <v>-19116</v>
      </c>
      <c r="M373" s="24">
        <v>139</v>
      </c>
      <c r="N373" s="38">
        <v>11593</v>
      </c>
      <c r="O373" s="38">
        <v>91271</v>
      </c>
      <c r="P373" s="38">
        <v>44720</v>
      </c>
      <c r="Q373" s="38">
        <v>-45578</v>
      </c>
      <c r="R373" s="38">
        <v>82754</v>
      </c>
      <c r="S373" s="38">
        <v>54095</v>
      </c>
      <c r="T373" s="32">
        <f>R373+S373</f>
        <v>136849</v>
      </c>
    </row>
    <row r="374" spans="1:20">
      <c r="A374" s="134" t="s">
        <v>143</v>
      </c>
      <c r="B374" s="134" t="s">
        <v>200</v>
      </c>
      <c r="C374" s="134" t="s">
        <v>205</v>
      </c>
      <c r="D374" s="134">
        <v>0</v>
      </c>
      <c r="E374" s="15">
        <v>19</v>
      </c>
      <c r="F374" s="130">
        <f t="shared" si="33"/>
        <v>5.2586453272363533E-2</v>
      </c>
      <c r="G374" s="130">
        <f t="shared" si="34"/>
        <v>8.527539483470381</v>
      </c>
      <c r="H374" s="130">
        <f t="shared" si="35"/>
        <v>0.72367379255740305</v>
      </c>
      <c r="I374" s="130">
        <f t="shared" si="36"/>
        <v>-6.8246661848061774E-2</v>
      </c>
      <c r="J374" s="130"/>
      <c r="K374" s="130"/>
      <c r="L374" s="69">
        <v>1288</v>
      </c>
      <c r="M374" s="14"/>
      <c r="N374" s="47"/>
      <c r="O374" s="47">
        <v>5052</v>
      </c>
      <c r="P374" s="32">
        <v>24493</v>
      </c>
      <c r="Q374" s="32">
        <v>1396</v>
      </c>
      <c r="R374" s="32"/>
      <c r="S374" s="32"/>
      <c r="T374" s="32">
        <v>3656</v>
      </c>
    </row>
    <row r="375" spans="1:20">
      <c r="A375" s="134" t="s">
        <v>143</v>
      </c>
      <c r="B375" s="134" t="s">
        <v>200</v>
      </c>
      <c r="C375" s="134" t="s">
        <v>173</v>
      </c>
      <c r="D375" s="134">
        <v>0</v>
      </c>
      <c r="E375" s="15">
        <v>15</v>
      </c>
      <c r="F375" s="130">
        <f t="shared" si="33"/>
        <v>-1.182257389584205</v>
      </c>
      <c r="G375" s="130">
        <f t="shared" si="34"/>
        <v>10.746648295413559</v>
      </c>
      <c r="H375" s="130">
        <f t="shared" si="35"/>
        <v>0.4374919309721565</v>
      </c>
      <c r="I375" s="130">
        <v>6.3253470000000006E-2</v>
      </c>
      <c r="J375" s="130"/>
      <c r="K375" s="130"/>
      <c r="L375" s="69">
        <v>-31078</v>
      </c>
      <c r="M375" s="14"/>
      <c r="N375" s="46"/>
      <c r="O375" s="47">
        <v>46474</v>
      </c>
      <c r="P375" s="32">
        <v>26287</v>
      </c>
      <c r="Q375" s="32">
        <v>26142</v>
      </c>
      <c r="R375" s="32"/>
      <c r="S375" s="32"/>
      <c r="T375" s="32">
        <v>20332</v>
      </c>
    </row>
    <row r="376" spans="1:20" ht="17">
      <c r="A376" s="132" t="s">
        <v>144</v>
      </c>
      <c r="B376" s="132" t="s">
        <v>198</v>
      </c>
      <c r="C376" s="132" t="s">
        <v>205</v>
      </c>
      <c r="D376" s="132">
        <v>0</v>
      </c>
      <c r="E376" s="10">
        <v>14</v>
      </c>
      <c r="F376" s="130">
        <f t="shared" si="33"/>
        <v>-0.21624448392458021</v>
      </c>
      <c r="G376" s="130">
        <f t="shared" si="34"/>
        <v>11.744251448691996</v>
      </c>
      <c r="H376" s="130">
        <f t="shared" si="35"/>
        <v>0.97325176351099363</v>
      </c>
      <c r="I376" s="130">
        <f t="shared" si="36"/>
        <v>-0.38340032686956138</v>
      </c>
      <c r="J376" s="130"/>
      <c r="K376" s="130"/>
      <c r="L376" s="99">
        <v>-15093</v>
      </c>
      <c r="M376" s="100">
        <v>111</v>
      </c>
      <c r="N376" s="101">
        <v>2505</v>
      </c>
      <c r="O376" s="101">
        <v>126027</v>
      </c>
      <c r="P376" s="101">
        <v>69796</v>
      </c>
      <c r="Q376" s="101">
        <v>3371</v>
      </c>
      <c r="R376" s="101">
        <v>52065</v>
      </c>
      <c r="S376" s="101">
        <v>70591</v>
      </c>
      <c r="T376" s="102">
        <f t="shared" ref="T376:T407" si="38">R376+S376</f>
        <v>122656</v>
      </c>
    </row>
    <row r="377" spans="1:20" ht="17">
      <c r="A377" s="132" t="s">
        <v>144</v>
      </c>
      <c r="B377" s="132" t="s">
        <v>198</v>
      </c>
      <c r="C377" s="132" t="s">
        <v>203</v>
      </c>
      <c r="D377" s="132">
        <v>0</v>
      </c>
      <c r="E377" s="10">
        <v>12</v>
      </c>
      <c r="F377" s="130">
        <f t="shared" si="33"/>
        <v>1.0442157339105085E-2</v>
      </c>
      <c r="G377" s="130">
        <f t="shared" si="34"/>
        <v>12.102976231525414</v>
      </c>
      <c r="H377" s="130">
        <f t="shared" si="35"/>
        <v>0.90477140703294756</v>
      </c>
      <c r="I377" s="130">
        <f t="shared" si="36"/>
        <v>0.67520089979429043</v>
      </c>
      <c r="J377" s="130"/>
      <c r="K377" s="130"/>
      <c r="L377" s="99">
        <v>1182</v>
      </c>
      <c r="M377" s="100">
        <v>158</v>
      </c>
      <c r="N377" s="101">
        <v>9978</v>
      </c>
      <c r="O377" s="101">
        <v>180408</v>
      </c>
      <c r="P377" s="101">
        <v>113195</v>
      </c>
      <c r="Q377" s="101">
        <v>17181</v>
      </c>
      <c r="R377" s="101">
        <v>76493</v>
      </c>
      <c r="S377" s="101">
        <v>86735</v>
      </c>
      <c r="T377" s="102">
        <f t="shared" si="38"/>
        <v>163228</v>
      </c>
    </row>
    <row r="378" spans="1:20" ht="17">
      <c r="A378" s="132" t="s">
        <v>144</v>
      </c>
      <c r="B378" s="132" t="s">
        <v>198</v>
      </c>
      <c r="C378" s="132" t="s">
        <v>202</v>
      </c>
      <c r="D378" s="132">
        <v>0</v>
      </c>
      <c r="E378" s="10">
        <v>13</v>
      </c>
      <c r="F378" s="130">
        <f t="shared" si="33"/>
        <v>-0.14848085717245563</v>
      </c>
      <c r="G378" s="130">
        <f t="shared" si="34"/>
        <v>12.801204490649384</v>
      </c>
      <c r="H378" s="130">
        <f t="shared" si="35"/>
        <v>0.35705383092424187</v>
      </c>
      <c r="I378" s="130">
        <f t="shared" si="36"/>
        <v>-0.14363023420865861</v>
      </c>
      <c r="J378" s="130"/>
      <c r="K378" s="130"/>
      <c r="L378" s="99">
        <v>-10033</v>
      </c>
      <c r="M378" s="100">
        <v>194</v>
      </c>
      <c r="N378" s="101">
        <v>3106</v>
      </c>
      <c r="O378" s="101">
        <v>362654</v>
      </c>
      <c r="P378" s="101">
        <v>67571</v>
      </c>
      <c r="Q378" s="101">
        <v>233167</v>
      </c>
      <c r="R378" s="101">
        <v>51700</v>
      </c>
      <c r="S378" s="101">
        <v>77787</v>
      </c>
      <c r="T378" s="102">
        <f t="shared" si="38"/>
        <v>129487</v>
      </c>
    </row>
    <row r="379" spans="1:20" ht="17">
      <c r="A379" s="132" t="s">
        <v>144</v>
      </c>
      <c r="B379" s="132" t="s">
        <v>198</v>
      </c>
      <c r="C379" s="132" t="s">
        <v>201</v>
      </c>
      <c r="D379" s="132">
        <v>0</v>
      </c>
      <c r="E379" s="132">
        <v>14</v>
      </c>
      <c r="F379" s="130">
        <f t="shared" si="33"/>
        <v>-0.46747946872148433</v>
      </c>
      <c r="G379" s="130">
        <f t="shared" si="34"/>
        <v>12.87314275558</v>
      </c>
      <c r="H379" s="130">
        <f t="shared" si="35"/>
        <v>0.49633054831359186</v>
      </c>
      <c r="I379" s="130">
        <f t="shared" si="36"/>
        <v>1.0553278688524591E-2</v>
      </c>
      <c r="J379" s="130"/>
      <c r="K379" s="130"/>
      <c r="L379" s="99">
        <v>-36886</v>
      </c>
      <c r="M379" s="100">
        <v>175</v>
      </c>
      <c r="N379" s="101">
        <v>8169</v>
      </c>
      <c r="O379" s="101">
        <v>389704</v>
      </c>
      <c r="P379" s="101">
        <v>78904</v>
      </c>
      <c r="Q379" s="101">
        <v>196282</v>
      </c>
      <c r="R379" s="101">
        <v>101229</v>
      </c>
      <c r="S379" s="101">
        <v>92193</v>
      </c>
      <c r="T379" s="102">
        <f t="shared" si="38"/>
        <v>193422</v>
      </c>
    </row>
    <row r="380" spans="1:20" ht="17">
      <c r="A380" s="58" t="s">
        <v>144</v>
      </c>
      <c r="B380" s="58" t="s">
        <v>198</v>
      </c>
      <c r="C380" s="58" t="s">
        <v>173</v>
      </c>
      <c r="D380" s="58">
        <v>0</v>
      </c>
      <c r="E380" s="58">
        <v>12</v>
      </c>
      <c r="F380" s="130">
        <f t="shared" si="33"/>
        <v>-0.88438780737704914</v>
      </c>
      <c r="G380" s="130">
        <f t="shared" si="34"/>
        <v>12.697522770767504</v>
      </c>
      <c r="H380" s="130">
        <f t="shared" si="35"/>
        <v>0.61084551457926139</v>
      </c>
      <c r="I380" s="130">
        <v>3.9680904351148759E-2</v>
      </c>
      <c r="J380" s="130"/>
      <c r="K380" s="130"/>
      <c r="L380" s="104">
        <v>-69053</v>
      </c>
      <c r="M380" s="105">
        <v>179</v>
      </c>
      <c r="N380" s="106">
        <v>15942</v>
      </c>
      <c r="O380" s="106">
        <v>326937</v>
      </c>
      <c r="P380" s="106">
        <v>78080</v>
      </c>
      <c r="Q380" s="106">
        <v>127228</v>
      </c>
      <c r="R380" s="106">
        <v>100533</v>
      </c>
      <c r="S380" s="106">
        <v>99175</v>
      </c>
      <c r="T380" s="107">
        <f t="shared" si="38"/>
        <v>199708</v>
      </c>
    </row>
    <row r="381" spans="1:20" ht="17">
      <c r="A381" s="131" t="s">
        <v>145</v>
      </c>
      <c r="B381" s="131" t="s">
        <v>193</v>
      </c>
      <c r="C381" s="131" t="s">
        <v>205</v>
      </c>
      <c r="D381" s="131">
        <v>0</v>
      </c>
      <c r="E381" s="131">
        <v>4</v>
      </c>
      <c r="F381" s="130">
        <f t="shared" si="33"/>
        <v>-0.32903964245485268</v>
      </c>
      <c r="G381" s="130">
        <f t="shared" si="34"/>
        <v>13.148327376562124</v>
      </c>
      <c r="H381" s="130">
        <f t="shared" si="35"/>
        <v>0.90838581940633578</v>
      </c>
      <c r="I381" s="130">
        <f t="shared" si="36"/>
        <v>-0.41389499688536546</v>
      </c>
      <c r="J381" s="130"/>
      <c r="K381" s="130"/>
      <c r="L381" s="94">
        <v>-36222</v>
      </c>
      <c r="M381" s="98">
        <v>393</v>
      </c>
      <c r="N381" s="96">
        <v>14501</v>
      </c>
      <c r="O381" s="96">
        <v>513152</v>
      </c>
      <c r="P381" s="96">
        <v>110084</v>
      </c>
      <c r="Q381" s="96">
        <v>47012</v>
      </c>
      <c r="R381" s="96">
        <v>315985</v>
      </c>
      <c r="S381" s="96">
        <v>150155</v>
      </c>
      <c r="T381" s="42">
        <f t="shared" si="38"/>
        <v>466140</v>
      </c>
    </row>
    <row r="382" spans="1:20" ht="17">
      <c r="A382" s="131" t="s">
        <v>145</v>
      </c>
      <c r="B382" s="131" t="s">
        <v>193</v>
      </c>
      <c r="C382" s="131" t="s">
        <v>203</v>
      </c>
      <c r="D382" s="131">
        <v>0</v>
      </c>
      <c r="E382" s="131">
        <v>4</v>
      </c>
      <c r="F382" s="130">
        <f t="shared" si="33"/>
        <v>7.8531383270419499E-3</v>
      </c>
      <c r="G382" s="130">
        <f t="shared" si="34"/>
        <v>13.26749868345552</v>
      </c>
      <c r="H382" s="130">
        <f t="shared" si="35"/>
        <v>0.91627717099868877</v>
      </c>
      <c r="I382" s="130">
        <f t="shared" si="36"/>
        <v>8.4134213002245356E-2</v>
      </c>
      <c r="J382" s="130"/>
      <c r="K382" s="130"/>
      <c r="L382" s="94">
        <v>1475</v>
      </c>
      <c r="M382" s="98">
        <v>408</v>
      </c>
      <c r="N382" s="96">
        <v>14579</v>
      </c>
      <c r="O382" s="96">
        <v>578098</v>
      </c>
      <c r="P382" s="96">
        <v>187823</v>
      </c>
      <c r="Q382" s="96">
        <v>48400</v>
      </c>
      <c r="R382" s="96">
        <v>323517</v>
      </c>
      <c r="S382" s="96">
        <v>206181</v>
      </c>
      <c r="T382" s="42">
        <f t="shared" si="38"/>
        <v>529698</v>
      </c>
    </row>
    <row r="383" spans="1:20" ht="17">
      <c r="A383" s="131" t="s">
        <v>145</v>
      </c>
      <c r="B383" s="131" t="s">
        <v>193</v>
      </c>
      <c r="C383" s="131" t="s">
        <v>202</v>
      </c>
      <c r="D383" s="131">
        <v>0</v>
      </c>
      <c r="E383" s="131">
        <v>9</v>
      </c>
      <c r="F383" s="130">
        <f t="shared" si="33"/>
        <v>-4.6303832100988762E-2</v>
      </c>
      <c r="G383" s="130">
        <f t="shared" si="34"/>
        <v>13.120076765097899</v>
      </c>
      <c r="H383" s="130">
        <f t="shared" si="35"/>
        <v>0.91923352938110647</v>
      </c>
      <c r="I383" s="130">
        <f t="shared" si="36"/>
        <v>0.58056216985521525</v>
      </c>
      <c r="J383" s="130"/>
      <c r="K383" s="130"/>
      <c r="L383" s="94">
        <v>-8022</v>
      </c>
      <c r="M383" s="98">
        <v>432</v>
      </c>
      <c r="N383" s="96">
        <v>31095</v>
      </c>
      <c r="O383" s="96">
        <v>498858</v>
      </c>
      <c r="P383" s="96">
        <v>173247</v>
      </c>
      <c r="Q383" s="96">
        <v>40291</v>
      </c>
      <c r="R383" s="96">
        <v>246179</v>
      </c>
      <c r="S383" s="96">
        <v>212388</v>
      </c>
      <c r="T383" s="42">
        <f t="shared" si="38"/>
        <v>458567</v>
      </c>
    </row>
    <row r="384" spans="1:20" ht="17">
      <c r="A384" s="131" t="s">
        <v>145</v>
      </c>
      <c r="B384" s="131" t="s">
        <v>193</v>
      </c>
      <c r="C384" s="131" t="s">
        <v>201</v>
      </c>
      <c r="D384" s="131">
        <v>0</v>
      </c>
      <c r="E384" s="131">
        <v>13</v>
      </c>
      <c r="F384" s="130">
        <f t="shared" si="33"/>
        <v>-0.284706826869566</v>
      </c>
      <c r="G384" s="130">
        <f t="shared" si="34"/>
        <v>12.899904591584704</v>
      </c>
      <c r="H384" s="130">
        <f t="shared" si="35"/>
        <v>0.97752289681568127</v>
      </c>
      <c r="I384" s="130">
        <f t="shared" si="36"/>
        <v>-5.1552473701885117E-3</v>
      </c>
      <c r="J384" s="130"/>
      <c r="K384" s="130"/>
      <c r="L384" s="94">
        <v>-31207</v>
      </c>
      <c r="M384" s="98">
        <v>407</v>
      </c>
      <c r="N384" s="96">
        <v>14609</v>
      </c>
      <c r="O384" s="96">
        <v>400274</v>
      </c>
      <c r="P384" s="96">
        <v>109611</v>
      </c>
      <c r="Q384" s="96">
        <v>8997</v>
      </c>
      <c r="R384" s="96">
        <v>174727</v>
      </c>
      <c r="S384" s="96">
        <v>216550</v>
      </c>
      <c r="T384" s="42">
        <f t="shared" si="38"/>
        <v>391277</v>
      </c>
    </row>
    <row r="385" spans="1:20" ht="17">
      <c r="A385" s="131" t="s">
        <v>145</v>
      </c>
      <c r="B385" s="131" t="s">
        <v>193</v>
      </c>
      <c r="C385" s="131" t="s">
        <v>173</v>
      </c>
      <c r="D385" s="131">
        <v>0</v>
      </c>
      <c r="E385" s="131">
        <v>9</v>
      </c>
      <c r="F385" s="130">
        <f t="shared" si="33"/>
        <v>-0.41838281342179545</v>
      </c>
      <c r="G385" s="130">
        <f t="shared" si="34"/>
        <v>12.851756031902989</v>
      </c>
      <c r="H385" s="130">
        <f t="shared" si="35"/>
        <v>0.98275563758002193</v>
      </c>
      <c r="I385" s="130">
        <v>6.1411534650476649E-2</v>
      </c>
      <c r="J385" s="130"/>
      <c r="K385" s="130"/>
      <c r="L385" s="94">
        <v>-46097</v>
      </c>
      <c r="M385" s="98">
        <v>413</v>
      </c>
      <c r="N385" s="96">
        <v>21489</v>
      </c>
      <c r="O385" s="96">
        <v>381458</v>
      </c>
      <c r="P385" s="96">
        <v>110179</v>
      </c>
      <c r="Q385" s="96">
        <v>6578</v>
      </c>
      <c r="R385" s="96">
        <v>192361</v>
      </c>
      <c r="S385" s="96">
        <v>182519</v>
      </c>
      <c r="T385" s="42">
        <f t="shared" si="38"/>
        <v>374880</v>
      </c>
    </row>
    <row r="386" spans="1:20">
      <c r="A386" s="132" t="s">
        <v>155</v>
      </c>
      <c r="B386" s="132" t="s">
        <v>198</v>
      </c>
      <c r="C386" s="132" t="s">
        <v>205</v>
      </c>
      <c r="D386" s="132">
        <v>0</v>
      </c>
      <c r="E386" s="10">
        <v>19</v>
      </c>
      <c r="F386" s="130">
        <f t="shared" ref="F386:F407" si="39">L386/P386</f>
        <v>0.11106044552928396</v>
      </c>
      <c r="G386" s="130">
        <f t="shared" ref="G386:G407" si="40">LN(O386)</f>
        <v>11.535997252537985</v>
      </c>
      <c r="H386" s="130">
        <f t="shared" ref="H386:H407" si="41">T386/O386</f>
        <v>0.78687435261008076</v>
      </c>
      <c r="I386" s="130">
        <f t="shared" si="36"/>
        <v>0.13680439091324897</v>
      </c>
      <c r="J386" s="130"/>
      <c r="K386" s="130"/>
      <c r="L386" s="103">
        <v>8281</v>
      </c>
      <c r="M386" s="9">
        <v>142</v>
      </c>
      <c r="N386" s="102">
        <v>5774</v>
      </c>
      <c r="O386" s="102">
        <v>102334</v>
      </c>
      <c r="P386" s="102">
        <v>74563</v>
      </c>
      <c r="Q386" s="102">
        <f>O386-T386</f>
        <v>21810</v>
      </c>
      <c r="R386" s="102">
        <v>33767</v>
      </c>
      <c r="S386" s="102">
        <v>46757</v>
      </c>
      <c r="T386" s="102">
        <f t="shared" si="38"/>
        <v>80524</v>
      </c>
    </row>
    <row r="387" spans="1:20">
      <c r="A387" s="132" t="s">
        <v>155</v>
      </c>
      <c r="B387" s="132" t="s">
        <v>198</v>
      </c>
      <c r="C387" s="132" t="s">
        <v>202</v>
      </c>
      <c r="D387" s="132">
        <v>0</v>
      </c>
      <c r="E387" s="10">
        <v>9</v>
      </c>
      <c r="F387" s="130">
        <f t="shared" si="39"/>
        <v>-0.2217258728464705</v>
      </c>
      <c r="G387" s="130">
        <f t="shared" si="40"/>
        <v>12.41133324579015</v>
      </c>
      <c r="H387" s="130">
        <f t="shared" si="41"/>
        <v>0.62439884513110366</v>
      </c>
      <c r="I387" s="130">
        <f t="shared" ref="I387:I406" si="42">IF(A387=A388, (P387-P388)/P388, "")</f>
        <v>-0.33883714366356193</v>
      </c>
      <c r="J387" s="130"/>
      <c r="K387" s="130"/>
      <c r="L387" s="103">
        <v>-14543</v>
      </c>
      <c r="M387" s="9">
        <v>172</v>
      </c>
      <c r="N387" s="102">
        <v>2655</v>
      </c>
      <c r="O387" s="102">
        <v>245569</v>
      </c>
      <c r="P387" s="102">
        <v>65590</v>
      </c>
      <c r="Q387" s="102">
        <f>O387-T387</f>
        <v>92236</v>
      </c>
      <c r="R387" s="102">
        <v>85686</v>
      </c>
      <c r="S387" s="102">
        <v>67647</v>
      </c>
      <c r="T387" s="102">
        <f t="shared" si="38"/>
        <v>153333</v>
      </c>
    </row>
    <row r="388" spans="1:20" ht="17">
      <c r="A388" s="132" t="s">
        <v>155</v>
      </c>
      <c r="B388" s="132" t="s">
        <v>198</v>
      </c>
      <c r="C388" s="132" t="s">
        <v>201</v>
      </c>
      <c r="D388" s="132">
        <v>0</v>
      </c>
      <c r="E388" s="132">
        <v>10</v>
      </c>
      <c r="F388" s="130">
        <f t="shared" si="39"/>
        <v>-0.24610902786177977</v>
      </c>
      <c r="G388" s="130">
        <f t="shared" si="40"/>
        <v>12.607757283323652</v>
      </c>
      <c r="H388" s="130">
        <f t="shared" si="41"/>
        <v>0.83436165798948025</v>
      </c>
      <c r="I388" s="130">
        <f t="shared" si="42"/>
        <v>0.17331756357185096</v>
      </c>
      <c r="J388" s="130"/>
      <c r="K388" s="130"/>
      <c r="L388" s="99">
        <v>-24415</v>
      </c>
      <c r="M388" s="100">
        <v>160</v>
      </c>
      <c r="N388" s="101">
        <v>39683</v>
      </c>
      <c r="O388" s="101">
        <v>298868</v>
      </c>
      <c r="P388" s="101">
        <v>99204</v>
      </c>
      <c r="Q388" s="101">
        <v>49504</v>
      </c>
      <c r="R388" s="101">
        <v>102661</v>
      </c>
      <c r="S388" s="101">
        <v>146703</v>
      </c>
      <c r="T388" s="102">
        <f t="shared" si="38"/>
        <v>249364</v>
      </c>
    </row>
    <row r="389" spans="1:20">
      <c r="A389" s="132" t="s">
        <v>155</v>
      </c>
      <c r="B389" s="132" t="s">
        <v>198</v>
      </c>
      <c r="C389" s="132" t="s">
        <v>173</v>
      </c>
      <c r="D389" s="132">
        <v>0</v>
      </c>
      <c r="E389" s="10">
        <v>9</v>
      </c>
      <c r="F389" s="130">
        <f t="shared" si="39"/>
        <v>-5.9858072146658781E-2</v>
      </c>
      <c r="G389" s="130">
        <f t="shared" si="40"/>
        <v>12.455550388136121</v>
      </c>
      <c r="H389" s="130">
        <f t="shared" si="41"/>
        <v>1.6450514471833593</v>
      </c>
      <c r="I389" s="130">
        <v>-9.5717297261539991E-3</v>
      </c>
      <c r="J389" s="130"/>
      <c r="K389" s="130"/>
      <c r="L389" s="103">
        <v>-5061</v>
      </c>
      <c r="M389" s="9">
        <v>218</v>
      </c>
      <c r="N389" s="90">
        <v>576</v>
      </c>
      <c r="O389" s="43">
        <v>256671</v>
      </c>
      <c r="P389" s="102">
        <v>84550</v>
      </c>
      <c r="Q389" s="102">
        <f>O389-T389</f>
        <v>-165566</v>
      </c>
      <c r="R389" s="102">
        <v>256770</v>
      </c>
      <c r="S389" s="102">
        <v>165467</v>
      </c>
      <c r="T389" s="102">
        <f t="shared" si="38"/>
        <v>422237</v>
      </c>
    </row>
    <row r="390" spans="1:20" ht="17">
      <c r="A390" s="131" t="s">
        <v>147</v>
      </c>
      <c r="B390" s="131" t="s">
        <v>193</v>
      </c>
      <c r="C390" s="131" t="s">
        <v>205</v>
      </c>
      <c r="D390" s="131">
        <v>0</v>
      </c>
      <c r="E390" s="131">
        <v>5</v>
      </c>
      <c r="F390" s="130">
        <f t="shared" si="39"/>
        <v>2.8524000825074405E-2</v>
      </c>
      <c r="G390" s="130">
        <f t="shared" si="40"/>
        <v>12.235966343144312</v>
      </c>
      <c r="H390" s="130">
        <f t="shared" si="41"/>
        <v>0.59083607917736292</v>
      </c>
      <c r="I390" s="130">
        <f t="shared" si="42"/>
        <v>-0.16755382212737427</v>
      </c>
      <c r="J390" s="130"/>
      <c r="K390" s="130"/>
      <c r="L390" s="94">
        <v>2904</v>
      </c>
      <c r="M390" s="98">
        <v>380</v>
      </c>
      <c r="N390" s="96">
        <v>0</v>
      </c>
      <c r="O390" s="96">
        <v>206069</v>
      </c>
      <c r="P390" s="96">
        <v>101809</v>
      </c>
      <c r="Q390" s="96">
        <v>84316</v>
      </c>
      <c r="R390" s="96">
        <v>34225</v>
      </c>
      <c r="S390" s="96">
        <v>87528</v>
      </c>
      <c r="T390" s="42">
        <f t="shared" si="38"/>
        <v>121753</v>
      </c>
    </row>
    <row r="391" spans="1:20" ht="17">
      <c r="A391" s="131" t="s">
        <v>147</v>
      </c>
      <c r="B391" s="131" t="s">
        <v>193</v>
      </c>
      <c r="C391" s="131" t="s">
        <v>203</v>
      </c>
      <c r="D391" s="131">
        <v>0</v>
      </c>
      <c r="E391" s="131">
        <v>14</v>
      </c>
      <c r="F391" s="130">
        <f t="shared" si="39"/>
        <v>9.6638621106941075E-2</v>
      </c>
      <c r="G391" s="130">
        <f t="shared" si="40"/>
        <v>12.224703017375885</v>
      </c>
      <c r="H391" s="130">
        <f t="shared" si="41"/>
        <v>0.52819725070057566</v>
      </c>
      <c r="I391" s="130">
        <f t="shared" si="42"/>
        <v>0.25113552663884114</v>
      </c>
      <c r="J391" s="130"/>
      <c r="K391" s="130"/>
      <c r="L391" s="94">
        <v>11819</v>
      </c>
      <c r="M391" s="98">
        <v>379</v>
      </c>
      <c r="N391" s="96">
        <v>0</v>
      </c>
      <c r="O391" s="96">
        <v>203761</v>
      </c>
      <c r="P391" s="96">
        <v>122301</v>
      </c>
      <c r="Q391" s="96">
        <v>96135</v>
      </c>
      <c r="R391" s="96">
        <v>29639</v>
      </c>
      <c r="S391" s="96">
        <v>77987</v>
      </c>
      <c r="T391" s="42">
        <f t="shared" si="38"/>
        <v>107626</v>
      </c>
    </row>
    <row r="392" spans="1:20" ht="17">
      <c r="A392" s="131" t="s">
        <v>147</v>
      </c>
      <c r="B392" s="131" t="s">
        <v>193</v>
      </c>
      <c r="C392" s="131" t="s">
        <v>202</v>
      </c>
      <c r="D392" s="131">
        <v>0</v>
      </c>
      <c r="E392" s="131">
        <v>5</v>
      </c>
      <c r="F392" s="130">
        <f t="shared" si="39"/>
        <v>-1.0168589900973893E-2</v>
      </c>
      <c r="G392" s="130">
        <f t="shared" si="40"/>
        <v>12.288081112140665</v>
      </c>
      <c r="H392" s="130">
        <f t="shared" si="41"/>
        <v>0.56175003339582574</v>
      </c>
      <c r="I392" s="130">
        <f t="shared" si="42"/>
        <v>2.0460358056265986E-5</v>
      </c>
      <c r="J392" s="130"/>
      <c r="K392" s="130"/>
      <c r="L392" s="94">
        <v>-994</v>
      </c>
      <c r="M392" s="98">
        <v>304</v>
      </c>
      <c r="N392" s="96">
        <v>0</v>
      </c>
      <c r="O392" s="96">
        <v>217093</v>
      </c>
      <c r="P392" s="96">
        <v>97752</v>
      </c>
      <c r="Q392" s="96">
        <v>95141</v>
      </c>
      <c r="R392" s="96">
        <v>39987</v>
      </c>
      <c r="S392" s="96">
        <v>81965</v>
      </c>
      <c r="T392" s="42">
        <f t="shared" si="38"/>
        <v>121952</v>
      </c>
    </row>
    <row r="393" spans="1:20">
      <c r="A393" s="131" t="s">
        <v>147</v>
      </c>
      <c r="B393" s="131" t="s">
        <v>193</v>
      </c>
      <c r="C393" s="131" t="s">
        <v>201</v>
      </c>
      <c r="D393" s="131">
        <v>0</v>
      </c>
      <c r="E393" s="131">
        <v>7</v>
      </c>
      <c r="F393" s="130">
        <f t="shared" si="39"/>
        <v>-3.0690537084398974E-4</v>
      </c>
      <c r="G393" s="130">
        <f t="shared" si="40"/>
        <v>13.428344005426821</v>
      </c>
      <c r="H393" s="130">
        <f t="shared" si="41"/>
        <v>0.90065362942540117</v>
      </c>
      <c r="I393" s="130">
        <f t="shared" si="42"/>
        <v>-0.23900350330868042</v>
      </c>
      <c r="J393" s="130"/>
      <c r="K393" s="130"/>
      <c r="L393" s="75">
        <v>-30</v>
      </c>
      <c r="M393" s="12">
        <v>385</v>
      </c>
      <c r="N393" s="42">
        <v>87678</v>
      </c>
      <c r="O393" s="42">
        <v>678978</v>
      </c>
      <c r="P393" s="42">
        <v>97750</v>
      </c>
      <c r="Q393" s="42">
        <f>O393-T393</f>
        <v>67454</v>
      </c>
      <c r="R393" s="42">
        <v>467846</v>
      </c>
      <c r="S393" s="42">
        <v>143678</v>
      </c>
      <c r="T393" s="42">
        <f t="shared" si="38"/>
        <v>611524</v>
      </c>
    </row>
    <row r="394" spans="1:20">
      <c r="A394" s="131" t="s">
        <v>147</v>
      </c>
      <c r="B394" s="131" t="s">
        <v>193</v>
      </c>
      <c r="C394" s="131" t="s">
        <v>173</v>
      </c>
      <c r="D394" s="131">
        <v>0</v>
      </c>
      <c r="E394" s="131">
        <v>7</v>
      </c>
      <c r="F394" s="130">
        <f t="shared" si="39"/>
        <v>-0.13927598287271312</v>
      </c>
      <c r="G394" s="130">
        <f t="shared" si="40"/>
        <v>13.263258590429137</v>
      </c>
      <c r="H394" s="130">
        <f t="shared" si="41"/>
        <v>0.48530709525894117</v>
      </c>
      <c r="I394" s="130">
        <v>-3.8850334609789317E-2</v>
      </c>
      <c r="J394" s="130"/>
      <c r="K394" s="130"/>
      <c r="L394" s="75">
        <v>-17890</v>
      </c>
      <c r="M394" s="12">
        <v>432</v>
      </c>
      <c r="N394" s="42">
        <v>54678</v>
      </c>
      <c r="O394" s="42">
        <v>575652</v>
      </c>
      <c r="P394" s="42">
        <v>128450</v>
      </c>
      <c r="Q394" s="42">
        <f>O394-T394</f>
        <v>296284</v>
      </c>
      <c r="R394" s="42">
        <v>102567</v>
      </c>
      <c r="S394" s="42">
        <v>176801</v>
      </c>
      <c r="T394" s="42">
        <f t="shared" si="38"/>
        <v>279368</v>
      </c>
    </row>
    <row r="395" spans="1:20" ht="17">
      <c r="A395" s="130" t="s">
        <v>148</v>
      </c>
      <c r="B395" s="130" t="s">
        <v>172</v>
      </c>
      <c r="C395" s="130" t="s">
        <v>205</v>
      </c>
      <c r="D395" s="130">
        <v>0</v>
      </c>
      <c r="E395" s="7">
        <v>14</v>
      </c>
      <c r="F395" s="130">
        <f t="shared" si="39"/>
        <v>-0.23963436574496941</v>
      </c>
      <c r="G395" s="130">
        <f t="shared" si="40"/>
        <v>12.278783928481756</v>
      </c>
      <c r="H395" s="130">
        <f t="shared" si="41"/>
        <v>1.1460266686503877</v>
      </c>
      <c r="I395" s="130">
        <f t="shared" si="42"/>
        <v>-0.12216100639627765</v>
      </c>
      <c r="J395" s="130"/>
      <c r="K395" s="130"/>
      <c r="L395" s="79">
        <v>-34631</v>
      </c>
      <c r="M395" s="26">
        <v>292</v>
      </c>
      <c r="N395" s="48">
        <v>26531</v>
      </c>
      <c r="O395" s="48">
        <v>215084</v>
      </c>
      <c r="P395" s="48">
        <v>144516</v>
      </c>
      <c r="Q395" s="48">
        <v>-31408</v>
      </c>
      <c r="R395" s="48">
        <v>107005</v>
      </c>
      <c r="S395" s="48">
        <v>139487</v>
      </c>
      <c r="T395" s="35">
        <f t="shared" si="38"/>
        <v>246492</v>
      </c>
    </row>
    <row r="396" spans="1:20" ht="17">
      <c r="A396" s="130" t="s">
        <v>148</v>
      </c>
      <c r="B396" s="130" t="s">
        <v>172</v>
      </c>
      <c r="C396" s="130" t="s">
        <v>203</v>
      </c>
      <c r="D396" s="130">
        <v>0</v>
      </c>
      <c r="E396" s="7">
        <v>11</v>
      </c>
      <c r="F396" s="130">
        <f t="shared" si="39"/>
        <v>6.6125240695633164E-2</v>
      </c>
      <c r="G396" s="130">
        <f t="shared" si="40"/>
        <v>12.259547059545998</v>
      </c>
      <c r="H396" s="130">
        <f t="shared" si="41"/>
        <v>1.0921577735015593</v>
      </c>
      <c r="I396" s="130">
        <f t="shared" si="42"/>
        <v>0.2521353544726454</v>
      </c>
      <c r="J396" s="130"/>
      <c r="K396" s="130"/>
      <c r="L396" s="79">
        <v>10886</v>
      </c>
      <c r="M396" s="26">
        <v>297</v>
      </c>
      <c r="N396" s="48">
        <v>19997</v>
      </c>
      <c r="O396" s="48">
        <v>210986</v>
      </c>
      <c r="P396" s="48">
        <v>164627</v>
      </c>
      <c r="Q396" s="48">
        <v>-19444</v>
      </c>
      <c r="R396" s="48">
        <v>114941</v>
      </c>
      <c r="S396" s="48">
        <v>115489</v>
      </c>
      <c r="T396" s="35">
        <f t="shared" si="38"/>
        <v>230430</v>
      </c>
    </row>
    <row r="397" spans="1:20" ht="17">
      <c r="A397" s="130" t="s">
        <v>148</v>
      </c>
      <c r="B397" s="130" t="s">
        <v>172</v>
      </c>
      <c r="C397" s="130" t="s">
        <v>202</v>
      </c>
      <c r="D397" s="130">
        <v>0</v>
      </c>
      <c r="E397" s="7">
        <v>19</v>
      </c>
      <c r="F397" s="130">
        <f t="shared" si="39"/>
        <v>-0.26332362314321134</v>
      </c>
      <c r="G397" s="130">
        <f t="shared" si="40"/>
        <v>12.488737151020157</v>
      </c>
      <c r="H397" s="130">
        <f t="shared" si="41"/>
        <v>0.96157644008261345</v>
      </c>
      <c r="I397" s="130">
        <f t="shared" si="42"/>
        <v>-0.11955400790196209</v>
      </c>
      <c r="J397" s="130"/>
      <c r="K397" s="130"/>
      <c r="L397" s="79">
        <v>-34621</v>
      </c>
      <c r="M397" s="26">
        <v>328</v>
      </c>
      <c r="N397" s="48">
        <v>24296</v>
      </c>
      <c r="O397" s="48">
        <v>265332</v>
      </c>
      <c r="P397" s="48">
        <v>131477</v>
      </c>
      <c r="Q397" s="48">
        <v>10195</v>
      </c>
      <c r="R397" s="48">
        <v>133327</v>
      </c>
      <c r="S397" s="48">
        <v>121810</v>
      </c>
      <c r="T397" s="48">
        <f t="shared" si="38"/>
        <v>255137</v>
      </c>
    </row>
    <row r="398" spans="1:20">
      <c r="A398" s="130" t="s">
        <v>148</v>
      </c>
      <c r="B398" s="130" t="s">
        <v>172</v>
      </c>
      <c r="C398" s="130" t="s">
        <v>173</v>
      </c>
      <c r="D398" s="130">
        <v>0</v>
      </c>
      <c r="E398" s="130">
        <v>19</v>
      </c>
      <c r="F398" s="130">
        <f t="shared" si="39"/>
        <v>-0.1381704948771178</v>
      </c>
      <c r="G398" s="130">
        <f t="shared" si="40"/>
        <v>12.463663999297939</v>
      </c>
      <c r="H398" s="130">
        <f t="shared" si="41"/>
        <v>1.157360818049018</v>
      </c>
      <c r="I398" s="130">
        <v>3.4734467248018902E-3</v>
      </c>
      <c r="J398" s="130"/>
      <c r="K398" s="130"/>
      <c r="L398" s="71">
        <v>-20633</v>
      </c>
      <c r="M398" s="27">
        <v>361</v>
      </c>
      <c r="N398" s="34">
        <v>41975</v>
      </c>
      <c r="O398" s="34">
        <v>258762</v>
      </c>
      <c r="P398" s="34">
        <v>149330</v>
      </c>
      <c r="Q398" s="34">
        <v>-40720</v>
      </c>
      <c r="R398" s="34">
        <v>146379</v>
      </c>
      <c r="S398" s="34">
        <v>153102</v>
      </c>
      <c r="T398" s="34">
        <f t="shared" si="38"/>
        <v>299481</v>
      </c>
    </row>
    <row r="399" spans="1:20" ht="17">
      <c r="A399" s="130" t="s">
        <v>150</v>
      </c>
      <c r="B399" s="130" t="s">
        <v>172</v>
      </c>
      <c r="C399" s="130" t="s">
        <v>205</v>
      </c>
      <c r="D399" s="130">
        <v>0</v>
      </c>
      <c r="E399" s="7">
        <v>13</v>
      </c>
      <c r="F399" s="130">
        <f t="shared" si="39"/>
        <v>0.1042697214267118</v>
      </c>
      <c r="G399" s="130">
        <f t="shared" si="40"/>
        <v>12.253981469052059</v>
      </c>
      <c r="H399" s="130">
        <f t="shared" si="41"/>
        <v>1.275985987655792</v>
      </c>
      <c r="I399" s="130">
        <f t="shared" si="42"/>
        <v>-7.1622796212716305E-2</v>
      </c>
      <c r="J399" s="130"/>
      <c r="K399" s="130"/>
      <c r="L399" s="79">
        <v>20826</v>
      </c>
      <c r="M399" s="26">
        <v>435</v>
      </c>
      <c r="N399" s="48">
        <v>89518</v>
      </c>
      <c r="O399" s="48">
        <v>209815</v>
      </c>
      <c r="P399" s="48">
        <v>199732</v>
      </c>
      <c r="Q399" s="48">
        <v>-57906</v>
      </c>
      <c r="R399" s="48">
        <v>88784</v>
      </c>
      <c r="S399" s="48">
        <v>178937</v>
      </c>
      <c r="T399" s="35">
        <f t="shared" si="38"/>
        <v>267721</v>
      </c>
    </row>
    <row r="400" spans="1:20" ht="17">
      <c r="A400" s="130" t="s">
        <v>150</v>
      </c>
      <c r="B400" s="130" t="s">
        <v>172</v>
      </c>
      <c r="C400" s="130" t="s">
        <v>203</v>
      </c>
      <c r="D400" s="130">
        <v>0</v>
      </c>
      <c r="E400" s="7">
        <v>10</v>
      </c>
      <c r="F400" s="130">
        <f t="shared" si="39"/>
        <v>-0.14292487252546004</v>
      </c>
      <c r="G400" s="130">
        <f t="shared" si="40"/>
        <v>12.3994536538491</v>
      </c>
      <c r="H400" s="130">
        <f t="shared" si="41"/>
        <v>1.3630542014019096</v>
      </c>
      <c r="I400" s="130">
        <f t="shared" si="42"/>
        <v>0.40239228211980965</v>
      </c>
      <c r="J400" s="130"/>
      <c r="K400" s="130"/>
      <c r="L400" s="79">
        <v>-30749</v>
      </c>
      <c r="M400" s="26">
        <v>542</v>
      </c>
      <c r="N400" s="48">
        <v>101356</v>
      </c>
      <c r="O400" s="48">
        <v>242669</v>
      </c>
      <c r="P400" s="48">
        <v>215141</v>
      </c>
      <c r="Q400" s="48">
        <v>-88102</v>
      </c>
      <c r="R400" s="48">
        <v>115735</v>
      </c>
      <c r="S400" s="48">
        <v>215036</v>
      </c>
      <c r="T400" s="35">
        <f t="shared" si="38"/>
        <v>330771</v>
      </c>
    </row>
    <row r="401" spans="1:20" ht="17">
      <c r="A401" s="130" t="s">
        <v>150</v>
      </c>
      <c r="B401" s="130" t="s">
        <v>172</v>
      </c>
      <c r="C401" s="130" t="s">
        <v>202</v>
      </c>
      <c r="D401" s="130">
        <v>0</v>
      </c>
      <c r="E401" s="7">
        <v>16</v>
      </c>
      <c r="F401" s="130">
        <f t="shared" si="39"/>
        <v>-0.46705560263346585</v>
      </c>
      <c r="G401" s="130">
        <f t="shared" si="40"/>
        <v>12.418345322420965</v>
      </c>
      <c r="H401" s="130">
        <f t="shared" si="41"/>
        <v>1.6392030635228085</v>
      </c>
      <c r="I401" s="130">
        <f t="shared" si="42"/>
        <v>-0.31016961346835259</v>
      </c>
      <c r="J401" s="130"/>
      <c r="K401" s="130"/>
      <c r="L401" s="79">
        <v>-71651</v>
      </c>
      <c r="M401" s="26">
        <v>582</v>
      </c>
      <c r="N401" s="48">
        <v>146844</v>
      </c>
      <c r="O401" s="48">
        <v>247297</v>
      </c>
      <c r="P401" s="48">
        <v>153410</v>
      </c>
      <c r="Q401" s="48">
        <v>-158073</v>
      </c>
      <c r="R401" s="48">
        <v>119329</v>
      </c>
      <c r="S401" s="48">
        <v>286041</v>
      </c>
      <c r="T401" s="48">
        <f t="shared" si="38"/>
        <v>405370</v>
      </c>
    </row>
    <row r="402" spans="1:20" ht="17">
      <c r="A402" s="130" t="s">
        <v>150</v>
      </c>
      <c r="B402" s="130" t="s">
        <v>172</v>
      </c>
      <c r="C402" s="130" t="s">
        <v>201</v>
      </c>
      <c r="D402" s="130">
        <v>0</v>
      </c>
      <c r="E402" s="130">
        <v>6</v>
      </c>
      <c r="F402" s="130">
        <f t="shared" si="39"/>
        <v>-0.13397305610014928</v>
      </c>
      <c r="G402" s="130">
        <f t="shared" si="40"/>
        <v>12.346182353514818</v>
      </c>
      <c r="H402" s="130">
        <f t="shared" si="41"/>
        <v>1.8299982614742698</v>
      </c>
      <c r="I402" s="130">
        <f t="shared" si="42"/>
        <v>-0.24839210093178724</v>
      </c>
      <c r="J402" s="130"/>
      <c r="K402" s="130"/>
      <c r="L402" s="79">
        <v>-29794</v>
      </c>
      <c r="M402" s="26">
        <v>652</v>
      </c>
      <c r="N402" s="48">
        <v>115505</v>
      </c>
      <c r="O402" s="48">
        <v>230080</v>
      </c>
      <c r="P402" s="48">
        <v>222388</v>
      </c>
      <c r="Q402" s="48">
        <v>-190966</v>
      </c>
      <c r="R402" s="48">
        <v>161292</v>
      </c>
      <c r="S402" s="48">
        <v>259754</v>
      </c>
      <c r="T402" s="35">
        <f t="shared" si="38"/>
        <v>421046</v>
      </c>
    </row>
    <row r="403" spans="1:20">
      <c r="A403" s="130" t="s">
        <v>150</v>
      </c>
      <c r="B403" s="130" t="s">
        <v>172</v>
      </c>
      <c r="C403" s="130" t="s">
        <v>173</v>
      </c>
      <c r="D403" s="130">
        <v>0</v>
      </c>
      <c r="E403" s="130">
        <v>7</v>
      </c>
      <c r="F403" s="130">
        <f t="shared" si="39"/>
        <v>4.5940456193833371E-2</v>
      </c>
      <c r="G403" s="130">
        <f t="shared" si="40"/>
        <v>12.673949013759735</v>
      </c>
      <c r="H403" s="130">
        <f t="shared" si="41"/>
        <v>1.5644713766754352</v>
      </c>
      <c r="I403" s="130">
        <v>-5.6948057123261626E-2</v>
      </c>
      <c r="J403" s="130"/>
      <c r="K403" s="130"/>
      <c r="L403" s="71">
        <v>13593</v>
      </c>
      <c r="M403" s="27">
        <v>725</v>
      </c>
      <c r="N403" s="34">
        <v>249900</v>
      </c>
      <c r="O403" s="34">
        <v>319320</v>
      </c>
      <c r="P403" s="34">
        <v>295883</v>
      </c>
      <c r="Q403" s="34">
        <v>-180247</v>
      </c>
      <c r="R403" s="34">
        <v>122467</v>
      </c>
      <c r="S403" s="34">
        <v>377100</v>
      </c>
      <c r="T403" s="34">
        <f t="shared" si="38"/>
        <v>499567</v>
      </c>
    </row>
    <row r="404" spans="1:20" ht="17">
      <c r="A404" s="130" t="s">
        <v>151</v>
      </c>
      <c r="B404" s="130" t="s">
        <v>172</v>
      </c>
      <c r="C404" s="130" t="s">
        <v>203</v>
      </c>
      <c r="D404" s="130">
        <v>0</v>
      </c>
      <c r="E404" s="7">
        <v>7</v>
      </c>
      <c r="F404" s="130">
        <f t="shared" si="39"/>
        <v>0.12547026293608535</v>
      </c>
      <c r="G404" s="130">
        <f t="shared" si="40"/>
        <v>12.451705408118247</v>
      </c>
      <c r="H404" s="130">
        <f t="shared" si="41"/>
        <v>1.1797321714915951</v>
      </c>
      <c r="I404" s="130">
        <f t="shared" si="42"/>
        <v>0.32581972798386438</v>
      </c>
      <c r="J404" s="130"/>
      <c r="K404" s="130"/>
      <c r="L404" s="79">
        <v>24413</v>
      </c>
      <c r="M404" s="26">
        <v>365</v>
      </c>
      <c r="N404" s="48">
        <v>184525</v>
      </c>
      <c r="O404" s="48">
        <v>255686</v>
      </c>
      <c r="P404" s="48">
        <v>194572</v>
      </c>
      <c r="Q404" s="48">
        <v>-45955</v>
      </c>
      <c r="R404" s="48">
        <v>27792</v>
      </c>
      <c r="S404" s="48">
        <v>273849</v>
      </c>
      <c r="T404" s="35">
        <f t="shared" si="38"/>
        <v>301641</v>
      </c>
    </row>
    <row r="405" spans="1:20" ht="17">
      <c r="A405" s="130" t="s">
        <v>151</v>
      </c>
      <c r="B405" s="130" t="s">
        <v>172</v>
      </c>
      <c r="C405" s="130" t="s">
        <v>202</v>
      </c>
      <c r="D405" s="130">
        <v>1</v>
      </c>
      <c r="E405" s="7">
        <v>7</v>
      </c>
      <c r="F405" s="130">
        <f t="shared" si="39"/>
        <v>-0.27653383848019841</v>
      </c>
      <c r="G405" s="130">
        <f t="shared" si="40"/>
        <v>12.644456600395447</v>
      </c>
      <c r="H405" s="130">
        <f t="shared" si="41"/>
        <v>1.2762933814991615</v>
      </c>
      <c r="I405" s="130">
        <f t="shared" si="42"/>
        <v>-0.34688900459717936</v>
      </c>
      <c r="J405" s="130"/>
      <c r="K405" s="130"/>
      <c r="L405" s="79">
        <v>-40583</v>
      </c>
      <c r="M405" s="26">
        <v>380</v>
      </c>
      <c r="N405" s="48">
        <v>178425</v>
      </c>
      <c r="O405" s="48">
        <v>310040</v>
      </c>
      <c r="P405" s="48">
        <v>146756</v>
      </c>
      <c r="Q405" s="48">
        <v>-85662</v>
      </c>
      <c r="R405" s="48">
        <v>80459</v>
      </c>
      <c r="S405" s="48">
        <v>315243</v>
      </c>
      <c r="T405" s="48">
        <f t="shared" si="38"/>
        <v>395702</v>
      </c>
    </row>
    <row r="406" spans="1:20" ht="17">
      <c r="A406" s="130" t="s">
        <v>151</v>
      </c>
      <c r="B406" s="130" t="s">
        <v>172</v>
      </c>
      <c r="C406" s="130" t="s">
        <v>201</v>
      </c>
      <c r="D406" s="130">
        <v>1</v>
      </c>
      <c r="E406" s="130">
        <v>13</v>
      </c>
      <c r="F406" s="130">
        <f t="shared" si="39"/>
        <v>0.10876134275020806</v>
      </c>
      <c r="G406" s="130">
        <f t="shared" si="40"/>
        <v>12.874283996424873</v>
      </c>
      <c r="H406" s="130">
        <f t="shared" si="41"/>
        <v>1.1670413098585413</v>
      </c>
      <c r="I406" s="130">
        <f t="shared" si="42"/>
        <v>0.15428832679228224</v>
      </c>
      <c r="J406" s="130"/>
      <c r="K406" s="130"/>
      <c r="L406" s="79">
        <v>24439</v>
      </c>
      <c r="M406" s="26">
        <v>379</v>
      </c>
      <c r="N406" s="48">
        <v>184220</v>
      </c>
      <c r="O406" s="48">
        <v>390149</v>
      </c>
      <c r="P406" s="48">
        <v>224703</v>
      </c>
      <c r="Q406" s="48">
        <v>-65171</v>
      </c>
      <c r="R406" s="48">
        <v>134866</v>
      </c>
      <c r="S406" s="48">
        <v>320454</v>
      </c>
      <c r="T406" s="35">
        <f t="shared" si="38"/>
        <v>455320</v>
      </c>
    </row>
    <row r="407" spans="1:20">
      <c r="A407" s="130" t="s">
        <v>151</v>
      </c>
      <c r="B407" s="130" t="s">
        <v>172</v>
      </c>
      <c r="C407" s="130" t="s">
        <v>173</v>
      </c>
      <c r="D407" s="130">
        <v>0</v>
      </c>
      <c r="E407" s="130">
        <v>10</v>
      </c>
      <c r="F407" s="130">
        <f t="shared" si="39"/>
        <v>-0.26010951979780961</v>
      </c>
      <c r="G407" s="130">
        <f t="shared" si="40"/>
        <v>12.727523619797052</v>
      </c>
      <c r="H407" s="130">
        <f t="shared" si="41"/>
        <v>1.3466550309592928</v>
      </c>
      <c r="I407" s="130">
        <f>AVERAGE(I404:I406)</f>
        <v>4.4406350059655757E-2</v>
      </c>
      <c r="J407" s="130"/>
      <c r="K407" s="130"/>
      <c r="L407" s="71">
        <v>-50635</v>
      </c>
      <c r="M407" s="27">
        <v>424</v>
      </c>
      <c r="N407" s="34">
        <v>243622</v>
      </c>
      <c r="O407" s="34">
        <v>336894</v>
      </c>
      <c r="P407" s="34">
        <v>194668</v>
      </c>
      <c r="Q407" s="34">
        <v>-116786</v>
      </c>
      <c r="R407" s="34">
        <v>121301</v>
      </c>
      <c r="S407" s="34">
        <v>332379</v>
      </c>
      <c r="T407" s="34">
        <f t="shared" si="38"/>
        <v>453680</v>
      </c>
    </row>
  </sheetData>
  <dataValidations count="2">
    <dataValidation allowBlank="1" showInputMessage="1" showErrorMessage="1" promptTitle="NOO" sqref="A1:E6 L1:T6 F1:K407" xr:uid="{9B6D2E84-7B92-A743-A3D7-0E408F018827}"/>
    <dataValidation allowBlank="1" showInputMessage="1" showErrorMessage="1" errorTitle="jjmb" error="mn" promptTitle="bbj" sqref="N117:O117 M115:O115 Q115:R115 L29:R40 A27:E40 L27:R27" xr:uid="{46CD1C94-4195-7548-96DD-9EFACE40C41C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3D3B-CBC4-8247-A852-7E06F0E3331F}">
  <dimension ref="A1:AH98"/>
  <sheetViews>
    <sheetView topLeftCell="F7" workbookViewId="0">
      <selection activeCell="R1" sqref="R1:AH89"/>
    </sheetView>
  </sheetViews>
  <sheetFormatPr baseColWidth="10" defaultRowHeight="16"/>
  <sheetData>
    <row r="1" spans="1:34" ht="34">
      <c r="A1" s="6" t="s">
        <v>21</v>
      </c>
      <c r="B1" s="6" t="s">
        <v>172</v>
      </c>
      <c r="C1" s="6" t="s">
        <v>206</v>
      </c>
      <c r="D1" s="8">
        <v>1</v>
      </c>
      <c r="E1" s="7">
        <v>5</v>
      </c>
      <c r="F1" s="76">
        <v>40372</v>
      </c>
      <c r="G1" s="23">
        <v>695</v>
      </c>
      <c r="H1" s="39">
        <v>9174</v>
      </c>
      <c r="I1" s="39">
        <v>1011817</v>
      </c>
      <c r="J1" s="39">
        <v>488611</v>
      </c>
      <c r="K1" s="39">
        <v>415747</v>
      </c>
      <c r="L1" s="39">
        <v>351443</v>
      </c>
      <c r="M1" s="39">
        <v>244627</v>
      </c>
      <c r="N1" s="32">
        <f t="shared" ref="N1:N32" si="0">L1+M1</f>
        <v>596070</v>
      </c>
      <c r="R1" s="28" t="s">
        <v>49</v>
      </c>
      <c r="S1" s="28" t="s">
        <v>193</v>
      </c>
      <c r="T1" s="28" t="s">
        <v>173</v>
      </c>
      <c r="U1" s="29">
        <v>0</v>
      </c>
      <c r="V1" s="28">
        <v>20</v>
      </c>
      <c r="W1" s="27" t="e">
        <v>#DIV/0!</v>
      </c>
      <c r="X1" s="27" t="e">
        <v>#NUM!</v>
      </c>
      <c r="Y1" s="27" t="e">
        <v>#DIV/0!</v>
      </c>
      <c r="Z1" s="73"/>
      <c r="AA1" s="54"/>
      <c r="AB1" s="57"/>
      <c r="AC1" s="57"/>
      <c r="AD1" s="57"/>
      <c r="AE1" s="57"/>
      <c r="AF1" s="57"/>
      <c r="AG1" s="57"/>
      <c r="AH1" s="36">
        <v>0</v>
      </c>
    </row>
    <row r="2" spans="1:34" ht="34">
      <c r="A2" s="6" t="s">
        <v>33</v>
      </c>
      <c r="B2" s="6" t="s">
        <v>172</v>
      </c>
      <c r="C2" s="6" t="s">
        <v>206</v>
      </c>
      <c r="D2" s="8"/>
      <c r="E2" s="7">
        <v>9</v>
      </c>
      <c r="F2" s="76"/>
      <c r="G2" s="23"/>
      <c r="H2" s="39"/>
      <c r="I2" s="39"/>
      <c r="J2" s="39"/>
      <c r="K2" s="39"/>
      <c r="L2" s="39"/>
      <c r="M2" s="39"/>
      <c r="N2" s="32">
        <f t="shared" si="0"/>
        <v>0</v>
      </c>
      <c r="R2" s="28" t="s">
        <v>70</v>
      </c>
      <c r="S2" s="28" t="s">
        <v>193</v>
      </c>
      <c r="T2" s="28" t="s">
        <v>173</v>
      </c>
      <c r="U2" s="29">
        <v>0</v>
      </c>
      <c r="V2" s="28">
        <v>18</v>
      </c>
      <c r="W2" s="27" t="e">
        <v>#DIV/0!</v>
      </c>
      <c r="X2" s="27" t="e">
        <v>#NUM!</v>
      </c>
      <c r="Y2" s="27" t="e">
        <v>#DIV/0!</v>
      </c>
      <c r="Z2" s="74"/>
      <c r="AA2" s="28"/>
      <c r="AB2" s="36"/>
      <c r="AC2" s="36"/>
      <c r="AD2" s="36"/>
      <c r="AE2" s="36"/>
      <c r="AF2" s="36"/>
      <c r="AG2" s="36"/>
      <c r="AH2" s="36">
        <v>0</v>
      </c>
    </row>
    <row r="3" spans="1:34" ht="34">
      <c r="A3" s="6" t="s">
        <v>37</v>
      </c>
      <c r="B3" s="6" t="s">
        <v>172</v>
      </c>
      <c r="C3" s="6" t="s">
        <v>206</v>
      </c>
      <c r="D3" s="8"/>
      <c r="E3" s="7">
        <v>16</v>
      </c>
      <c r="F3" s="76">
        <v>25172</v>
      </c>
      <c r="G3" s="23">
        <v>188</v>
      </c>
      <c r="H3" s="39">
        <v>697</v>
      </c>
      <c r="I3" s="39">
        <v>86644</v>
      </c>
      <c r="J3" s="39">
        <v>137802</v>
      </c>
      <c r="K3" s="39">
        <v>39419</v>
      </c>
      <c r="L3" s="39">
        <v>413</v>
      </c>
      <c r="M3" s="39">
        <v>46812</v>
      </c>
      <c r="N3" s="32">
        <f t="shared" si="0"/>
        <v>47225</v>
      </c>
      <c r="R3" s="28" t="s">
        <v>88</v>
      </c>
      <c r="S3" s="28" t="s">
        <v>193</v>
      </c>
      <c r="T3" s="28" t="s">
        <v>173</v>
      </c>
      <c r="U3" s="29">
        <v>0</v>
      </c>
      <c r="V3" s="28">
        <v>19</v>
      </c>
      <c r="W3" s="27" t="e">
        <v>#DIV/0!</v>
      </c>
      <c r="X3" s="27" t="e">
        <v>#NUM!</v>
      </c>
      <c r="Y3" s="27" t="e">
        <v>#DIV/0!</v>
      </c>
      <c r="Z3" s="74"/>
      <c r="AA3" s="28"/>
      <c r="AB3" s="36"/>
      <c r="AC3" s="36"/>
      <c r="AD3" s="36"/>
      <c r="AE3" s="36"/>
      <c r="AF3" s="36"/>
      <c r="AG3" s="36"/>
      <c r="AH3" s="36">
        <v>0</v>
      </c>
    </row>
    <row r="4" spans="1:34" ht="34">
      <c r="A4" s="6" t="s">
        <v>44</v>
      </c>
      <c r="B4" s="6" t="s">
        <v>172</v>
      </c>
      <c r="C4" s="6" t="s">
        <v>206</v>
      </c>
      <c r="D4" s="8"/>
      <c r="E4" s="7">
        <v>1</v>
      </c>
      <c r="F4" s="76">
        <v>17356</v>
      </c>
      <c r="G4" s="23">
        <v>812</v>
      </c>
      <c r="H4" s="39">
        <v>0</v>
      </c>
      <c r="I4" s="39">
        <v>755647</v>
      </c>
      <c r="J4" s="39">
        <v>410904</v>
      </c>
      <c r="K4" s="39">
        <v>347116</v>
      </c>
      <c r="L4" s="39">
        <v>36024</v>
      </c>
      <c r="M4" s="39">
        <v>372507</v>
      </c>
      <c r="N4" s="32">
        <f t="shared" si="0"/>
        <v>408531</v>
      </c>
      <c r="R4" s="28" t="s">
        <v>119</v>
      </c>
      <c r="S4" s="28" t="s">
        <v>193</v>
      </c>
      <c r="T4" s="28" t="s">
        <v>173</v>
      </c>
      <c r="U4" s="29">
        <v>0</v>
      </c>
      <c r="V4" s="28">
        <v>6</v>
      </c>
      <c r="W4" s="27" t="e">
        <v>#DIV/0!</v>
      </c>
      <c r="X4" s="27" t="e">
        <v>#NUM!</v>
      </c>
      <c r="Y4" s="27" t="e">
        <v>#DIV/0!</v>
      </c>
      <c r="Z4" s="74"/>
      <c r="AA4" s="28"/>
      <c r="AB4" s="36"/>
      <c r="AC4" s="36"/>
      <c r="AD4" s="36"/>
      <c r="AE4" s="36"/>
      <c r="AF4" s="36"/>
      <c r="AG4" s="36"/>
      <c r="AH4" s="36">
        <v>0</v>
      </c>
    </row>
    <row r="5" spans="1:34" ht="34">
      <c r="A5" s="6" t="s">
        <v>47</v>
      </c>
      <c r="B5" s="6" t="s">
        <v>172</v>
      </c>
      <c r="C5" s="6" t="s">
        <v>206</v>
      </c>
      <c r="D5" s="8"/>
      <c r="E5" s="7">
        <v>14</v>
      </c>
      <c r="F5" s="76">
        <v>-12273</v>
      </c>
      <c r="G5" s="23">
        <v>227</v>
      </c>
      <c r="H5" s="32">
        <v>32688</v>
      </c>
      <c r="I5" s="32">
        <v>206224</v>
      </c>
      <c r="J5" s="39">
        <v>142735</v>
      </c>
      <c r="K5" s="39">
        <v>66555</v>
      </c>
      <c r="L5" s="32">
        <v>32688</v>
      </c>
      <c r="M5" s="39">
        <v>55902</v>
      </c>
      <c r="N5" s="32">
        <f t="shared" si="0"/>
        <v>88590</v>
      </c>
      <c r="R5" s="28" t="s">
        <v>41</v>
      </c>
      <c r="S5" s="28" t="s">
        <v>198</v>
      </c>
      <c r="T5" s="28" t="s">
        <v>173</v>
      </c>
      <c r="U5" s="29">
        <v>0</v>
      </c>
      <c r="V5" s="31">
        <v>18</v>
      </c>
      <c r="W5" s="27" t="e">
        <v>#DIV/0!</v>
      </c>
      <c r="X5" s="27" t="e">
        <v>#NUM!</v>
      </c>
      <c r="Y5" s="27" t="e">
        <v>#DIV/0!</v>
      </c>
      <c r="Z5" s="74"/>
      <c r="AA5" s="28"/>
      <c r="AB5" s="36"/>
      <c r="AC5" s="36"/>
      <c r="AD5" s="36"/>
      <c r="AE5" s="36"/>
      <c r="AF5" s="36"/>
      <c r="AG5" s="36"/>
      <c r="AH5" s="36">
        <v>0</v>
      </c>
    </row>
    <row r="6" spans="1:34" ht="34">
      <c r="A6" s="6" t="s">
        <v>57</v>
      </c>
      <c r="B6" s="6" t="s">
        <v>172</v>
      </c>
      <c r="C6" s="6" t="s">
        <v>206</v>
      </c>
      <c r="D6" s="8"/>
      <c r="E6" s="7">
        <v>7</v>
      </c>
      <c r="F6" s="76">
        <v>35030</v>
      </c>
      <c r="G6" s="23">
        <v>196</v>
      </c>
      <c r="H6" s="39">
        <v>23</v>
      </c>
      <c r="I6" s="39">
        <v>226641</v>
      </c>
      <c r="J6" s="39">
        <v>196027</v>
      </c>
      <c r="K6" s="39">
        <v>104905</v>
      </c>
      <c r="L6" s="39">
        <v>29543</v>
      </c>
      <c r="M6" s="39">
        <v>92193</v>
      </c>
      <c r="N6" s="32">
        <f t="shared" si="0"/>
        <v>121736</v>
      </c>
      <c r="R6" s="28" t="s">
        <v>154</v>
      </c>
      <c r="S6" s="28" t="s">
        <v>198</v>
      </c>
      <c r="T6" s="28" t="s">
        <v>173</v>
      </c>
      <c r="U6" s="29">
        <v>0</v>
      </c>
      <c r="V6" s="31">
        <v>20</v>
      </c>
      <c r="W6" s="27" t="e">
        <v>#DIV/0!</v>
      </c>
      <c r="X6" s="27" t="e">
        <v>#NUM!</v>
      </c>
      <c r="Y6" s="27" t="e">
        <v>#DIV/0!</v>
      </c>
      <c r="Z6" s="74"/>
      <c r="AA6" s="28"/>
      <c r="AB6" s="56"/>
      <c r="AC6" s="56"/>
      <c r="AD6" s="36"/>
      <c r="AE6" s="36"/>
      <c r="AF6" s="36"/>
      <c r="AG6" s="36"/>
      <c r="AH6" s="36">
        <v>0</v>
      </c>
    </row>
    <row r="7" spans="1:34" ht="34">
      <c r="A7" s="6" t="s">
        <v>74</v>
      </c>
      <c r="B7" s="6" t="s">
        <v>172</v>
      </c>
      <c r="C7" s="6" t="s">
        <v>206</v>
      </c>
      <c r="D7" s="8">
        <v>1</v>
      </c>
      <c r="E7" s="7">
        <v>18</v>
      </c>
      <c r="F7" s="76"/>
      <c r="G7" s="23"/>
      <c r="H7" s="39"/>
      <c r="I7" s="39"/>
      <c r="J7" s="39"/>
      <c r="K7" s="39"/>
      <c r="L7" s="39"/>
      <c r="M7" s="39"/>
      <c r="N7" s="32">
        <f t="shared" si="0"/>
        <v>0</v>
      </c>
      <c r="R7" s="28" t="s">
        <v>63</v>
      </c>
      <c r="S7" s="28" t="s">
        <v>199</v>
      </c>
      <c r="T7" s="28" t="s">
        <v>173</v>
      </c>
      <c r="U7" s="29">
        <v>0</v>
      </c>
      <c r="V7" s="123">
        <v>15</v>
      </c>
      <c r="W7" s="27" t="e">
        <v>#DIV/0!</v>
      </c>
      <c r="X7" s="27" t="e">
        <v>#NUM!</v>
      </c>
      <c r="Y7" s="27" t="e">
        <v>#DIV/0!</v>
      </c>
      <c r="Z7" s="127"/>
      <c r="AA7" s="123"/>
      <c r="AB7" s="124"/>
      <c r="AC7" s="124"/>
      <c r="AD7" s="124"/>
      <c r="AE7" s="124"/>
      <c r="AF7" s="124"/>
      <c r="AG7" s="36"/>
      <c r="AH7" s="36">
        <v>0</v>
      </c>
    </row>
    <row r="8" spans="1:34" ht="34">
      <c r="A8" s="6" t="s">
        <v>87</v>
      </c>
      <c r="B8" s="6" t="s">
        <v>172</v>
      </c>
      <c r="C8" s="6" t="s">
        <v>206</v>
      </c>
      <c r="D8" s="8"/>
      <c r="E8" s="7">
        <v>12</v>
      </c>
      <c r="F8" s="76" t="s">
        <v>197</v>
      </c>
      <c r="G8" s="23" t="s">
        <v>197</v>
      </c>
      <c r="H8" s="39" t="s">
        <v>197</v>
      </c>
      <c r="I8" s="39" t="s">
        <v>197</v>
      </c>
      <c r="J8" s="39" t="s">
        <v>197</v>
      </c>
      <c r="K8" s="39" t="s">
        <v>197</v>
      </c>
      <c r="L8" s="39" t="s">
        <v>197</v>
      </c>
      <c r="M8" s="39" t="s">
        <v>197</v>
      </c>
      <c r="N8" s="32" t="e">
        <f t="shared" si="0"/>
        <v>#VALUE!</v>
      </c>
      <c r="R8" s="28" t="s">
        <v>69</v>
      </c>
      <c r="S8" s="28" t="s">
        <v>199</v>
      </c>
      <c r="T8" s="28" t="s">
        <v>173</v>
      </c>
      <c r="U8" s="29">
        <v>0</v>
      </c>
      <c r="V8" s="123">
        <v>19</v>
      </c>
      <c r="W8" s="27" t="e">
        <v>#DIV/0!</v>
      </c>
      <c r="X8" s="27" t="e">
        <v>#NUM!</v>
      </c>
      <c r="Y8" s="27" t="e">
        <v>#DIV/0!</v>
      </c>
      <c r="Z8" s="127"/>
      <c r="AA8" s="123"/>
      <c r="AB8" s="124"/>
      <c r="AC8" s="124"/>
      <c r="AD8" s="124"/>
      <c r="AE8" s="124"/>
      <c r="AF8" s="124"/>
      <c r="AG8" s="36"/>
      <c r="AH8" s="36">
        <v>0</v>
      </c>
    </row>
    <row r="9" spans="1:34" ht="34">
      <c r="A9" s="6" t="s">
        <v>90</v>
      </c>
      <c r="B9" s="6" t="s">
        <v>172</v>
      </c>
      <c r="C9" s="6" t="s">
        <v>206</v>
      </c>
      <c r="D9" s="8"/>
      <c r="E9" s="7">
        <v>4</v>
      </c>
      <c r="F9" s="76" t="s">
        <v>197</v>
      </c>
      <c r="G9" s="23" t="s">
        <v>197</v>
      </c>
      <c r="H9" s="39" t="s">
        <v>197</v>
      </c>
      <c r="I9" s="39" t="s">
        <v>197</v>
      </c>
      <c r="J9" s="39" t="s">
        <v>197</v>
      </c>
      <c r="K9" s="39" t="s">
        <v>197</v>
      </c>
      <c r="L9" s="39" t="s">
        <v>197</v>
      </c>
      <c r="M9" s="39" t="s">
        <v>197</v>
      </c>
      <c r="N9" s="32" t="e">
        <f t="shared" si="0"/>
        <v>#VALUE!</v>
      </c>
      <c r="R9" s="28" t="s">
        <v>120</v>
      </c>
      <c r="S9" s="28" t="s">
        <v>199</v>
      </c>
      <c r="T9" s="28" t="s">
        <v>173</v>
      </c>
      <c r="U9" s="29">
        <v>0</v>
      </c>
      <c r="V9" s="123">
        <v>17</v>
      </c>
      <c r="W9" s="27" t="e">
        <v>#DIV/0!</v>
      </c>
      <c r="X9" s="27" t="e">
        <v>#NUM!</v>
      </c>
      <c r="Y9" s="27" t="e">
        <v>#DIV/0!</v>
      </c>
      <c r="Z9" s="127"/>
      <c r="AA9" s="123"/>
      <c r="AB9" s="124"/>
      <c r="AC9" s="124"/>
      <c r="AD9" s="124"/>
      <c r="AE9" s="124"/>
      <c r="AF9" s="124"/>
      <c r="AG9" s="36"/>
      <c r="AH9" s="36">
        <v>0</v>
      </c>
    </row>
    <row r="10" spans="1:34" ht="34">
      <c r="A10" s="6" t="s">
        <v>94</v>
      </c>
      <c r="B10" s="6" t="s">
        <v>172</v>
      </c>
      <c r="C10" s="6" t="s">
        <v>206</v>
      </c>
      <c r="D10" s="8">
        <v>1</v>
      </c>
      <c r="E10" s="7">
        <v>3</v>
      </c>
      <c r="F10" s="76">
        <v>1237</v>
      </c>
      <c r="G10" s="23">
        <v>325</v>
      </c>
      <c r="H10" s="39">
        <v>1434</v>
      </c>
      <c r="I10" s="39">
        <v>1206394</v>
      </c>
      <c r="J10" s="39">
        <v>538354</v>
      </c>
      <c r="K10" s="39">
        <v>771300</v>
      </c>
      <c r="L10" s="39">
        <v>100274</v>
      </c>
      <c r="M10" s="39">
        <v>334820</v>
      </c>
      <c r="N10" s="32">
        <f t="shared" si="0"/>
        <v>435094</v>
      </c>
      <c r="R10" s="28" t="s">
        <v>128</v>
      </c>
      <c r="S10" s="28" t="s">
        <v>199</v>
      </c>
      <c r="T10" s="28" t="s">
        <v>173</v>
      </c>
      <c r="U10" s="29">
        <v>0</v>
      </c>
      <c r="V10" s="123">
        <v>10</v>
      </c>
      <c r="W10" s="27" t="e">
        <v>#DIV/0!</v>
      </c>
      <c r="X10" s="27" t="e">
        <v>#NUM!</v>
      </c>
      <c r="Y10" s="27" t="e">
        <v>#DIV/0!</v>
      </c>
      <c r="Z10" s="127"/>
      <c r="AA10" s="123"/>
      <c r="AB10" s="124"/>
      <c r="AC10" s="124"/>
      <c r="AD10" s="124"/>
      <c r="AE10" s="124"/>
      <c r="AF10" s="124"/>
      <c r="AG10" s="36"/>
      <c r="AH10" s="36">
        <v>0</v>
      </c>
    </row>
    <row r="11" spans="1:34" ht="34">
      <c r="A11" s="6" t="s">
        <v>95</v>
      </c>
      <c r="B11" s="6" t="s">
        <v>172</v>
      </c>
      <c r="C11" s="6" t="s">
        <v>206</v>
      </c>
      <c r="D11" s="8"/>
      <c r="E11" s="7">
        <v>6</v>
      </c>
      <c r="F11" s="76">
        <v>44555</v>
      </c>
      <c r="G11" s="23">
        <v>865</v>
      </c>
      <c r="H11" s="39">
        <v>6510</v>
      </c>
      <c r="I11" s="39">
        <v>1744881</v>
      </c>
      <c r="J11" s="39">
        <v>660985</v>
      </c>
      <c r="K11" s="39">
        <v>543179</v>
      </c>
      <c r="L11" s="39">
        <v>730522</v>
      </c>
      <c r="M11" s="39">
        <v>471181</v>
      </c>
      <c r="N11" s="32">
        <f t="shared" si="0"/>
        <v>1201703</v>
      </c>
      <c r="R11" s="28" t="s">
        <v>152</v>
      </c>
      <c r="S11" s="28" t="s">
        <v>199</v>
      </c>
      <c r="T11" s="28" t="s">
        <v>173</v>
      </c>
      <c r="U11" s="29">
        <v>0</v>
      </c>
      <c r="V11" s="123">
        <v>20</v>
      </c>
      <c r="W11" s="27" t="e">
        <v>#DIV/0!</v>
      </c>
      <c r="X11" s="27" t="e">
        <v>#NUM!</v>
      </c>
      <c r="Y11" s="27" t="e">
        <v>#DIV/0!</v>
      </c>
      <c r="Z11" s="74"/>
      <c r="AA11" s="28"/>
      <c r="AB11" s="125"/>
      <c r="AC11" s="124"/>
      <c r="AD11" s="36"/>
      <c r="AE11" s="36"/>
      <c r="AF11" s="36"/>
      <c r="AG11" s="36"/>
      <c r="AH11" s="36">
        <v>0</v>
      </c>
    </row>
    <row r="12" spans="1:34" ht="34">
      <c r="A12" s="6" t="s">
        <v>97</v>
      </c>
      <c r="B12" s="6" t="s">
        <v>172</v>
      </c>
      <c r="C12" s="6" t="s">
        <v>206</v>
      </c>
      <c r="D12" s="8"/>
      <c r="E12" s="7">
        <v>19</v>
      </c>
      <c r="F12" s="76" t="s">
        <v>197</v>
      </c>
      <c r="G12" s="23" t="s">
        <v>197</v>
      </c>
      <c r="H12" s="39" t="s">
        <v>197</v>
      </c>
      <c r="I12" s="39" t="s">
        <v>197</v>
      </c>
      <c r="J12" s="39" t="s">
        <v>197</v>
      </c>
      <c r="K12" s="39" t="s">
        <v>197</v>
      </c>
      <c r="L12" s="39" t="s">
        <v>197</v>
      </c>
      <c r="M12" s="39" t="s">
        <v>197</v>
      </c>
      <c r="N12" s="32" t="e">
        <f t="shared" si="0"/>
        <v>#VALUE!</v>
      </c>
      <c r="R12" s="28" t="s">
        <v>127</v>
      </c>
      <c r="S12" s="28" t="s">
        <v>172</v>
      </c>
      <c r="T12" s="28" t="s">
        <v>201</v>
      </c>
      <c r="U12" s="28">
        <v>0</v>
      </c>
      <c r="V12" s="29">
        <v>20</v>
      </c>
      <c r="W12" s="27" t="e">
        <v>#DIV/0!</v>
      </c>
      <c r="X12" s="27" t="e">
        <v>#NUM!</v>
      </c>
      <c r="Y12" s="27" t="e">
        <v>#DIV/0!</v>
      </c>
      <c r="Z12" s="80"/>
      <c r="AA12" s="30"/>
      <c r="AB12" s="49"/>
      <c r="AC12" s="49"/>
      <c r="AD12" s="49"/>
      <c r="AE12" s="49"/>
      <c r="AF12" s="49"/>
      <c r="AG12" s="49"/>
      <c r="AH12" s="36">
        <v>0</v>
      </c>
    </row>
    <row r="13" spans="1:34" ht="34">
      <c r="A13" s="6" t="s">
        <v>129</v>
      </c>
      <c r="B13" s="6" t="s">
        <v>172</v>
      </c>
      <c r="C13" s="6" t="s">
        <v>206</v>
      </c>
      <c r="D13" s="8"/>
      <c r="E13" s="7">
        <v>8</v>
      </c>
      <c r="F13" s="76">
        <v>39386</v>
      </c>
      <c r="G13" s="23">
        <v>340</v>
      </c>
      <c r="H13" s="39">
        <v>13286</v>
      </c>
      <c r="I13" s="39">
        <v>210306</v>
      </c>
      <c r="J13" s="39">
        <v>202814</v>
      </c>
      <c r="K13" s="39">
        <v>75338</v>
      </c>
      <c r="L13" s="39">
        <v>40749</v>
      </c>
      <c r="M13" s="39">
        <v>94218</v>
      </c>
      <c r="N13" s="32">
        <f t="shared" si="0"/>
        <v>134967</v>
      </c>
      <c r="R13" s="28" t="s">
        <v>149</v>
      </c>
      <c r="S13" s="28" t="s">
        <v>172</v>
      </c>
      <c r="T13" s="28" t="s">
        <v>201</v>
      </c>
      <c r="U13" s="28">
        <v>0</v>
      </c>
      <c r="V13" s="29">
        <v>19</v>
      </c>
      <c r="W13" s="27" t="e">
        <v>#DIV/0!</v>
      </c>
      <c r="X13" s="27" t="e">
        <v>#NUM!</v>
      </c>
      <c r="Y13" s="27" t="e">
        <v>#DIV/0!</v>
      </c>
      <c r="Z13" s="80"/>
      <c r="AA13" s="30"/>
      <c r="AB13" s="49"/>
      <c r="AC13" s="49"/>
      <c r="AD13" s="49"/>
      <c r="AE13" s="49"/>
      <c r="AF13" s="49"/>
      <c r="AG13" s="49"/>
      <c r="AH13" s="36">
        <v>0</v>
      </c>
    </row>
    <row r="14" spans="1:34" ht="34">
      <c r="A14" s="6" t="s">
        <v>136</v>
      </c>
      <c r="B14" s="6" t="s">
        <v>172</v>
      </c>
      <c r="C14" s="6" t="s">
        <v>206</v>
      </c>
      <c r="D14" s="8"/>
      <c r="E14" s="7">
        <v>13</v>
      </c>
      <c r="F14" s="76"/>
      <c r="G14" s="23"/>
      <c r="H14" s="39"/>
      <c r="I14" s="39"/>
      <c r="J14" s="39"/>
      <c r="K14" s="39"/>
      <c r="L14" s="39"/>
      <c r="M14" s="39"/>
      <c r="N14" s="32">
        <f t="shared" si="0"/>
        <v>0</v>
      </c>
      <c r="R14" s="28" t="s">
        <v>15</v>
      </c>
      <c r="S14" s="28" t="s">
        <v>193</v>
      </c>
      <c r="T14" s="28" t="s">
        <v>201</v>
      </c>
      <c r="U14" s="29">
        <v>0</v>
      </c>
      <c r="V14" s="28">
        <v>16</v>
      </c>
      <c r="W14" s="27" t="e">
        <v>#DIV/0!</v>
      </c>
      <c r="X14" s="27" t="e">
        <v>#NUM!</v>
      </c>
      <c r="Y14" s="27" t="e">
        <v>#DIV/0!</v>
      </c>
      <c r="Z14" s="74"/>
      <c r="AA14" s="28"/>
      <c r="AB14" s="36"/>
      <c r="AC14" s="36"/>
      <c r="AD14" s="36"/>
      <c r="AE14" s="36"/>
      <c r="AF14" s="36"/>
      <c r="AG14" s="36"/>
      <c r="AH14" s="36">
        <v>0</v>
      </c>
    </row>
    <row r="15" spans="1:34" ht="34">
      <c r="A15" s="6" t="s">
        <v>137</v>
      </c>
      <c r="B15" s="6" t="s">
        <v>172</v>
      </c>
      <c r="C15" s="6" t="s">
        <v>206</v>
      </c>
      <c r="D15" s="8"/>
      <c r="E15" s="7">
        <v>20</v>
      </c>
      <c r="F15" s="69"/>
      <c r="H15" s="32"/>
      <c r="I15" s="32"/>
      <c r="J15" s="32"/>
      <c r="K15" s="32"/>
      <c r="L15" s="32"/>
      <c r="M15" s="32"/>
      <c r="N15" s="32">
        <f t="shared" si="0"/>
        <v>0</v>
      </c>
      <c r="R15" s="28" t="s">
        <v>70</v>
      </c>
      <c r="S15" s="28" t="s">
        <v>193</v>
      </c>
      <c r="T15" s="28" t="s">
        <v>201</v>
      </c>
      <c r="U15" s="29">
        <v>0</v>
      </c>
      <c r="V15" s="28">
        <v>9</v>
      </c>
      <c r="W15" s="27" t="e">
        <v>#DIV/0!</v>
      </c>
      <c r="X15" s="27" t="e">
        <v>#NUM!</v>
      </c>
      <c r="Y15" s="27" t="e">
        <v>#DIV/0!</v>
      </c>
      <c r="Z15" s="74"/>
      <c r="AA15" s="28"/>
      <c r="AB15" s="36"/>
      <c r="AC15" s="36"/>
      <c r="AD15" s="36"/>
      <c r="AE15" s="36"/>
      <c r="AF15" s="36"/>
      <c r="AG15" s="36"/>
      <c r="AH15" s="36">
        <v>0</v>
      </c>
    </row>
    <row r="16" spans="1:34" ht="34">
      <c r="A16" s="6" t="s">
        <v>138</v>
      </c>
      <c r="B16" s="6" t="s">
        <v>172</v>
      </c>
      <c r="C16" s="6" t="s">
        <v>206</v>
      </c>
      <c r="D16" s="8"/>
      <c r="E16" s="7">
        <v>15</v>
      </c>
      <c r="F16" s="69"/>
      <c r="H16" s="32"/>
      <c r="I16" s="32"/>
      <c r="J16" s="32"/>
      <c r="K16" s="32"/>
      <c r="L16" s="32"/>
      <c r="M16" s="32"/>
      <c r="N16" s="32">
        <f t="shared" si="0"/>
        <v>0</v>
      </c>
      <c r="R16" s="28" t="s">
        <v>73</v>
      </c>
      <c r="S16" s="28" t="s">
        <v>193</v>
      </c>
      <c r="T16" s="28" t="s">
        <v>201</v>
      </c>
      <c r="U16" s="29">
        <v>0</v>
      </c>
      <c r="V16" s="28">
        <v>18</v>
      </c>
      <c r="W16" s="27" t="e">
        <v>#DIV/0!</v>
      </c>
      <c r="X16" s="27" t="e">
        <v>#NUM!</v>
      </c>
      <c r="Y16" s="27" t="e">
        <v>#DIV/0!</v>
      </c>
      <c r="Z16" s="74"/>
      <c r="AA16" s="28"/>
      <c r="AB16" s="36"/>
      <c r="AC16" s="36"/>
      <c r="AD16" s="36"/>
      <c r="AE16" s="36"/>
      <c r="AF16" s="36"/>
      <c r="AG16" s="36"/>
      <c r="AH16" s="36">
        <v>0</v>
      </c>
    </row>
    <row r="17" spans="1:34" ht="34">
      <c r="A17" s="6" t="s">
        <v>140</v>
      </c>
      <c r="B17" s="6" t="s">
        <v>172</v>
      </c>
      <c r="C17" s="6" t="s">
        <v>206</v>
      </c>
      <c r="D17" s="8"/>
      <c r="E17" s="7">
        <v>2</v>
      </c>
      <c r="F17" s="76">
        <v>46863</v>
      </c>
      <c r="G17" s="23">
        <v>439</v>
      </c>
      <c r="H17" s="39">
        <v>12560</v>
      </c>
      <c r="I17" s="39">
        <v>956136</v>
      </c>
      <c r="J17" s="39">
        <v>348369</v>
      </c>
      <c r="K17" s="39">
        <v>258434</v>
      </c>
      <c r="L17" s="39">
        <v>436045</v>
      </c>
      <c r="M17" s="39">
        <v>261657</v>
      </c>
      <c r="N17" s="32">
        <f t="shared" si="0"/>
        <v>697702</v>
      </c>
      <c r="R17" s="28" t="s">
        <v>88</v>
      </c>
      <c r="S17" s="28" t="s">
        <v>193</v>
      </c>
      <c r="T17" s="28" t="s">
        <v>201</v>
      </c>
      <c r="U17" s="29">
        <v>0</v>
      </c>
      <c r="V17" s="28">
        <v>14</v>
      </c>
      <c r="W17" s="27" t="e">
        <v>#DIV/0!</v>
      </c>
      <c r="X17" s="27" t="e">
        <v>#NUM!</v>
      </c>
      <c r="Y17" s="27" t="e">
        <v>#DIV/0!</v>
      </c>
      <c r="Z17" s="74"/>
      <c r="AA17" s="28"/>
      <c r="AB17" s="36"/>
      <c r="AC17" s="36"/>
      <c r="AD17" s="36"/>
      <c r="AE17" s="36"/>
      <c r="AF17" s="36"/>
      <c r="AG17" s="36"/>
      <c r="AH17" s="36">
        <v>0</v>
      </c>
    </row>
    <row r="18" spans="1:34" ht="34">
      <c r="A18" s="6" t="s">
        <v>148</v>
      </c>
      <c r="B18" s="6" t="s">
        <v>172</v>
      </c>
      <c r="C18" s="6" t="s">
        <v>206</v>
      </c>
      <c r="D18" s="8"/>
      <c r="E18" s="7">
        <v>17</v>
      </c>
      <c r="F18" s="76">
        <v>9259</v>
      </c>
      <c r="G18" s="23">
        <v>254</v>
      </c>
      <c r="H18" s="39">
        <v>3017</v>
      </c>
      <c r="I18" s="39">
        <v>192031</v>
      </c>
      <c r="J18" s="39">
        <v>140915</v>
      </c>
      <c r="K18" s="39">
        <v>3252</v>
      </c>
      <c r="L18" s="39">
        <v>101441</v>
      </c>
      <c r="M18" s="39">
        <v>87338</v>
      </c>
      <c r="N18" s="32">
        <f t="shared" si="0"/>
        <v>188779</v>
      </c>
      <c r="R18" s="28" t="s">
        <v>119</v>
      </c>
      <c r="S18" s="28" t="s">
        <v>193</v>
      </c>
      <c r="T18" s="28" t="s">
        <v>201</v>
      </c>
      <c r="U18" s="29">
        <v>0</v>
      </c>
      <c r="V18" s="28">
        <v>5</v>
      </c>
      <c r="W18" s="27" t="e">
        <v>#DIV/0!</v>
      </c>
      <c r="X18" s="27" t="e">
        <v>#NUM!</v>
      </c>
      <c r="Y18" s="27" t="e">
        <v>#DIV/0!</v>
      </c>
      <c r="Z18" s="74"/>
      <c r="AA18" s="28"/>
      <c r="AB18" s="36"/>
      <c r="AC18" s="36"/>
      <c r="AD18" s="36"/>
      <c r="AE18" s="36"/>
      <c r="AF18" s="36"/>
      <c r="AG18" s="36"/>
      <c r="AH18" s="36">
        <v>0</v>
      </c>
    </row>
    <row r="19" spans="1:34" ht="34">
      <c r="A19" s="6" t="s">
        <v>149</v>
      </c>
      <c r="B19" s="6" t="s">
        <v>172</v>
      </c>
      <c r="C19" s="6" t="s">
        <v>206</v>
      </c>
      <c r="D19" s="8"/>
      <c r="E19" s="7">
        <v>10</v>
      </c>
      <c r="F19" s="69"/>
      <c r="H19" s="32"/>
      <c r="I19" s="32"/>
      <c r="J19" s="32"/>
      <c r="K19" s="32"/>
      <c r="L19" s="32"/>
      <c r="M19" s="32"/>
      <c r="N19" s="32">
        <f t="shared" si="0"/>
        <v>0</v>
      </c>
      <c r="R19" s="28" t="s">
        <v>146</v>
      </c>
      <c r="S19" s="28" t="s">
        <v>193</v>
      </c>
      <c r="T19" s="28" t="s">
        <v>201</v>
      </c>
      <c r="U19" s="29">
        <v>0</v>
      </c>
      <c r="V19" s="28">
        <v>19</v>
      </c>
      <c r="W19" s="27" t="e">
        <v>#DIV/0!</v>
      </c>
      <c r="X19" s="27" t="e">
        <v>#NUM!</v>
      </c>
      <c r="Y19" s="27" t="e">
        <v>#DIV/0!</v>
      </c>
      <c r="Z19" s="74"/>
      <c r="AA19" s="28"/>
      <c r="AB19" s="36"/>
      <c r="AC19" s="36"/>
      <c r="AD19" s="36"/>
      <c r="AE19" s="36"/>
      <c r="AF19" s="36"/>
      <c r="AG19" s="36"/>
      <c r="AH19" s="36">
        <v>0</v>
      </c>
    </row>
    <row r="20" spans="1:34" ht="34">
      <c r="A20" s="6" t="s">
        <v>150</v>
      </c>
      <c r="B20" s="6" t="s">
        <v>172</v>
      </c>
      <c r="C20" s="6" t="s">
        <v>206</v>
      </c>
      <c r="D20" s="8"/>
      <c r="E20" s="7">
        <v>11</v>
      </c>
      <c r="F20" s="76">
        <v>49245</v>
      </c>
      <c r="G20" s="23">
        <v>399</v>
      </c>
      <c r="H20" s="39">
        <v>102578</v>
      </c>
      <c r="I20" s="39">
        <v>215392</v>
      </c>
      <c r="J20" s="39">
        <v>209768</v>
      </c>
      <c r="K20" s="39">
        <v>-78367</v>
      </c>
      <c r="L20" s="39">
        <v>91791</v>
      </c>
      <c r="M20" s="39">
        <v>201969</v>
      </c>
      <c r="N20" s="32">
        <f t="shared" si="0"/>
        <v>293760</v>
      </c>
      <c r="R20" s="28" t="s">
        <v>30</v>
      </c>
      <c r="S20" s="28" t="s">
        <v>198</v>
      </c>
      <c r="T20" s="28" t="s">
        <v>201</v>
      </c>
      <c r="U20" s="29">
        <v>0</v>
      </c>
      <c r="V20" s="28">
        <v>18</v>
      </c>
      <c r="W20" s="27" t="e">
        <v>#DIV/0!</v>
      </c>
      <c r="X20" s="27" t="e">
        <v>#NUM!</v>
      </c>
      <c r="Y20" s="27" t="e">
        <v>#DIV/0!</v>
      </c>
      <c r="Z20" s="74"/>
      <c r="AA20" s="28"/>
      <c r="AB20" s="36"/>
      <c r="AC20" s="36"/>
      <c r="AD20" s="36"/>
      <c r="AE20" s="36"/>
      <c r="AF20" s="36"/>
      <c r="AG20" s="36"/>
      <c r="AH20" s="36">
        <v>0</v>
      </c>
    </row>
    <row r="21" spans="1:34" ht="34">
      <c r="A21" s="12" t="s">
        <v>15</v>
      </c>
      <c r="B21" s="12" t="s">
        <v>193</v>
      </c>
      <c r="C21" s="12" t="s">
        <v>206</v>
      </c>
      <c r="D21" s="13"/>
      <c r="E21" s="12"/>
      <c r="F21" s="69"/>
      <c r="H21" s="32"/>
      <c r="I21" s="32"/>
      <c r="J21" s="32"/>
      <c r="K21" s="32"/>
      <c r="L21" s="32"/>
      <c r="M21" s="32"/>
      <c r="N21" s="32">
        <f t="shared" si="0"/>
        <v>0</v>
      </c>
      <c r="R21" s="28" t="s">
        <v>41</v>
      </c>
      <c r="S21" s="28" t="s">
        <v>198</v>
      </c>
      <c r="T21" s="28" t="s">
        <v>201</v>
      </c>
      <c r="U21" s="29">
        <v>0</v>
      </c>
      <c r="V21" s="28">
        <v>16</v>
      </c>
      <c r="W21" s="27" t="e">
        <v>#DIV/0!</v>
      </c>
      <c r="X21" s="27" t="e">
        <v>#NUM!</v>
      </c>
      <c r="Y21" s="27" t="e">
        <v>#DIV/0!</v>
      </c>
      <c r="Z21" s="74"/>
      <c r="AA21" s="28"/>
      <c r="AB21" s="36"/>
      <c r="AC21" s="36"/>
      <c r="AD21" s="36"/>
      <c r="AE21" s="36"/>
      <c r="AF21" s="36"/>
      <c r="AG21" s="36"/>
      <c r="AH21" s="36">
        <v>0</v>
      </c>
    </row>
    <row r="22" spans="1:34" ht="34">
      <c r="A22" s="12" t="s">
        <v>26</v>
      </c>
      <c r="B22" s="12" t="s">
        <v>193</v>
      </c>
      <c r="C22" s="12" t="s">
        <v>206</v>
      </c>
      <c r="D22" s="13"/>
      <c r="E22" s="12"/>
      <c r="F22" s="72">
        <v>21111</v>
      </c>
      <c r="G22" s="24">
        <v>270</v>
      </c>
      <c r="H22" s="38">
        <v>0</v>
      </c>
      <c r="I22" s="38">
        <v>212871</v>
      </c>
      <c r="J22" s="38">
        <v>129277</v>
      </c>
      <c r="K22" s="38">
        <v>133360</v>
      </c>
      <c r="L22" s="38">
        <v>9490</v>
      </c>
      <c r="M22" s="38">
        <v>70022</v>
      </c>
      <c r="N22" s="32">
        <f t="shared" si="0"/>
        <v>79512</v>
      </c>
      <c r="R22" s="28" t="s">
        <v>46</v>
      </c>
      <c r="S22" s="28" t="s">
        <v>198</v>
      </c>
      <c r="T22" s="28" t="s">
        <v>201</v>
      </c>
      <c r="U22" s="29">
        <v>0</v>
      </c>
      <c r="V22" s="28">
        <v>19</v>
      </c>
      <c r="W22" s="27" t="e">
        <v>#DIV/0!</v>
      </c>
      <c r="X22" s="27" t="e">
        <v>#NUM!</v>
      </c>
      <c r="Y22" s="27" t="e">
        <v>#DIV/0!</v>
      </c>
      <c r="Z22" s="74"/>
      <c r="AA22" s="28"/>
      <c r="AB22" s="36"/>
      <c r="AC22" s="36"/>
      <c r="AD22" s="36"/>
      <c r="AE22" s="36"/>
      <c r="AF22" s="36"/>
      <c r="AG22" s="36"/>
      <c r="AH22" s="36">
        <v>0</v>
      </c>
    </row>
    <row r="23" spans="1:34" ht="34">
      <c r="A23" s="12" t="s">
        <v>27</v>
      </c>
      <c r="B23" s="12" t="s">
        <v>193</v>
      </c>
      <c r="C23" s="12" t="s">
        <v>206</v>
      </c>
      <c r="D23" s="13">
        <v>1</v>
      </c>
      <c r="E23" s="12"/>
      <c r="F23" s="72" t="s">
        <v>197</v>
      </c>
      <c r="G23" s="24" t="s">
        <v>197</v>
      </c>
      <c r="H23" s="38" t="s">
        <v>197</v>
      </c>
      <c r="I23" s="38" t="s">
        <v>197</v>
      </c>
      <c r="J23" s="38" t="s">
        <v>197</v>
      </c>
      <c r="K23" s="38" t="s">
        <v>197</v>
      </c>
      <c r="L23" s="38" t="s">
        <v>197</v>
      </c>
      <c r="M23" s="38" t="s">
        <v>197</v>
      </c>
      <c r="N23" s="32" t="e">
        <f t="shared" si="0"/>
        <v>#VALUE!</v>
      </c>
      <c r="R23" s="59" t="s">
        <v>112</v>
      </c>
      <c r="S23" s="59" t="s">
        <v>198</v>
      </c>
      <c r="T23" s="59" t="s">
        <v>201</v>
      </c>
      <c r="U23" s="60">
        <v>0</v>
      </c>
      <c r="V23" s="59">
        <v>20</v>
      </c>
      <c r="W23" s="27" t="e">
        <v>#DIV/0!</v>
      </c>
      <c r="X23" s="27" t="e">
        <v>#NUM!</v>
      </c>
      <c r="Y23" s="27" t="e">
        <v>#DIV/0!</v>
      </c>
      <c r="Z23" s="81"/>
      <c r="AA23" s="59"/>
      <c r="AB23" s="64"/>
      <c r="AC23" s="64"/>
      <c r="AD23" s="64"/>
      <c r="AE23" s="64"/>
      <c r="AF23" s="64"/>
      <c r="AG23" s="64"/>
      <c r="AH23" s="64">
        <v>0</v>
      </c>
    </row>
    <row r="24" spans="1:34" ht="34">
      <c r="A24" s="12" t="s">
        <v>28</v>
      </c>
      <c r="B24" s="12" t="s">
        <v>193</v>
      </c>
      <c r="C24" s="12" t="s">
        <v>206</v>
      </c>
      <c r="D24" s="13"/>
      <c r="E24" s="12"/>
      <c r="F24" s="72" t="s">
        <v>197</v>
      </c>
      <c r="G24" s="24" t="s">
        <v>197</v>
      </c>
      <c r="H24" s="38" t="s">
        <v>197</v>
      </c>
      <c r="I24" s="38" t="s">
        <v>197</v>
      </c>
      <c r="J24" s="38" t="s">
        <v>197</v>
      </c>
      <c r="K24" s="38" t="s">
        <v>197</v>
      </c>
      <c r="L24" s="38" t="s">
        <v>197</v>
      </c>
      <c r="M24" s="38" t="s">
        <v>197</v>
      </c>
      <c r="N24" s="32" t="e">
        <f t="shared" si="0"/>
        <v>#VALUE!</v>
      </c>
      <c r="R24" s="28" t="s">
        <v>63</v>
      </c>
      <c r="S24" s="28" t="s">
        <v>199</v>
      </c>
      <c r="T24" s="28" t="s">
        <v>201</v>
      </c>
      <c r="U24" s="29">
        <v>0</v>
      </c>
      <c r="V24" s="119">
        <v>9</v>
      </c>
      <c r="W24" s="27" t="e">
        <v>#DIV/0!</v>
      </c>
      <c r="X24" s="27" t="e">
        <v>#NUM!</v>
      </c>
      <c r="Y24" s="27" t="e">
        <v>#DIV/0!</v>
      </c>
      <c r="Z24" s="128"/>
      <c r="AA24" s="28"/>
      <c r="AB24" s="125"/>
      <c r="AC24" s="121"/>
      <c r="AD24" s="36"/>
      <c r="AE24" s="125"/>
      <c r="AF24" s="121"/>
      <c r="AG24" s="121"/>
      <c r="AH24" s="121">
        <v>0</v>
      </c>
    </row>
    <row r="25" spans="1:34" ht="34">
      <c r="A25" s="12" t="s">
        <v>43</v>
      </c>
      <c r="B25" s="12" t="s">
        <v>193</v>
      </c>
      <c r="C25" s="12" t="s">
        <v>206</v>
      </c>
      <c r="D25" s="13">
        <v>1</v>
      </c>
      <c r="E25" s="12"/>
      <c r="F25" s="69"/>
      <c r="H25" s="32"/>
      <c r="I25" s="32"/>
      <c r="J25" s="41">
        <v>58720</v>
      </c>
      <c r="K25" s="32"/>
      <c r="L25" s="32"/>
      <c r="M25" s="32"/>
      <c r="N25" s="32">
        <f t="shared" si="0"/>
        <v>0</v>
      </c>
      <c r="R25" s="28" t="s">
        <v>64</v>
      </c>
      <c r="S25" s="28" t="s">
        <v>199</v>
      </c>
      <c r="T25" s="28" t="s">
        <v>201</v>
      </c>
      <c r="U25" s="29">
        <v>0</v>
      </c>
      <c r="V25" s="119">
        <v>20</v>
      </c>
      <c r="W25" s="27" t="e">
        <v>#DIV/0!</v>
      </c>
      <c r="X25" s="27" t="e">
        <v>#NUM!</v>
      </c>
      <c r="Y25" s="27" t="e">
        <v>#DIV/0!</v>
      </c>
      <c r="Z25" s="128"/>
      <c r="AA25" s="28"/>
      <c r="AB25" s="125"/>
      <c r="AC25" s="121"/>
      <c r="AD25" s="36"/>
      <c r="AE25" s="125"/>
      <c r="AF25" s="121"/>
      <c r="AG25" s="121"/>
      <c r="AH25" s="121">
        <v>0</v>
      </c>
    </row>
    <row r="26" spans="1:34" ht="34">
      <c r="A26" s="12" t="s">
        <v>50</v>
      </c>
      <c r="B26" s="12" t="s">
        <v>193</v>
      </c>
      <c r="C26" s="12" t="s">
        <v>206</v>
      </c>
      <c r="D26" s="13"/>
      <c r="E26" s="12"/>
      <c r="F26" s="69"/>
      <c r="H26" s="32"/>
      <c r="I26" s="32"/>
      <c r="J26" s="32"/>
      <c r="K26" s="32"/>
      <c r="L26" s="32"/>
      <c r="M26" s="32"/>
      <c r="N26" s="32">
        <f t="shared" si="0"/>
        <v>0</v>
      </c>
      <c r="R26" s="28" t="s">
        <v>69</v>
      </c>
      <c r="S26" s="28" t="s">
        <v>199</v>
      </c>
      <c r="T26" s="28" t="s">
        <v>201</v>
      </c>
      <c r="U26" s="29">
        <v>0</v>
      </c>
      <c r="V26" s="119">
        <v>10</v>
      </c>
      <c r="W26" s="27" t="e">
        <v>#DIV/0!</v>
      </c>
      <c r="X26" s="27" t="e">
        <v>#NUM!</v>
      </c>
      <c r="Y26" s="27" t="e">
        <v>#DIV/0!</v>
      </c>
      <c r="Z26" s="128"/>
      <c r="AA26" s="28"/>
      <c r="AB26" s="125"/>
      <c r="AC26" s="121"/>
      <c r="AD26" s="36"/>
      <c r="AE26" s="125"/>
      <c r="AF26" s="36"/>
      <c r="AG26" s="57"/>
      <c r="AH26" s="36">
        <v>0</v>
      </c>
    </row>
    <row r="27" spans="1:34" ht="34">
      <c r="A27" s="12" t="s">
        <v>53</v>
      </c>
      <c r="B27" s="12" t="s">
        <v>193</v>
      </c>
      <c r="C27" s="12" t="s">
        <v>206</v>
      </c>
      <c r="D27" s="13"/>
      <c r="E27" s="12"/>
      <c r="F27" s="69"/>
      <c r="H27" s="32"/>
      <c r="I27" s="32"/>
      <c r="J27" s="32"/>
      <c r="K27" s="32"/>
      <c r="L27" s="32"/>
      <c r="M27" s="32"/>
      <c r="N27" s="32">
        <f t="shared" si="0"/>
        <v>0</v>
      </c>
      <c r="R27" s="28" t="s">
        <v>120</v>
      </c>
      <c r="S27" s="28" t="s">
        <v>199</v>
      </c>
      <c r="T27" s="28" t="s">
        <v>201</v>
      </c>
      <c r="U27" s="29">
        <v>0</v>
      </c>
      <c r="V27" s="119">
        <v>13</v>
      </c>
      <c r="W27" s="27" t="e">
        <v>#DIV/0!</v>
      </c>
      <c r="X27" s="27" t="e">
        <v>#NUM!</v>
      </c>
      <c r="Y27" s="27" t="e">
        <v>#DIV/0!</v>
      </c>
      <c r="Z27" s="128"/>
      <c r="AA27" s="28"/>
      <c r="AB27" s="125"/>
      <c r="AC27" s="121"/>
      <c r="AD27" s="36"/>
      <c r="AE27" s="125"/>
      <c r="AF27" s="121"/>
      <c r="AG27" s="121"/>
      <c r="AH27" s="121">
        <v>0</v>
      </c>
    </row>
    <row r="28" spans="1:34" ht="34">
      <c r="A28" s="12" t="s">
        <v>56</v>
      </c>
      <c r="B28" s="12" t="s">
        <v>193</v>
      </c>
      <c r="C28" s="12" t="s">
        <v>206</v>
      </c>
      <c r="D28" s="13"/>
      <c r="E28" s="12"/>
      <c r="F28" s="72">
        <v>6557</v>
      </c>
      <c r="G28" s="24">
        <v>216</v>
      </c>
      <c r="H28" s="38">
        <v>0</v>
      </c>
      <c r="I28" s="38">
        <v>195688</v>
      </c>
      <c r="J28" s="38">
        <v>76497</v>
      </c>
      <c r="K28" s="38">
        <v>36533</v>
      </c>
      <c r="L28" s="38">
        <v>83378</v>
      </c>
      <c r="M28" s="38">
        <v>75777</v>
      </c>
      <c r="N28" s="32">
        <f t="shared" si="0"/>
        <v>159155</v>
      </c>
      <c r="R28" s="28" t="s">
        <v>128</v>
      </c>
      <c r="S28" s="28" t="s">
        <v>199</v>
      </c>
      <c r="T28" s="28" t="s">
        <v>201</v>
      </c>
      <c r="U28" s="29">
        <v>0</v>
      </c>
      <c r="V28" s="119">
        <v>5</v>
      </c>
      <c r="W28" s="27" t="e">
        <v>#DIV/0!</v>
      </c>
      <c r="X28" s="27" t="e">
        <v>#NUM!</v>
      </c>
      <c r="Y28" s="27" t="e">
        <v>#DIV/0!</v>
      </c>
      <c r="Z28" s="128"/>
      <c r="AA28" s="28"/>
      <c r="AB28" s="125"/>
      <c r="AC28" s="121"/>
      <c r="AD28" s="36"/>
      <c r="AE28" s="125"/>
      <c r="AF28" s="121"/>
      <c r="AG28" s="121"/>
      <c r="AH28" s="121">
        <v>0</v>
      </c>
    </row>
    <row r="29" spans="1:34" ht="34">
      <c r="A29" s="12" t="s">
        <v>70</v>
      </c>
      <c r="B29" s="12" t="s">
        <v>193</v>
      </c>
      <c r="C29" s="12" t="s">
        <v>206</v>
      </c>
      <c r="D29" s="13"/>
      <c r="E29" s="12"/>
      <c r="F29" s="69"/>
      <c r="H29" s="32"/>
      <c r="I29" s="32"/>
      <c r="J29" s="32"/>
      <c r="K29" s="32"/>
      <c r="L29" s="32"/>
      <c r="M29" s="32"/>
      <c r="N29" s="32">
        <f t="shared" si="0"/>
        <v>0</v>
      </c>
      <c r="R29" s="28" t="s">
        <v>152</v>
      </c>
      <c r="S29" s="28" t="s">
        <v>199</v>
      </c>
      <c r="T29" s="28" t="s">
        <v>201</v>
      </c>
      <c r="U29" s="29">
        <v>0</v>
      </c>
      <c r="V29" s="119">
        <v>15</v>
      </c>
      <c r="W29" s="27" t="e">
        <v>#DIV/0!</v>
      </c>
      <c r="X29" s="27" t="e">
        <v>#NUM!</v>
      </c>
      <c r="Y29" s="27" t="e">
        <v>#DIV/0!</v>
      </c>
      <c r="Z29" s="128"/>
      <c r="AA29" s="28"/>
      <c r="AB29" s="125"/>
      <c r="AC29" s="121"/>
      <c r="AD29" s="129"/>
      <c r="AE29" s="125"/>
      <c r="AF29" s="121"/>
      <c r="AG29" s="121"/>
      <c r="AH29" s="121">
        <v>0</v>
      </c>
    </row>
    <row r="30" spans="1:34" ht="34">
      <c r="A30" s="12" t="s">
        <v>82</v>
      </c>
      <c r="B30" s="12" t="s">
        <v>193</v>
      </c>
      <c r="C30" s="12" t="s">
        <v>206</v>
      </c>
      <c r="D30" s="13"/>
      <c r="E30" s="12"/>
      <c r="F30" s="69"/>
      <c r="H30" s="32"/>
      <c r="I30" s="32"/>
      <c r="J30" s="32"/>
      <c r="K30" s="32"/>
      <c r="L30" s="32"/>
      <c r="M30" s="32"/>
      <c r="N30" s="32">
        <f t="shared" si="0"/>
        <v>0</v>
      </c>
      <c r="R30" s="28" t="s">
        <v>127</v>
      </c>
      <c r="S30" s="28" t="s">
        <v>172</v>
      </c>
      <c r="T30" s="28" t="s">
        <v>202</v>
      </c>
      <c r="U30" s="29">
        <v>0</v>
      </c>
      <c r="V30" s="31">
        <v>9</v>
      </c>
      <c r="W30" s="27" t="e">
        <v>#DIV/0!</v>
      </c>
      <c r="X30" s="27" t="e">
        <v>#NUM!</v>
      </c>
      <c r="Y30" s="27" t="e">
        <v>#DIV/0!</v>
      </c>
      <c r="Z30" s="74"/>
      <c r="AA30" s="28"/>
      <c r="AB30" s="36"/>
      <c r="AC30" s="36"/>
      <c r="AD30" s="36"/>
      <c r="AE30" s="36"/>
      <c r="AF30" s="36"/>
      <c r="AG30" s="36"/>
      <c r="AH30" s="36">
        <v>0</v>
      </c>
    </row>
    <row r="31" spans="1:34" ht="34">
      <c r="A31" s="12" t="s">
        <v>86</v>
      </c>
      <c r="B31" s="12" t="s">
        <v>193</v>
      </c>
      <c r="C31" s="12" t="s">
        <v>206</v>
      </c>
      <c r="D31" s="13"/>
      <c r="E31" s="12"/>
      <c r="F31" s="75"/>
      <c r="G31" s="12"/>
      <c r="H31" s="42"/>
      <c r="I31" s="32"/>
      <c r="J31" s="32"/>
      <c r="K31" s="32"/>
      <c r="L31" s="32"/>
      <c r="M31" s="32"/>
      <c r="N31" s="32">
        <f t="shared" si="0"/>
        <v>0</v>
      </c>
      <c r="R31" s="28" t="s">
        <v>15</v>
      </c>
      <c r="S31" s="28" t="s">
        <v>193</v>
      </c>
      <c r="T31" s="28" t="s">
        <v>202</v>
      </c>
      <c r="U31" s="29">
        <v>0</v>
      </c>
      <c r="V31" s="28">
        <v>16</v>
      </c>
      <c r="W31" s="27" t="e">
        <v>#DIV/0!</v>
      </c>
      <c r="X31" s="27" t="e">
        <v>#NUM!</v>
      </c>
      <c r="Y31" s="27" t="e">
        <v>#DIV/0!</v>
      </c>
      <c r="Z31" s="74"/>
      <c r="AA31" s="28"/>
      <c r="AB31" s="36"/>
      <c r="AC31" s="36"/>
      <c r="AD31" s="36"/>
      <c r="AE31" s="36"/>
      <c r="AF31" s="36"/>
      <c r="AG31" s="36"/>
      <c r="AH31" s="36">
        <v>0</v>
      </c>
    </row>
    <row r="32" spans="1:34" ht="34">
      <c r="A32" s="12" t="s">
        <v>92</v>
      </c>
      <c r="B32" s="12" t="s">
        <v>193</v>
      </c>
      <c r="C32" s="12" t="s">
        <v>206</v>
      </c>
      <c r="D32" s="13"/>
      <c r="E32" s="12"/>
      <c r="F32" s="75"/>
      <c r="G32" s="12"/>
      <c r="H32" s="42"/>
      <c r="I32" s="32"/>
      <c r="J32" s="32"/>
      <c r="K32" s="32"/>
      <c r="L32" s="32"/>
      <c r="M32" s="32"/>
      <c r="N32" s="32">
        <f t="shared" si="0"/>
        <v>0</v>
      </c>
      <c r="R32" s="28" t="s">
        <v>53</v>
      </c>
      <c r="S32" s="28" t="s">
        <v>193</v>
      </c>
      <c r="T32" s="28" t="s">
        <v>202</v>
      </c>
      <c r="U32" s="29">
        <v>0</v>
      </c>
      <c r="V32" s="28">
        <v>14</v>
      </c>
      <c r="W32" s="27" t="e">
        <v>#DIV/0!</v>
      </c>
      <c r="X32" s="27" t="e">
        <v>#NUM!</v>
      </c>
      <c r="Y32" s="27" t="e">
        <v>#DIV/0!</v>
      </c>
      <c r="Z32" s="74"/>
      <c r="AA32" s="28"/>
      <c r="AB32" s="36"/>
      <c r="AC32" s="36"/>
      <c r="AD32" s="36"/>
      <c r="AE32" s="36"/>
      <c r="AF32" s="36"/>
      <c r="AG32" s="36"/>
      <c r="AH32" s="36">
        <v>0</v>
      </c>
    </row>
    <row r="33" spans="1:34" ht="34">
      <c r="A33" s="12" t="s">
        <v>108</v>
      </c>
      <c r="B33" s="12" t="s">
        <v>193</v>
      </c>
      <c r="C33" s="12" t="s">
        <v>206</v>
      </c>
      <c r="D33" s="13"/>
      <c r="E33" s="12"/>
      <c r="F33" s="75"/>
      <c r="G33" s="12"/>
      <c r="H33" s="42"/>
      <c r="I33" s="32"/>
      <c r="J33" s="32"/>
      <c r="K33" s="32"/>
      <c r="L33" s="32"/>
      <c r="M33" s="32"/>
      <c r="N33" s="32">
        <f t="shared" ref="N33:N61" si="1">L33+M33</f>
        <v>0</v>
      </c>
      <c r="R33" s="28" t="s">
        <v>70</v>
      </c>
      <c r="S33" s="28" t="s">
        <v>193</v>
      </c>
      <c r="T33" s="28" t="s">
        <v>202</v>
      </c>
      <c r="U33" s="29">
        <v>0</v>
      </c>
      <c r="V33" s="28">
        <v>7</v>
      </c>
      <c r="W33" s="27" t="e">
        <v>#DIV/0!</v>
      </c>
      <c r="X33" s="27" t="e">
        <v>#NUM!</v>
      </c>
      <c r="Y33" s="27" t="e">
        <v>#DIV/0!</v>
      </c>
      <c r="Z33" s="74"/>
      <c r="AA33" s="28"/>
      <c r="AB33" s="36"/>
      <c r="AC33" s="36"/>
      <c r="AD33" s="36"/>
      <c r="AE33" s="36"/>
      <c r="AF33" s="36"/>
      <c r="AG33" s="36"/>
      <c r="AH33" s="36">
        <v>0</v>
      </c>
    </row>
    <row r="34" spans="1:34" ht="34">
      <c r="A34" s="12" t="s">
        <v>117</v>
      </c>
      <c r="B34" s="12" t="s">
        <v>193</v>
      </c>
      <c r="C34" s="12" t="s">
        <v>206</v>
      </c>
      <c r="D34" s="13"/>
      <c r="E34" s="12"/>
      <c r="F34" s="72">
        <v>-1</v>
      </c>
      <c r="G34" s="24">
        <v>236</v>
      </c>
      <c r="H34" s="38">
        <v>20468</v>
      </c>
      <c r="I34" s="38">
        <v>104139</v>
      </c>
      <c r="J34" s="38">
        <v>67478</v>
      </c>
      <c r="K34" s="38">
        <v>5959</v>
      </c>
      <c r="L34" s="38">
        <v>21841</v>
      </c>
      <c r="M34" s="38">
        <v>76339</v>
      </c>
      <c r="N34" s="32">
        <f t="shared" si="1"/>
        <v>98180</v>
      </c>
      <c r="R34" s="28" t="s">
        <v>86</v>
      </c>
      <c r="S34" s="28" t="s">
        <v>193</v>
      </c>
      <c r="T34" s="28" t="s">
        <v>202</v>
      </c>
      <c r="U34" s="29">
        <v>0</v>
      </c>
      <c r="V34" s="28">
        <v>18</v>
      </c>
      <c r="W34" s="27" t="e">
        <v>#DIV/0!</v>
      </c>
      <c r="X34" s="27" t="e">
        <v>#NUM!</v>
      </c>
      <c r="Y34" s="27" t="e">
        <v>#DIV/0!</v>
      </c>
      <c r="Z34" s="74"/>
      <c r="AA34" s="28"/>
      <c r="AB34" s="36"/>
      <c r="AC34" s="36"/>
      <c r="AD34" s="36"/>
      <c r="AE34" s="36"/>
      <c r="AF34" s="36"/>
      <c r="AG34" s="36"/>
      <c r="AH34" s="36">
        <v>0</v>
      </c>
    </row>
    <row r="35" spans="1:34" ht="34">
      <c r="A35" s="12" t="s">
        <v>118</v>
      </c>
      <c r="B35" s="12" t="s">
        <v>193</v>
      </c>
      <c r="C35" s="12" t="s">
        <v>206</v>
      </c>
      <c r="D35" s="13"/>
      <c r="E35" s="12"/>
      <c r="F35" s="72" t="s">
        <v>197</v>
      </c>
      <c r="G35" s="24" t="s">
        <v>197</v>
      </c>
      <c r="H35" s="38" t="s">
        <v>197</v>
      </c>
      <c r="I35" s="38" t="s">
        <v>197</v>
      </c>
      <c r="J35" s="38" t="s">
        <v>197</v>
      </c>
      <c r="K35" s="38" t="s">
        <v>197</v>
      </c>
      <c r="L35" s="38" t="s">
        <v>197</v>
      </c>
      <c r="M35" s="38" t="s">
        <v>197</v>
      </c>
      <c r="N35" s="32" t="e">
        <f t="shared" si="1"/>
        <v>#VALUE!</v>
      </c>
      <c r="R35" s="28" t="s">
        <v>88</v>
      </c>
      <c r="S35" s="28" t="s">
        <v>193</v>
      </c>
      <c r="T35" s="28" t="s">
        <v>202</v>
      </c>
      <c r="U35" s="29">
        <v>0</v>
      </c>
      <c r="V35" s="28">
        <v>12</v>
      </c>
      <c r="W35" s="27" t="e">
        <v>#DIV/0!</v>
      </c>
      <c r="X35" s="27" t="e">
        <v>#NUM!</v>
      </c>
      <c r="Y35" s="27" t="e">
        <v>#DIV/0!</v>
      </c>
      <c r="Z35" s="74"/>
      <c r="AA35" s="28"/>
      <c r="AB35" s="36"/>
      <c r="AC35" s="36"/>
      <c r="AD35" s="36"/>
      <c r="AE35" s="36"/>
      <c r="AF35" s="36"/>
      <c r="AG35" s="36"/>
      <c r="AH35" s="36">
        <v>0</v>
      </c>
    </row>
    <row r="36" spans="1:34" ht="34">
      <c r="A36" s="12" t="s">
        <v>119</v>
      </c>
      <c r="B36" s="12" t="s">
        <v>193</v>
      </c>
      <c r="C36" s="12" t="s">
        <v>206</v>
      </c>
      <c r="D36" s="13"/>
      <c r="E36" s="12"/>
      <c r="F36" s="75"/>
      <c r="G36" s="12"/>
      <c r="H36" s="42"/>
      <c r="I36" s="32"/>
      <c r="J36" s="32"/>
      <c r="K36" s="32"/>
      <c r="L36" s="32"/>
      <c r="M36" s="32"/>
      <c r="N36" s="32">
        <f t="shared" si="1"/>
        <v>0</v>
      </c>
      <c r="R36" s="28" t="s">
        <v>119</v>
      </c>
      <c r="S36" s="28" t="s">
        <v>193</v>
      </c>
      <c r="T36" s="28" t="s">
        <v>202</v>
      </c>
      <c r="U36" s="29">
        <v>0</v>
      </c>
      <c r="V36" s="28">
        <v>6</v>
      </c>
      <c r="W36" s="27" t="e">
        <v>#DIV/0!</v>
      </c>
      <c r="X36" s="27" t="e">
        <v>#NUM!</v>
      </c>
      <c r="Y36" s="27" t="e">
        <v>#DIV/0!</v>
      </c>
      <c r="Z36" s="74"/>
      <c r="AA36" s="28"/>
      <c r="AB36" s="36"/>
      <c r="AC36" s="36"/>
      <c r="AD36" s="36"/>
      <c r="AE36" s="36"/>
      <c r="AF36" s="36"/>
      <c r="AG36" s="36"/>
      <c r="AH36" s="36">
        <v>0</v>
      </c>
    </row>
    <row r="37" spans="1:34" ht="34">
      <c r="A37" s="12" t="s">
        <v>126</v>
      </c>
      <c r="B37" s="12" t="s">
        <v>193</v>
      </c>
      <c r="C37" s="12" t="s">
        <v>206</v>
      </c>
      <c r="D37" s="13"/>
      <c r="E37" s="12"/>
      <c r="F37" s="72">
        <v>23493</v>
      </c>
      <c r="G37" s="24">
        <v>362</v>
      </c>
      <c r="H37" s="38">
        <v>984</v>
      </c>
      <c r="I37" s="38">
        <v>206164</v>
      </c>
      <c r="J37" s="38">
        <v>142207</v>
      </c>
      <c r="K37" s="38">
        <v>76873</v>
      </c>
      <c r="L37" s="38">
        <v>29444</v>
      </c>
      <c r="M37" s="38">
        <v>99847</v>
      </c>
      <c r="N37" s="32">
        <f t="shared" si="1"/>
        <v>129291</v>
      </c>
      <c r="R37" s="28" t="s">
        <v>146</v>
      </c>
      <c r="S37" s="28" t="s">
        <v>193</v>
      </c>
      <c r="T37" s="28" t="s">
        <v>202</v>
      </c>
      <c r="U37" s="29">
        <v>0</v>
      </c>
      <c r="V37" s="28">
        <v>13</v>
      </c>
      <c r="W37" s="27" t="e">
        <v>#DIV/0!</v>
      </c>
      <c r="X37" s="27" t="e">
        <v>#NUM!</v>
      </c>
      <c r="Y37" s="27" t="e">
        <v>#DIV/0!</v>
      </c>
      <c r="Z37" s="84"/>
      <c r="AA37" s="28"/>
      <c r="AB37" s="36"/>
      <c r="AC37" s="36"/>
      <c r="AD37" s="56"/>
      <c r="AE37" s="56"/>
      <c r="AF37" s="36"/>
      <c r="AG37" s="36"/>
      <c r="AH37" s="36">
        <v>0</v>
      </c>
    </row>
    <row r="38" spans="1:34" ht="34">
      <c r="A38" s="12" t="s">
        <v>132</v>
      </c>
      <c r="B38" s="12" t="s">
        <v>193</v>
      </c>
      <c r="C38" s="12" t="s">
        <v>206</v>
      </c>
      <c r="D38" s="13"/>
      <c r="E38" s="12"/>
      <c r="F38" s="69"/>
      <c r="G38" s="12"/>
      <c r="H38" s="42"/>
      <c r="I38" s="42"/>
      <c r="J38" s="32"/>
      <c r="K38" s="32"/>
      <c r="L38" s="32"/>
      <c r="M38" s="32"/>
      <c r="N38" s="32">
        <f t="shared" si="1"/>
        <v>0</v>
      </c>
      <c r="R38" s="28" t="s">
        <v>35</v>
      </c>
      <c r="S38" s="28" t="s">
        <v>198</v>
      </c>
      <c r="T38" s="28" t="s">
        <v>202</v>
      </c>
      <c r="U38" s="29">
        <v>0</v>
      </c>
      <c r="V38" s="31">
        <v>19</v>
      </c>
      <c r="W38" s="27" t="e">
        <v>#DIV/0!</v>
      </c>
      <c r="X38" s="27" t="e">
        <v>#NUM!</v>
      </c>
      <c r="Y38" s="27" t="e">
        <v>#DIV/0!</v>
      </c>
      <c r="Z38" s="74"/>
      <c r="AA38" s="28"/>
      <c r="AB38" s="36"/>
      <c r="AC38" s="36"/>
      <c r="AD38" s="36"/>
      <c r="AE38" s="36"/>
      <c r="AF38" s="36"/>
      <c r="AG38" s="36"/>
      <c r="AH38" s="36">
        <v>0</v>
      </c>
    </row>
    <row r="39" spans="1:34" ht="34">
      <c r="A39" s="12" t="s">
        <v>145</v>
      </c>
      <c r="B39" s="12" t="s">
        <v>193</v>
      </c>
      <c r="C39" s="12" t="s">
        <v>206</v>
      </c>
      <c r="D39" s="13">
        <v>1</v>
      </c>
      <c r="E39" s="12"/>
      <c r="F39" s="72">
        <v>-27087</v>
      </c>
      <c r="G39" s="24">
        <v>403</v>
      </c>
      <c r="H39" s="38">
        <v>20067</v>
      </c>
      <c r="I39" s="38">
        <v>476849</v>
      </c>
      <c r="J39" s="38">
        <v>102267</v>
      </c>
      <c r="K39" s="38">
        <v>83321</v>
      </c>
      <c r="L39" s="38">
        <v>260813</v>
      </c>
      <c r="M39" s="38">
        <v>132715</v>
      </c>
      <c r="N39" s="32">
        <f t="shared" si="1"/>
        <v>393528</v>
      </c>
      <c r="R39" s="28" t="s">
        <v>41</v>
      </c>
      <c r="S39" s="28" t="s">
        <v>198</v>
      </c>
      <c r="T39" s="28" t="s">
        <v>202</v>
      </c>
      <c r="U39" s="29">
        <v>0</v>
      </c>
      <c r="V39" s="31">
        <v>14</v>
      </c>
      <c r="W39" s="27" t="e">
        <v>#DIV/0!</v>
      </c>
      <c r="X39" s="27" t="e">
        <v>#NUM!</v>
      </c>
      <c r="Y39" s="27" t="e">
        <v>#DIV/0!</v>
      </c>
      <c r="Z39" s="74"/>
      <c r="AA39" s="28"/>
      <c r="AB39" s="36"/>
      <c r="AC39" s="36"/>
      <c r="AD39" s="36"/>
      <c r="AE39" s="36"/>
      <c r="AF39" s="36"/>
      <c r="AG39" s="36"/>
      <c r="AH39" s="36">
        <v>0</v>
      </c>
    </row>
    <row r="40" spans="1:34" ht="34">
      <c r="A40" s="12" t="s">
        <v>147</v>
      </c>
      <c r="B40" s="12" t="s">
        <v>193</v>
      </c>
      <c r="C40" s="12" t="s">
        <v>206</v>
      </c>
      <c r="D40" s="13"/>
      <c r="E40" s="12"/>
      <c r="F40" s="72">
        <v>-2576</v>
      </c>
      <c r="G40" s="24">
        <v>284</v>
      </c>
      <c r="H40" s="38">
        <v>0</v>
      </c>
      <c r="I40" s="38">
        <v>205719</v>
      </c>
      <c r="J40" s="38">
        <v>104644</v>
      </c>
      <c r="K40" s="38">
        <v>81412</v>
      </c>
      <c r="L40" s="38">
        <v>45992</v>
      </c>
      <c r="M40" s="38">
        <v>78315</v>
      </c>
      <c r="N40" s="32">
        <f t="shared" si="1"/>
        <v>124307</v>
      </c>
      <c r="R40" s="59" t="s">
        <v>112</v>
      </c>
      <c r="S40" s="59" t="s">
        <v>198</v>
      </c>
      <c r="T40" s="59" t="s">
        <v>202</v>
      </c>
      <c r="U40" s="60">
        <v>0</v>
      </c>
      <c r="V40" s="61">
        <v>11</v>
      </c>
      <c r="W40" s="27" t="e">
        <v>#VALUE!</v>
      </c>
      <c r="X40" s="27" t="e">
        <v>#VALUE!</v>
      </c>
      <c r="Y40" s="27" t="e">
        <v>#VALUE!</v>
      </c>
      <c r="Z40" s="85" t="s">
        <v>197</v>
      </c>
      <c r="AA40" s="63" t="s">
        <v>197</v>
      </c>
      <c r="AB40" s="62" t="s">
        <v>197</v>
      </c>
      <c r="AC40" s="62" t="s">
        <v>197</v>
      </c>
      <c r="AD40" s="62" t="s">
        <v>197</v>
      </c>
      <c r="AE40" s="62" t="s">
        <v>197</v>
      </c>
      <c r="AF40" s="62" t="s">
        <v>197</v>
      </c>
      <c r="AG40" s="62" t="s">
        <v>197</v>
      </c>
      <c r="AH40" s="64" t="e">
        <v>#VALUE!</v>
      </c>
    </row>
    <row r="41" spans="1:34" ht="34">
      <c r="A41" s="9" t="s">
        <v>3</v>
      </c>
      <c r="B41" s="9" t="s">
        <v>198</v>
      </c>
      <c r="C41" s="9" t="s">
        <v>206</v>
      </c>
      <c r="D41" s="11"/>
      <c r="E41" s="10">
        <v>6</v>
      </c>
      <c r="F41" s="76">
        <v>-32624</v>
      </c>
      <c r="G41" s="23">
        <v>330</v>
      </c>
      <c r="H41" s="39">
        <v>30584</v>
      </c>
      <c r="I41" s="39">
        <v>388045</v>
      </c>
      <c r="J41" s="39">
        <v>100666</v>
      </c>
      <c r="K41" s="39">
        <v>-29549</v>
      </c>
      <c r="L41" s="39">
        <v>128436</v>
      </c>
      <c r="M41" s="39">
        <v>289158</v>
      </c>
      <c r="N41" s="32">
        <f t="shared" si="1"/>
        <v>417594</v>
      </c>
      <c r="R41" s="28" t="s">
        <v>130</v>
      </c>
      <c r="S41" s="28" t="s">
        <v>198</v>
      </c>
      <c r="T41" s="28" t="s">
        <v>202</v>
      </c>
      <c r="U41" s="29">
        <v>0</v>
      </c>
      <c r="V41" s="31">
        <v>20</v>
      </c>
      <c r="W41" s="27" t="e">
        <v>#DIV/0!</v>
      </c>
      <c r="X41" s="27" t="e">
        <v>#NUM!</v>
      </c>
      <c r="Y41" s="27" t="e">
        <v>#DIV/0!</v>
      </c>
      <c r="Z41" s="74"/>
      <c r="AA41" s="28"/>
      <c r="AB41" s="36"/>
      <c r="AC41" s="36"/>
      <c r="AD41" s="36"/>
      <c r="AE41" s="36"/>
      <c r="AF41" s="36"/>
      <c r="AG41" s="36"/>
      <c r="AH41" s="36">
        <v>0</v>
      </c>
    </row>
    <row r="42" spans="1:34" ht="34">
      <c r="A42" s="9" t="s">
        <v>25</v>
      </c>
      <c r="B42" s="9" t="s">
        <v>198</v>
      </c>
      <c r="C42" s="9" t="s">
        <v>206</v>
      </c>
      <c r="D42" s="11"/>
      <c r="E42" s="10">
        <v>4</v>
      </c>
      <c r="F42" s="76">
        <v>26729</v>
      </c>
      <c r="G42" s="23">
        <v>144</v>
      </c>
      <c r="H42" s="39">
        <v>1899</v>
      </c>
      <c r="I42" s="39">
        <v>147021</v>
      </c>
      <c r="J42" s="39">
        <v>147702</v>
      </c>
      <c r="K42" s="39">
        <v>34735</v>
      </c>
      <c r="L42" s="39">
        <v>41343</v>
      </c>
      <c r="M42" s="39">
        <v>70943</v>
      </c>
      <c r="N42" s="32">
        <f t="shared" si="1"/>
        <v>112286</v>
      </c>
      <c r="R42" s="28" t="s">
        <v>63</v>
      </c>
      <c r="S42" s="28" t="s">
        <v>199</v>
      </c>
      <c r="T42" s="28" t="s">
        <v>202</v>
      </c>
      <c r="U42" s="29">
        <v>0</v>
      </c>
      <c r="V42" s="123">
        <v>8</v>
      </c>
      <c r="W42" s="27" t="e">
        <v>#DIV/0!</v>
      </c>
      <c r="X42" s="27" t="e">
        <v>#NUM!</v>
      </c>
      <c r="Y42" s="27" t="e">
        <v>#DIV/0!</v>
      </c>
      <c r="Z42" s="127"/>
      <c r="AA42" s="123"/>
      <c r="AB42" s="36"/>
      <c r="AC42" s="124"/>
      <c r="AD42" s="125"/>
      <c r="AE42" s="124"/>
      <c r="AF42" s="124"/>
      <c r="AG42" s="124"/>
      <c r="AH42" s="124">
        <v>0</v>
      </c>
    </row>
    <row r="43" spans="1:34" ht="34">
      <c r="A43" s="9" t="s">
        <v>32</v>
      </c>
      <c r="B43" s="9" t="s">
        <v>198</v>
      </c>
      <c r="C43" s="9" t="s">
        <v>206</v>
      </c>
      <c r="D43" s="11"/>
      <c r="E43" s="10">
        <v>15</v>
      </c>
      <c r="F43" s="76">
        <v>-16031</v>
      </c>
      <c r="G43" s="23">
        <v>167</v>
      </c>
      <c r="H43" s="39">
        <v>6065</v>
      </c>
      <c r="I43" s="39">
        <v>81826</v>
      </c>
      <c r="J43" s="39">
        <v>72869</v>
      </c>
      <c r="K43" s="39">
        <v>18296</v>
      </c>
      <c r="L43" s="39">
        <v>13550</v>
      </c>
      <c r="M43" s="39">
        <v>49981</v>
      </c>
      <c r="N43" s="32">
        <f t="shared" si="1"/>
        <v>63531</v>
      </c>
      <c r="R43" s="28" t="s">
        <v>64</v>
      </c>
      <c r="S43" s="28" t="s">
        <v>199</v>
      </c>
      <c r="T43" s="28" t="s">
        <v>202</v>
      </c>
      <c r="U43" s="29">
        <v>0</v>
      </c>
      <c r="V43" s="123">
        <v>12</v>
      </c>
      <c r="W43" s="27" t="e">
        <v>#DIV/0!</v>
      </c>
      <c r="X43" s="27" t="e">
        <v>#NUM!</v>
      </c>
      <c r="Y43" s="27" t="e">
        <v>#DIV/0!</v>
      </c>
      <c r="Z43" s="127"/>
      <c r="AA43" s="123"/>
      <c r="AB43" s="36"/>
      <c r="AC43" s="124"/>
      <c r="AD43" s="125"/>
      <c r="AE43" s="124"/>
      <c r="AF43" s="124"/>
      <c r="AG43" s="124"/>
      <c r="AH43" s="124">
        <v>0</v>
      </c>
    </row>
    <row r="44" spans="1:34" ht="34">
      <c r="A44" s="9" t="s">
        <v>41</v>
      </c>
      <c r="B44" s="9" t="s">
        <v>198</v>
      </c>
      <c r="C44" s="9" t="s">
        <v>206</v>
      </c>
      <c r="D44" s="11"/>
      <c r="E44" s="10">
        <v>11</v>
      </c>
      <c r="F44" s="69"/>
      <c r="H44" s="32"/>
      <c r="I44" s="32"/>
      <c r="J44" s="32"/>
      <c r="K44" s="32"/>
      <c r="L44" s="32"/>
      <c r="M44" s="32"/>
      <c r="N44" s="32">
        <f t="shared" si="1"/>
        <v>0</v>
      </c>
      <c r="R44" s="28" t="s">
        <v>69</v>
      </c>
      <c r="S44" s="28" t="s">
        <v>199</v>
      </c>
      <c r="T44" s="28" t="s">
        <v>202</v>
      </c>
      <c r="U44" s="29">
        <v>0</v>
      </c>
      <c r="V44" s="123">
        <v>11</v>
      </c>
      <c r="W44" s="27" t="e">
        <v>#DIV/0!</v>
      </c>
      <c r="X44" s="27" t="e">
        <v>#NUM!</v>
      </c>
      <c r="Y44" s="27" t="e">
        <v>#DIV/0!</v>
      </c>
      <c r="Z44" s="127"/>
      <c r="AA44" s="123"/>
      <c r="AB44" s="36"/>
      <c r="AC44" s="124"/>
      <c r="AD44" s="125"/>
      <c r="AE44" s="124"/>
      <c r="AF44" s="124"/>
      <c r="AG44" s="124"/>
      <c r="AH44" s="124">
        <v>0</v>
      </c>
    </row>
    <row r="45" spans="1:34" ht="34">
      <c r="A45" s="9" t="s">
        <v>156</v>
      </c>
      <c r="B45" s="9" t="s">
        <v>198</v>
      </c>
      <c r="C45" s="9" t="s">
        <v>206</v>
      </c>
      <c r="D45" s="11"/>
      <c r="E45" s="10">
        <v>14</v>
      </c>
      <c r="F45" s="69"/>
      <c r="H45" s="32"/>
      <c r="I45" s="32"/>
      <c r="J45" s="32"/>
      <c r="K45" s="32"/>
      <c r="L45" s="32"/>
      <c r="M45" s="32"/>
      <c r="N45" s="32">
        <f t="shared" si="1"/>
        <v>0</v>
      </c>
      <c r="R45" s="28" t="s">
        <v>79</v>
      </c>
      <c r="S45" s="28" t="s">
        <v>199</v>
      </c>
      <c r="T45" s="28" t="s">
        <v>202</v>
      </c>
      <c r="U45" s="29">
        <v>0</v>
      </c>
      <c r="V45" s="123">
        <v>10</v>
      </c>
      <c r="W45" s="27" t="e">
        <v>#DIV/0!</v>
      </c>
      <c r="X45" s="27" t="e">
        <v>#NUM!</v>
      </c>
      <c r="Y45" s="27" t="e">
        <v>#DIV/0!</v>
      </c>
      <c r="Z45" s="127"/>
      <c r="AA45" s="123"/>
      <c r="AB45" s="36"/>
      <c r="AC45" s="124"/>
      <c r="AD45" s="125"/>
      <c r="AE45" s="124"/>
      <c r="AF45" s="124"/>
      <c r="AG45" s="124"/>
      <c r="AH45" s="124">
        <v>0</v>
      </c>
    </row>
    <row r="46" spans="1:34" ht="34">
      <c r="A46" s="9" t="s">
        <v>46</v>
      </c>
      <c r="B46" s="9" t="s">
        <v>198</v>
      </c>
      <c r="C46" s="9" t="s">
        <v>206</v>
      </c>
      <c r="D46" s="11"/>
      <c r="E46" s="10">
        <v>17</v>
      </c>
      <c r="F46" s="69"/>
      <c r="H46" s="32"/>
      <c r="I46" s="32"/>
      <c r="J46" s="32"/>
      <c r="K46" s="32"/>
      <c r="L46" s="32"/>
      <c r="M46" s="32"/>
      <c r="N46" s="32">
        <f t="shared" si="1"/>
        <v>0</v>
      </c>
      <c r="R46" s="28" t="s">
        <v>80</v>
      </c>
      <c r="S46" s="28" t="s">
        <v>199</v>
      </c>
      <c r="T46" s="28" t="s">
        <v>202</v>
      </c>
      <c r="U46" s="29">
        <v>0</v>
      </c>
      <c r="V46" s="123">
        <v>17</v>
      </c>
      <c r="W46" s="27" t="e">
        <v>#DIV/0!</v>
      </c>
      <c r="X46" s="27" t="e">
        <v>#NUM!</v>
      </c>
      <c r="Y46" s="27" t="e">
        <v>#DIV/0!</v>
      </c>
      <c r="Z46" s="127"/>
      <c r="AA46" s="123"/>
      <c r="AB46" s="36"/>
      <c r="AC46" s="124"/>
      <c r="AD46" s="125"/>
      <c r="AE46" s="124"/>
      <c r="AF46" s="124"/>
      <c r="AG46" s="124"/>
      <c r="AH46" s="124">
        <v>0</v>
      </c>
    </row>
    <row r="47" spans="1:34" ht="34">
      <c r="A47" s="9" t="s">
        <v>55</v>
      </c>
      <c r="B47" s="9" t="s">
        <v>198</v>
      </c>
      <c r="C47" s="9" t="s">
        <v>206</v>
      </c>
      <c r="D47" s="11"/>
      <c r="E47" s="10">
        <v>18</v>
      </c>
      <c r="F47" s="69"/>
      <c r="H47" s="32"/>
      <c r="I47" s="32"/>
      <c r="J47" s="32"/>
      <c r="K47" s="32"/>
      <c r="L47" s="32"/>
      <c r="M47" s="32"/>
      <c r="N47" s="32">
        <f t="shared" si="1"/>
        <v>0</v>
      </c>
      <c r="R47" s="28" t="s">
        <v>81</v>
      </c>
      <c r="S47" s="28" t="s">
        <v>199</v>
      </c>
      <c r="T47" s="28" t="s">
        <v>202</v>
      </c>
      <c r="U47" s="29">
        <v>0</v>
      </c>
      <c r="V47" s="123">
        <v>13</v>
      </c>
      <c r="W47" s="27" t="e">
        <v>#DIV/0!</v>
      </c>
      <c r="X47" s="27" t="e">
        <v>#NUM!</v>
      </c>
      <c r="Y47" s="27" t="e">
        <v>#DIV/0!</v>
      </c>
      <c r="Z47" s="127"/>
      <c r="AA47" s="123"/>
      <c r="AB47" s="36"/>
      <c r="AC47" s="124"/>
      <c r="AD47" s="125"/>
      <c r="AE47" s="124"/>
      <c r="AF47" s="124"/>
      <c r="AG47" s="124"/>
      <c r="AH47" s="124">
        <v>0</v>
      </c>
    </row>
    <row r="48" spans="1:34" ht="34">
      <c r="A48" s="9" t="s">
        <v>59</v>
      </c>
      <c r="B48" s="9" t="s">
        <v>198</v>
      </c>
      <c r="C48" s="9" t="s">
        <v>206</v>
      </c>
      <c r="D48" s="11"/>
      <c r="E48" s="10">
        <v>8</v>
      </c>
      <c r="F48" s="76">
        <v>35573</v>
      </c>
      <c r="G48" s="23">
        <v>165</v>
      </c>
      <c r="H48" s="39">
        <v>8978</v>
      </c>
      <c r="I48" s="39">
        <v>265389</v>
      </c>
      <c r="J48" s="39">
        <v>184779</v>
      </c>
      <c r="K48" s="39">
        <v>104448</v>
      </c>
      <c r="L48" s="39">
        <v>41575</v>
      </c>
      <c r="M48" s="39">
        <v>119366</v>
      </c>
      <c r="N48" s="32">
        <f t="shared" si="1"/>
        <v>160941</v>
      </c>
      <c r="R48" s="28" t="s">
        <v>120</v>
      </c>
      <c r="S48" s="28" t="s">
        <v>199</v>
      </c>
      <c r="T48" s="28" t="s">
        <v>202</v>
      </c>
      <c r="U48" s="29">
        <v>0</v>
      </c>
      <c r="V48" s="123">
        <v>15</v>
      </c>
      <c r="W48" s="27" t="e">
        <v>#DIV/0!</v>
      </c>
      <c r="X48" s="27" t="e">
        <v>#NUM!</v>
      </c>
      <c r="Y48" s="27" t="e">
        <v>#DIV/0!</v>
      </c>
      <c r="Z48" s="127"/>
      <c r="AA48" s="123"/>
      <c r="AB48" s="36"/>
      <c r="AC48" s="124"/>
      <c r="AD48" s="125"/>
      <c r="AE48" s="124"/>
      <c r="AF48" s="124"/>
      <c r="AG48" s="124"/>
      <c r="AH48" s="124">
        <v>0</v>
      </c>
    </row>
    <row r="49" spans="1:34" ht="34">
      <c r="A49" s="9" t="s">
        <v>65</v>
      </c>
      <c r="B49" s="9" t="s">
        <v>198</v>
      </c>
      <c r="C49" s="9" t="s">
        <v>206</v>
      </c>
      <c r="D49" s="11"/>
      <c r="E49" s="10">
        <v>16</v>
      </c>
      <c r="F49" s="76">
        <v>-11700</v>
      </c>
      <c r="G49" s="23">
        <v>148</v>
      </c>
      <c r="H49" s="39">
        <v>30494</v>
      </c>
      <c r="I49" s="39">
        <v>174439</v>
      </c>
      <c r="J49" s="39">
        <v>91608</v>
      </c>
      <c r="K49" s="39">
        <v>-10852</v>
      </c>
      <c r="L49" s="39">
        <v>81431</v>
      </c>
      <c r="M49" s="39">
        <v>103861</v>
      </c>
      <c r="N49" s="32">
        <f t="shared" si="1"/>
        <v>185292</v>
      </c>
      <c r="R49" s="28" t="s">
        <v>128</v>
      </c>
      <c r="S49" s="28" t="s">
        <v>199</v>
      </c>
      <c r="T49" s="28" t="s">
        <v>202</v>
      </c>
      <c r="U49" s="29">
        <v>0</v>
      </c>
      <c r="V49" s="123">
        <v>4</v>
      </c>
      <c r="W49" s="27" t="e">
        <v>#DIV/0!</v>
      </c>
      <c r="X49" s="27" t="e">
        <v>#NUM!</v>
      </c>
      <c r="Y49" s="27" t="e">
        <v>#DIV/0!</v>
      </c>
      <c r="Z49" s="127"/>
      <c r="AA49" s="123"/>
      <c r="AB49" s="36"/>
      <c r="AC49" s="124"/>
      <c r="AD49" s="125"/>
      <c r="AE49" s="124"/>
      <c r="AF49" s="124"/>
      <c r="AG49" s="124"/>
      <c r="AH49" s="124">
        <v>0</v>
      </c>
    </row>
    <row r="50" spans="1:34" ht="34">
      <c r="A50" s="9" t="s">
        <v>75</v>
      </c>
      <c r="B50" s="9" t="s">
        <v>198</v>
      </c>
      <c r="C50" s="9" t="s">
        <v>206</v>
      </c>
      <c r="D50" s="11">
        <v>1</v>
      </c>
      <c r="E50" s="10">
        <v>7</v>
      </c>
      <c r="F50" s="76">
        <v>-24576</v>
      </c>
      <c r="G50" s="23">
        <v>390</v>
      </c>
      <c r="H50" s="39">
        <v>12000</v>
      </c>
      <c r="I50" s="39">
        <v>584862</v>
      </c>
      <c r="J50" s="39">
        <v>315756</v>
      </c>
      <c r="K50" s="39">
        <v>-83414</v>
      </c>
      <c r="L50" s="39">
        <v>462217</v>
      </c>
      <c r="M50" s="39">
        <v>206059</v>
      </c>
      <c r="N50" s="32">
        <f t="shared" si="1"/>
        <v>668276</v>
      </c>
      <c r="R50" s="28" t="s">
        <v>152</v>
      </c>
      <c r="S50" s="28" t="s">
        <v>199</v>
      </c>
      <c r="T50" s="28" t="s">
        <v>202</v>
      </c>
      <c r="U50" s="29">
        <v>0</v>
      </c>
      <c r="V50" s="123">
        <v>16</v>
      </c>
      <c r="W50" s="27" t="e">
        <v>#DIV/0!</v>
      </c>
      <c r="X50" s="27" t="e">
        <v>#NUM!</v>
      </c>
      <c r="Y50" s="27" t="e">
        <v>#DIV/0!</v>
      </c>
      <c r="Z50" s="74"/>
      <c r="AA50" s="28"/>
      <c r="AB50" s="125"/>
      <c r="AC50" s="124"/>
      <c r="AD50" s="36"/>
      <c r="AE50" s="124"/>
      <c r="AF50" s="125"/>
      <c r="AG50" s="124"/>
      <c r="AH50" s="124">
        <v>0</v>
      </c>
    </row>
    <row r="51" spans="1:34" ht="34">
      <c r="A51" s="9" t="s">
        <v>77</v>
      </c>
      <c r="B51" s="9" t="s">
        <v>198</v>
      </c>
      <c r="C51" s="9" t="s">
        <v>206</v>
      </c>
      <c r="D51" s="11"/>
      <c r="E51" s="10">
        <v>1</v>
      </c>
      <c r="F51" s="76">
        <v>42568</v>
      </c>
      <c r="G51" s="23">
        <v>102</v>
      </c>
      <c r="H51" s="39">
        <v>112668</v>
      </c>
      <c r="I51" s="39">
        <v>847239</v>
      </c>
      <c r="J51" s="39">
        <v>563061</v>
      </c>
      <c r="K51" s="39">
        <v>93774</v>
      </c>
      <c r="L51" s="39">
        <v>325986</v>
      </c>
      <c r="M51" s="39">
        <v>427479</v>
      </c>
      <c r="N51" s="32">
        <f t="shared" si="1"/>
        <v>753465</v>
      </c>
      <c r="R51" s="28" t="s">
        <v>42</v>
      </c>
      <c r="S51" s="28" t="s">
        <v>172</v>
      </c>
      <c r="T51" s="28" t="s">
        <v>203</v>
      </c>
      <c r="U51" s="29">
        <v>0</v>
      </c>
      <c r="V51" s="31">
        <v>18</v>
      </c>
      <c r="W51" s="27" t="e">
        <v>#DIV/0!</v>
      </c>
      <c r="X51" s="27" t="e">
        <v>#NUM!</v>
      </c>
      <c r="Y51" s="27" t="e">
        <v>#DIV/0!</v>
      </c>
      <c r="Z51" s="74"/>
      <c r="AA51" s="28"/>
      <c r="AB51" s="36"/>
      <c r="AC51" s="36"/>
      <c r="AD51" s="36"/>
      <c r="AE51" s="36"/>
      <c r="AF51" s="36"/>
      <c r="AG51" s="36"/>
      <c r="AH51" s="36">
        <v>0</v>
      </c>
    </row>
    <row r="52" spans="1:34" ht="34">
      <c r="A52" s="9" t="s">
        <v>83</v>
      </c>
      <c r="B52" s="9" t="s">
        <v>198</v>
      </c>
      <c r="C52" s="9" t="s">
        <v>206</v>
      </c>
      <c r="D52" s="11">
        <v>1</v>
      </c>
      <c r="E52" s="10">
        <v>5</v>
      </c>
      <c r="F52" s="76">
        <v>11377</v>
      </c>
      <c r="G52" s="23">
        <v>154</v>
      </c>
      <c r="H52" s="39">
        <v>8777</v>
      </c>
      <c r="I52" s="39">
        <v>204540</v>
      </c>
      <c r="J52" s="39">
        <v>129060</v>
      </c>
      <c r="K52" s="39">
        <v>20303</v>
      </c>
      <c r="L52" s="39">
        <v>102054</v>
      </c>
      <c r="M52" s="39">
        <v>82183</v>
      </c>
      <c r="N52" s="32">
        <f t="shared" si="1"/>
        <v>184237</v>
      </c>
      <c r="R52" s="28" t="s">
        <v>72</v>
      </c>
      <c r="S52" s="28" t="s">
        <v>172</v>
      </c>
      <c r="T52" s="28" t="s">
        <v>203</v>
      </c>
      <c r="U52" s="29">
        <v>0</v>
      </c>
      <c r="V52" s="31">
        <v>20</v>
      </c>
      <c r="W52" s="27" t="e">
        <v>#DIV/0!</v>
      </c>
      <c r="X52" s="27" t="e">
        <v>#NUM!</v>
      </c>
      <c r="Y52" s="27" t="e">
        <v>#DIV/0!</v>
      </c>
      <c r="Z52" s="74"/>
      <c r="AA52" s="28"/>
      <c r="AB52" s="36"/>
      <c r="AC52" s="36"/>
      <c r="AD52" s="36"/>
      <c r="AE52" s="36"/>
      <c r="AF52" s="36"/>
      <c r="AG52" s="36"/>
      <c r="AH52" s="36">
        <v>0</v>
      </c>
    </row>
    <row r="53" spans="1:34" ht="34">
      <c r="A53" s="9" t="s">
        <v>101</v>
      </c>
      <c r="B53" s="9" t="s">
        <v>198</v>
      </c>
      <c r="C53" s="9" t="s">
        <v>206</v>
      </c>
      <c r="D53" s="11"/>
      <c r="E53" s="10">
        <v>3</v>
      </c>
      <c r="F53" s="76">
        <v>66601</v>
      </c>
      <c r="G53" s="23">
        <v>97</v>
      </c>
      <c r="H53" s="39">
        <v>0</v>
      </c>
      <c r="I53" s="39">
        <v>313708</v>
      </c>
      <c r="J53" s="39">
        <v>307716</v>
      </c>
      <c r="K53" s="39">
        <v>122632</v>
      </c>
      <c r="L53" s="39">
        <v>77074</v>
      </c>
      <c r="M53" s="39">
        <v>114002</v>
      </c>
      <c r="N53" s="32">
        <f t="shared" si="1"/>
        <v>191076</v>
      </c>
      <c r="R53" s="28" t="s">
        <v>49</v>
      </c>
      <c r="S53" s="28" t="s">
        <v>193</v>
      </c>
      <c r="T53" s="28" t="s">
        <v>203</v>
      </c>
      <c r="U53" s="29">
        <v>0</v>
      </c>
      <c r="V53" s="28">
        <v>11</v>
      </c>
      <c r="W53" s="27" t="e">
        <v>#DIV/0!</v>
      </c>
      <c r="X53" s="27" t="e">
        <v>#NUM!</v>
      </c>
      <c r="Y53" s="27" t="e">
        <v>#DIV/0!</v>
      </c>
      <c r="Z53" s="74"/>
      <c r="AA53" s="28"/>
      <c r="AB53" s="36"/>
      <c r="AC53" s="36"/>
      <c r="AD53" s="36"/>
      <c r="AE53" s="36"/>
      <c r="AF53" s="36"/>
      <c r="AG53" s="36"/>
      <c r="AH53" s="36">
        <v>0</v>
      </c>
    </row>
    <row r="54" spans="1:34" ht="34">
      <c r="A54" s="9" t="s">
        <v>110</v>
      </c>
      <c r="B54" s="9" t="s">
        <v>198</v>
      </c>
      <c r="C54" s="9" t="s">
        <v>206</v>
      </c>
      <c r="D54" s="11"/>
      <c r="E54" s="10">
        <v>19</v>
      </c>
      <c r="F54" s="69"/>
      <c r="H54" s="32"/>
      <c r="I54" s="32"/>
      <c r="J54" s="32"/>
      <c r="K54" s="32"/>
      <c r="L54" s="32"/>
      <c r="M54" s="32"/>
      <c r="N54" s="32">
        <f t="shared" si="1"/>
        <v>0</v>
      </c>
      <c r="R54" s="28" t="s">
        <v>53</v>
      </c>
      <c r="S54" s="28" t="s">
        <v>193</v>
      </c>
      <c r="T54" s="28" t="s">
        <v>203</v>
      </c>
      <c r="U54" s="29">
        <v>0</v>
      </c>
      <c r="V54" s="28">
        <v>12</v>
      </c>
      <c r="W54" s="27" t="e">
        <v>#DIV/0!</v>
      </c>
      <c r="X54" s="27" t="e">
        <v>#NUM!</v>
      </c>
      <c r="Y54" s="27" t="e">
        <v>#DIV/0!</v>
      </c>
      <c r="Z54" s="74"/>
      <c r="AA54" s="28"/>
      <c r="AB54" s="36"/>
      <c r="AC54" s="36"/>
      <c r="AD54" s="36"/>
      <c r="AE54" s="36"/>
      <c r="AF54" s="36"/>
      <c r="AG54" s="36"/>
      <c r="AH54" s="36">
        <v>0</v>
      </c>
    </row>
    <row r="55" spans="1:34" ht="34">
      <c r="A55" s="9" t="s">
        <v>113</v>
      </c>
      <c r="B55" s="9" t="s">
        <v>198</v>
      </c>
      <c r="C55" s="9" t="s">
        <v>206</v>
      </c>
      <c r="D55" s="11"/>
      <c r="E55" s="10">
        <v>20</v>
      </c>
      <c r="F55" s="69"/>
      <c r="H55" s="32"/>
      <c r="I55" s="32"/>
      <c r="J55" s="32"/>
      <c r="K55" s="32"/>
      <c r="L55" s="32"/>
      <c r="M55" s="32"/>
      <c r="N55" s="32">
        <f t="shared" si="1"/>
        <v>0</v>
      </c>
      <c r="R55" s="28" t="s">
        <v>86</v>
      </c>
      <c r="S55" s="28" t="s">
        <v>193</v>
      </c>
      <c r="T55" s="28" t="s">
        <v>203</v>
      </c>
      <c r="U55" s="29">
        <v>0</v>
      </c>
      <c r="V55" s="28">
        <v>13</v>
      </c>
      <c r="W55" s="27" t="e">
        <v>#DIV/0!</v>
      </c>
      <c r="X55" s="27" t="e">
        <v>#NUM!</v>
      </c>
      <c r="Y55" s="27" t="e">
        <v>#DIV/0!</v>
      </c>
      <c r="Z55" s="74"/>
      <c r="AA55" s="28"/>
      <c r="AB55" s="36"/>
      <c r="AC55" s="36"/>
      <c r="AD55" s="36"/>
      <c r="AE55" s="36"/>
      <c r="AF55" s="36"/>
      <c r="AG55" s="36"/>
      <c r="AH55" s="36">
        <v>0</v>
      </c>
    </row>
    <row r="56" spans="1:34" ht="34">
      <c r="A56" s="9" t="s">
        <v>121</v>
      </c>
      <c r="B56" s="9" t="s">
        <v>198</v>
      </c>
      <c r="C56" s="9" t="s">
        <v>206</v>
      </c>
      <c r="D56" s="11">
        <v>1</v>
      </c>
      <c r="E56" s="10">
        <v>2</v>
      </c>
      <c r="F56" s="76">
        <v>-42048</v>
      </c>
      <c r="G56" s="23">
        <v>337</v>
      </c>
      <c r="H56" s="39">
        <v>29346</v>
      </c>
      <c r="I56" s="39">
        <v>436141</v>
      </c>
      <c r="J56" s="39">
        <v>276224</v>
      </c>
      <c r="K56" s="39">
        <v>-88914</v>
      </c>
      <c r="L56" s="39">
        <v>293555</v>
      </c>
      <c r="M56" s="39">
        <v>231500</v>
      </c>
      <c r="N56" s="32">
        <f t="shared" si="1"/>
        <v>525055</v>
      </c>
      <c r="R56" s="28" t="s">
        <v>88</v>
      </c>
      <c r="S56" s="28" t="s">
        <v>193</v>
      </c>
      <c r="T56" s="28" t="s">
        <v>203</v>
      </c>
      <c r="U56" s="29">
        <v>0</v>
      </c>
      <c r="V56" s="28">
        <v>15</v>
      </c>
      <c r="W56" s="27" t="e">
        <v>#DIV/0!</v>
      </c>
      <c r="X56" s="27" t="e">
        <v>#NUM!</v>
      </c>
      <c r="Y56" s="27" t="e">
        <v>#DIV/0!</v>
      </c>
      <c r="Z56" s="74"/>
      <c r="AA56" s="28"/>
      <c r="AB56" s="36"/>
      <c r="AC56" s="36"/>
      <c r="AD56" s="36"/>
      <c r="AE56" s="36"/>
      <c r="AF56" s="36"/>
      <c r="AG56" s="36"/>
      <c r="AH56" s="36">
        <v>0</v>
      </c>
    </row>
    <row r="57" spans="1:34" ht="34">
      <c r="A57" s="9" t="s">
        <v>123</v>
      </c>
      <c r="B57" s="9" t="s">
        <v>198</v>
      </c>
      <c r="C57" s="9" t="s">
        <v>206</v>
      </c>
      <c r="D57" s="11">
        <v>1</v>
      </c>
      <c r="E57" s="10">
        <v>10</v>
      </c>
      <c r="F57" s="76">
        <v>9287</v>
      </c>
      <c r="G57" s="23">
        <v>135</v>
      </c>
      <c r="H57" s="39">
        <v>22260</v>
      </c>
      <c r="I57" s="39">
        <v>197156</v>
      </c>
      <c r="J57" s="39">
        <v>114019</v>
      </c>
      <c r="K57" s="39">
        <v>32951</v>
      </c>
      <c r="L57" s="39">
        <v>54145</v>
      </c>
      <c r="M57" s="39">
        <v>110060</v>
      </c>
      <c r="N57" s="32">
        <f t="shared" si="1"/>
        <v>164205</v>
      </c>
      <c r="R57" s="28" t="s">
        <v>119</v>
      </c>
      <c r="S57" s="28" t="s">
        <v>193</v>
      </c>
      <c r="T57" s="28" t="s">
        <v>203</v>
      </c>
      <c r="U57" s="29">
        <v>0</v>
      </c>
      <c r="V57" s="28">
        <v>9</v>
      </c>
      <c r="W57" s="27" t="e">
        <v>#DIV/0!</v>
      </c>
      <c r="X57" s="27" t="e">
        <v>#NUM!</v>
      </c>
      <c r="Y57" s="27" t="e">
        <v>#DIV/0!</v>
      </c>
      <c r="Z57" s="74"/>
      <c r="AA57" s="28"/>
      <c r="AB57" s="36"/>
      <c r="AC57" s="36"/>
      <c r="AD57" s="36"/>
      <c r="AE57" s="36"/>
      <c r="AF57" s="36"/>
      <c r="AG57" s="36"/>
      <c r="AH57" s="36">
        <v>0</v>
      </c>
    </row>
    <row r="58" spans="1:34" ht="34">
      <c r="A58" s="9" t="s">
        <v>124</v>
      </c>
      <c r="B58" s="9" t="s">
        <v>198</v>
      </c>
      <c r="C58" s="9" t="s">
        <v>206</v>
      </c>
      <c r="D58" s="11"/>
      <c r="E58" s="10">
        <v>12</v>
      </c>
      <c r="F58" s="76">
        <v>4082</v>
      </c>
      <c r="G58" s="23">
        <v>138</v>
      </c>
      <c r="H58" s="39">
        <v>28500</v>
      </c>
      <c r="I58" s="39">
        <v>125452</v>
      </c>
      <c r="J58" s="39">
        <v>91426</v>
      </c>
      <c r="K58" s="39">
        <v>19088</v>
      </c>
      <c r="L58" s="39">
        <v>22882</v>
      </c>
      <c r="M58" s="39">
        <v>83482</v>
      </c>
      <c r="N58" s="32">
        <f t="shared" si="1"/>
        <v>106364</v>
      </c>
      <c r="R58" s="28" t="s">
        <v>73</v>
      </c>
      <c r="S58" s="28" t="s">
        <v>193</v>
      </c>
      <c r="T58" s="28" t="s">
        <v>203</v>
      </c>
      <c r="U58" s="29">
        <v>0</v>
      </c>
      <c r="V58" s="28">
        <v>19</v>
      </c>
      <c r="W58" s="27" t="e">
        <v>#DIV/0!</v>
      </c>
      <c r="X58" s="27" t="e">
        <v>#NUM!</v>
      </c>
      <c r="Y58" s="27" t="e">
        <v>#DIV/0!</v>
      </c>
      <c r="Z58" s="74"/>
      <c r="AA58" s="28"/>
      <c r="AB58" s="36"/>
      <c r="AC58" s="36"/>
      <c r="AD58" s="36"/>
      <c r="AE58" s="36"/>
      <c r="AF58" s="36"/>
      <c r="AG58" s="36"/>
      <c r="AH58" s="36">
        <v>0</v>
      </c>
    </row>
    <row r="59" spans="1:34" ht="34">
      <c r="A59" s="9" t="s">
        <v>139</v>
      </c>
      <c r="B59" s="9" t="s">
        <v>198</v>
      </c>
      <c r="C59" s="9" t="s">
        <v>206</v>
      </c>
      <c r="D59" s="11"/>
      <c r="E59" s="10">
        <v>9</v>
      </c>
      <c r="F59" s="76">
        <v>37243</v>
      </c>
      <c r="G59" s="23">
        <v>136</v>
      </c>
      <c r="H59" s="39">
        <v>0</v>
      </c>
      <c r="I59" s="39">
        <v>139948</v>
      </c>
      <c r="J59" s="39">
        <v>146317</v>
      </c>
      <c r="K59" s="39">
        <v>60583</v>
      </c>
      <c r="L59" s="39">
        <v>25380</v>
      </c>
      <c r="M59" s="39">
        <v>53985</v>
      </c>
      <c r="N59" s="32">
        <f t="shared" si="1"/>
        <v>79365</v>
      </c>
      <c r="R59" s="28" t="s">
        <v>146</v>
      </c>
      <c r="S59" s="28" t="s">
        <v>193</v>
      </c>
      <c r="T59" s="28" t="s">
        <v>203</v>
      </c>
      <c r="U59" s="29">
        <v>0</v>
      </c>
      <c r="V59" s="28">
        <v>16</v>
      </c>
      <c r="W59" s="27" t="e">
        <v>#DIV/0!</v>
      </c>
      <c r="X59" s="27" t="e">
        <v>#NUM!</v>
      </c>
      <c r="Y59" s="27" t="e">
        <v>#DIV/0!</v>
      </c>
      <c r="Z59" s="74"/>
      <c r="AA59" s="28"/>
      <c r="AB59" s="36"/>
      <c r="AC59" s="36"/>
      <c r="AD59" s="36"/>
      <c r="AE59" s="36"/>
      <c r="AF59" s="36"/>
      <c r="AG59" s="36"/>
      <c r="AH59" s="36">
        <v>0</v>
      </c>
    </row>
    <row r="60" spans="1:34" ht="34">
      <c r="A60" s="9" t="s">
        <v>144</v>
      </c>
      <c r="B60" s="9" t="s">
        <v>198</v>
      </c>
      <c r="C60" s="9" t="s">
        <v>206</v>
      </c>
      <c r="D60" s="11"/>
      <c r="E60" s="10">
        <v>13</v>
      </c>
      <c r="F60" s="76">
        <v>-1009</v>
      </c>
      <c r="G60" s="23">
        <v>101</v>
      </c>
      <c r="H60" s="39">
        <v>2935</v>
      </c>
      <c r="I60" s="39">
        <v>177912</v>
      </c>
      <c r="J60" s="39">
        <v>107559</v>
      </c>
      <c r="K60" s="39">
        <v>18464</v>
      </c>
      <c r="L60" s="39">
        <v>72023</v>
      </c>
      <c r="M60" s="39">
        <v>87424</v>
      </c>
      <c r="N60" s="32">
        <f t="shared" si="1"/>
        <v>159447</v>
      </c>
      <c r="R60" s="65" t="s">
        <v>41</v>
      </c>
      <c r="S60" s="65" t="s">
        <v>198</v>
      </c>
      <c r="T60" s="65" t="s">
        <v>203</v>
      </c>
      <c r="U60" s="66">
        <v>0</v>
      </c>
      <c r="V60" s="67">
        <v>15</v>
      </c>
      <c r="W60" s="27" t="e">
        <v>#DIV/0!</v>
      </c>
      <c r="X60" s="27" t="e">
        <v>#NUM!</v>
      </c>
      <c r="Y60" s="27" t="e">
        <v>#DIV/0!</v>
      </c>
      <c r="Z60" s="86"/>
      <c r="AA60" s="65"/>
      <c r="AB60" s="68"/>
      <c r="AC60" s="68"/>
      <c r="AD60" s="68"/>
      <c r="AE60" s="68"/>
      <c r="AF60" s="68"/>
      <c r="AG60" s="68"/>
      <c r="AH60" s="68">
        <v>0</v>
      </c>
    </row>
    <row r="61" spans="1:34" ht="34">
      <c r="A61" s="5" t="s">
        <v>7</v>
      </c>
      <c r="B61" s="5" t="s">
        <v>199</v>
      </c>
      <c r="C61" s="5" t="s">
        <v>206</v>
      </c>
      <c r="D61" s="19"/>
      <c r="E61" s="21">
        <v>18</v>
      </c>
      <c r="F61" s="69">
        <v>-34521</v>
      </c>
      <c r="G61" s="5">
        <v>234</v>
      </c>
      <c r="H61" s="117">
        <v>54278</v>
      </c>
      <c r="I61" s="45">
        <v>94234</v>
      </c>
      <c r="J61" s="32">
        <v>76443</v>
      </c>
      <c r="K61" s="32">
        <f>I61-N61</f>
        <v>-142433</v>
      </c>
      <c r="L61" s="32">
        <v>65435</v>
      </c>
      <c r="M61" s="32">
        <v>171232</v>
      </c>
      <c r="N61" s="32">
        <f t="shared" si="1"/>
        <v>236667</v>
      </c>
      <c r="R61" s="28" t="s">
        <v>156</v>
      </c>
      <c r="S61" s="28" t="s">
        <v>198</v>
      </c>
      <c r="T61" s="28" t="s">
        <v>203</v>
      </c>
      <c r="U61" s="29">
        <v>0</v>
      </c>
      <c r="V61" s="31">
        <v>20</v>
      </c>
      <c r="W61" s="27" t="e">
        <v>#DIV/0!</v>
      </c>
      <c r="X61" s="27" t="e">
        <v>#NUM!</v>
      </c>
      <c r="Y61" s="27" t="e">
        <v>#DIV/0!</v>
      </c>
      <c r="Z61" s="74"/>
      <c r="AA61" s="28"/>
      <c r="AB61" s="36"/>
      <c r="AC61" s="36"/>
      <c r="AD61" s="36"/>
      <c r="AE61" s="36"/>
      <c r="AF61" s="36"/>
      <c r="AG61" s="36"/>
      <c r="AH61" s="36">
        <v>0</v>
      </c>
    </row>
    <row r="62" spans="1:34" ht="34">
      <c r="A62" s="5" t="s">
        <v>9</v>
      </c>
      <c r="B62" s="5" t="s">
        <v>199</v>
      </c>
      <c r="C62" s="5" t="s">
        <v>206</v>
      </c>
      <c r="D62" s="19"/>
      <c r="E62" s="21">
        <v>7</v>
      </c>
      <c r="F62" s="89">
        <v>5534</v>
      </c>
      <c r="G62" s="5"/>
      <c r="H62" s="44">
        <v>68953</v>
      </c>
      <c r="I62" s="45">
        <v>198347</v>
      </c>
      <c r="J62" s="40">
        <v>162456</v>
      </c>
      <c r="K62" s="40">
        <f>I62-N62</f>
        <v>-67118</v>
      </c>
      <c r="L62" s="40"/>
      <c r="M62" s="40"/>
      <c r="N62" s="40">
        <v>265465</v>
      </c>
      <c r="R62" s="28" t="s">
        <v>60</v>
      </c>
      <c r="S62" s="28" t="s">
        <v>198</v>
      </c>
      <c r="T62" s="28" t="s">
        <v>203</v>
      </c>
      <c r="U62" s="29">
        <v>0</v>
      </c>
      <c r="V62" s="31">
        <v>19</v>
      </c>
      <c r="W62" s="27" t="e">
        <v>#DIV/0!</v>
      </c>
      <c r="X62" s="27" t="e">
        <v>#NUM!</v>
      </c>
      <c r="Y62" s="27" t="e">
        <v>#DIV/0!</v>
      </c>
      <c r="Z62" s="74"/>
      <c r="AA62" s="28"/>
      <c r="AB62" s="36"/>
      <c r="AC62" s="36"/>
      <c r="AD62" s="36"/>
      <c r="AE62" s="36"/>
      <c r="AF62" s="36"/>
      <c r="AG62" s="36"/>
      <c r="AH62" s="36">
        <v>0</v>
      </c>
    </row>
    <row r="63" spans="1:34" ht="34">
      <c r="A63" s="5" t="s">
        <v>13</v>
      </c>
      <c r="B63" s="5" t="s">
        <v>199</v>
      </c>
      <c r="C63" s="5" t="s">
        <v>206</v>
      </c>
      <c r="D63" s="19"/>
      <c r="E63" s="21">
        <v>12</v>
      </c>
      <c r="F63" s="69">
        <v>-12435</v>
      </c>
      <c r="H63" s="32">
        <v>74564</v>
      </c>
      <c r="I63" s="32">
        <v>165064</v>
      </c>
      <c r="J63" s="32">
        <v>209465</v>
      </c>
      <c r="K63" s="32">
        <f>I63-N63</f>
        <v>-124502</v>
      </c>
      <c r="L63" s="32"/>
      <c r="M63" s="32"/>
      <c r="N63" s="32">
        <v>289566</v>
      </c>
      <c r="R63" s="59" t="s">
        <v>112</v>
      </c>
      <c r="S63" s="59" t="s">
        <v>198</v>
      </c>
      <c r="T63" s="59" t="s">
        <v>203</v>
      </c>
      <c r="U63" s="60">
        <v>0</v>
      </c>
      <c r="V63" s="61">
        <v>14</v>
      </c>
      <c r="W63" s="27" t="e">
        <v>#VALUE!</v>
      </c>
      <c r="X63" s="27" t="e">
        <v>#VALUE!</v>
      </c>
      <c r="Y63" s="27" t="e">
        <v>#VALUE!</v>
      </c>
      <c r="Z63" s="85" t="s">
        <v>197</v>
      </c>
      <c r="AA63" s="63" t="s">
        <v>197</v>
      </c>
      <c r="AB63" s="62" t="s">
        <v>197</v>
      </c>
      <c r="AC63" s="62" t="s">
        <v>197</v>
      </c>
      <c r="AD63" s="62" t="s">
        <v>197</v>
      </c>
      <c r="AE63" s="62" t="s">
        <v>197</v>
      </c>
      <c r="AF63" s="62" t="s">
        <v>197</v>
      </c>
      <c r="AG63" s="62" t="s">
        <v>197</v>
      </c>
      <c r="AH63" s="64" t="e">
        <v>#VALUE!</v>
      </c>
    </row>
    <row r="64" spans="1:34" ht="34">
      <c r="A64" s="5" t="s">
        <v>20</v>
      </c>
      <c r="B64" s="5" t="s">
        <v>199</v>
      </c>
      <c r="C64" s="5" t="s">
        <v>206</v>
      </c>
      <c r="D64" s="19"/>
      <c r="E64" s="21">
        <v>5</v>
      </c>
      <c r="F64" s="69">
        <v>-15734</v>
      </c>
      <c r="H64" s="32">
        <v>52343</v>
      </c>
      <c r="I64" s="32">
        <v>129345</v>
      </c>
      <c r="J64" s="32">
        <v>54893</v>
      </c>
      <c r="K64" s="32">
        <f>I64-N64</f>
        <v>-28489</v>
      </c>
      <c r="L64" s="32"/>
      <c r="M64" s="32"/>
      <c r="N64" s="32">
        <v>157834</v>
      </c>
      <c r="R64" s="65" t="s">
        <v>130</v>
      </c>
      <c r="S64" s="65" t="s">
        <v>198</v>
      </c>
      <c r="T64" s="65" t="s">
        <v>203</v>
      </c>
      <c r="U64" s="66">
        <v>0</v>
      </c>
      <c r="V64" s="67">
        <v>13</v>
      </c>
      <c r="W64" s="27" t="e">
        <v>#DIV/0!</v>
      </c>
      <c r="X64" s="27" t="e">
        <v>#NUM!</v>
      </c>
      <c r="Y64" s="27" t="e">
        <v>#DIV/0!</v>
      </c>
      <c r="Z64" s="86"/>
      <c r="AA64" s="65"/>
      <c r="AB64" s="68"/>
      <c r="AC64" s="68"/>
      <c r="AD64" s="68"/>
      <c r="AE64" s="68"/>
      <c r="AF64" s="68"/>
      <c r="AG64" s="68"/>
      <c r="AH64" s="68">
        <v>0</v>
      </c>
    </row>
    <row r="65" spans="1:34" ht="34">
      <c r="A65" s="5" t="s">
        <v>31</v>
      </c>
      <c r="B65" s="5" t="s">
        <v>199</v>
      </c>
      <c r="C65" s="5" t="s">
        <v>206</v>
      </c>
      <c r="D65" s="19">
        <v>1</v>
      </c>
      <c r="E65" s="21">
        <v>1</v>
      </c>
      <c r="F65" s="72">
        <v>1175</v>
      </c>
      <c r="G65" s="24">
        <v>439</v>
      </c>
      <c r="H65" s="38">
        <v>79775</v>
      </c>
      <c r="I65" s="38">
        <v>137304</v>
      </c>
      <c r="J65" s="38">
        <v>145845</v>
      </c>
      <c r="K65" s="38">
        <v>-129604</v>
      </c>
      <c r="L65" s="38">
        <v>83659</v>
      </c>
      <c r="M65" s="38">
        <v>183248</v>
      </c>
      <c r="N65" s="32">
        <f t="shared" ref="N65:N70" si="2">L65+M65</f>
        <v>266907</v>
      </c>
      <c r="R65" s="28" t="s">
        <v>69</v>
      </c>
      <c r="S65" s="28" t="s">
        <v>199</v>
      </c>
      <c r="T65" s="28" t="s">
        <v>203</v>
      </c>
      <c r="U65" s="29">
        <v>0</v>
      </c>
      <c r="V65" s="123">
        <v>15</v>
      </c>
      <c r="W65" s="27" t="e">
        <v>#DIV/0!</v>
      </c>
      <c r="X65" s="27" t="e">
        <v>#NUM!</v>
      </c>
      <c r="Y65" s="27" t="e">
        <v>#DIV/0!</v>
      </c>
      <c r="Z65" s="80"/>
      <c r="AA65" s="30"/>
      <c r="AB65" s="49"/>
      <c r="AC65" s="49"/>
      <c r="AD65" s="49"/>
      <c r="AE65" s="49"/>
      <c r="AF65" s="49"/>
      <c r="AG65" s="49"/>
      <c r="AH65" s="36">
        <v>0</v>
      </c>
    </row>
    <row r="66" spans="1:34" ht="34">
      <c r="A66" s="5" t="s">
        <v>38</v>
      </c>
      <c r="B66" s="5" t="s">
        <v>199</v>
      </c>
      <c r="C66" s="5" t="s">
        <v>206</v>
      </c>
      <c r="D66" s="19"/>
      <c r="E66" s="21">
        <v>15</v>
      </c>
      <c r="F66" s="69"/>
      <c r="H66" s="32"/>
      <c r="I66" s="32"/>
      <c r="J66" s="32"/>
      <c r="K66" s="32"/>
      <c r="L66" s="32"/>
      <c r="M66" s="32"/>
      <c r="N66" s="32">
        <f t="shared" si="2"/>
        <v>0</v>
      </c>
      <c r="R66" s="28" t="s">
        <v>120</v>
      </c>
      <c r="S66" s="28" t="s">
        <v>199</v>
      </c>
      <c r="T66" s="28" t="s">
        <v>203</v>
      </c>
      <c r="U66" s="29">
        <v>0</v>
      </c>
      <c r="V66" s="123">
        <v>10</v>
      </c>
      <c r="W66" s="27" t="e">
        <v>#DIV/0!</v>
      </c>
      <c r="X66" s="27" t="e">
        <v>#NUM!</v>
      </c>
      <c r="Y66" s="27" t="e">
        <v>#DIV/0!</v>
      </c>
      <c r="Z66" s="74"/>
      <c r="AA66" s="55"/>
      <c r="AB66" s="36"/>
      <c r="AC66" s="36"/>
      <c r="AD66" s="36"/>
      <c r="AE66" s="124"/>
      <c r="AF66" s="124"/>
      <c r="AG66" s="124"/>
      <c r="AH66" s="36"/>
    </row>
    <row r="67" spans="1:34" ht="34">
      <c r="A67" s="5" t="s">
        <v>58</v>
      </c>
      <c r="B67" s="5" t="s">
        <v>199</v>
      </c>
      <c r="C67" s="5" t="s">
        <v>206</v>
      </c>
      <c r="D67" s="19">
        <v>1</v>
      </c>
      <c r="E67" s="21">
        <v>3</v>
      </c>
      <c r="F67" s="72">
        <v>-38241</v>
      </c>
      <c r="G67" s="24">
        <v>514</v>
      </c>
      <c r="H67" s="38">
        <v>89258</v>
      </c>
      <c r="I67" s="38">
        <v>165088</v>
      </c>
      <c r="J67" s="38">
        <v>117024</v>
      </c>
      <c r="K67" s="38">
        <v>-140440</v>
      </c>
      <c r="L67" s="38">
        <v>147917</v>
      </c>
      <c r="M67" s="38">
        <v>157612</v>
      </c>
      <c r="N67" s="32">
        <f t="shared" si="2"/>
        <v>305529</v>
      </c>
      <c r="R67" s="28" t="s">
        <v>128</v>
      </c>
      <c r="S67" s="28" t="s">
        <v>199</v>
      </c>
      <c r="T67" s="28" t="s">
        <v>203</v>
      </c>
      <c r="U67" s="29">
        <v>0</v>
      </c>
      <c r="V67" s="123">
        <v>11</v>
      </c>
      <c r="W67" s="27" t="e">
        <v>#DIV/0!</v>
      </c>
      <c r="X67" s="27" t="e">
        <v>#NUM!</v>
      </c>
      <c r="Y67" s="27" t="e">
        <v>#DIV/0!</v>
      </c>
      <c r="Z67" s="74"/>
      <c r="AA67" s="55"/>
      <c r="AB67" s="124"/>
      <c r="AC67" s="36"/>
      <c r="AD67" s="125"/>
      <c r="AE67" s="124"/>
      <c r="AF67" s="124"/>
      <c r="AG67" s="124"/>
      <c r="AH67" s="36">
        <v>0</v>
      </c>
    </row>
    <row r="68" spans="1:34" ht="34">
      <c r="A68" s="5" t="s">
        <v>62</v>
      </c>
      <c r="B68" s="5" t="s">
        <v>199</v>
      </c>
      <c r="C68" s="5" t="s">
        <v>206</v>
      </c>
      <c r="D68" s="19">
        <v>1</v>
      </c>
      <c r="E68" s="21">
        <v>4</v>
      </c>
      <c r="F68" s="72">
        <v>-74224</v>
      </c>
      <c r="G68" s="24">
        <v>582</v>
      </c>
      <c r="H68" s="38">
        <v>33643</v>
      </c>
      <c r="I68" s="38">
        <v>163428</v>
      </c>
      <c r="J68" s="38">
        <v>88768</v>
      </c>
      <c r="K68" s="38">
        <v>-165659</v>
      </c>
      <c r="L68" s="38">
        <v>198426</v>
      </c>
      <c r="M68" s="38">
        <v>130662</v>
      </c>
      <c r="N68" s="32">
        <f t="shared" si="2"/>
        <v>329088</v>
      </c>
      <c r="R68" s="5" t="s">
        <v>152</v>
      </c>
      <c r="S68" s="5" t="s">
        <v>199</v>
      </c>
      <c r="T68" s="5" t="s">
        <v>203</v>
      </c>
      <c r="U68" s="18">
        <v>0</v>
      </c>
      <c r="V68" s="21">
        <v>5</v>
      </c>
      <c r="W68" s="27" t="e">
        <v>#DIV/0!</v>
      </c>
      <c r="X68" s="27" t="e">
        <v>#NUM!</v>
      </c>
      <c r="Y68" s="27" t="e">
        <v>#DIV/0!</v>
      </c>
      <c r="Z68" s="87"/>
      <c r="AA68" s="5"/>
      <c r="AB68" s="44"/>
      <c r="AC68" s="45"/>
      <c r="AD68" s="32"/>
      <c r="AE68" s="51"/>
      <c r="AF68" s="32"/>
      <c r="AG68" s="32"/>
      <c r="AH68" s="32">
        <v>0</v>
      </c>
    </row>
    <row r="69" spans="1:34" ht="34">
      <c r="A69" s="5" t="s">
        <v>63</v>
      </c>
      <c r="B69" s="5" t="s">
        <v>199</v>
      </c>
      <c r="C69" s="5" t="s">
        <v>206</v>
      </c>
      <c r="D69" s="19"/>
      <c r="E69" s="21">
        <v>17</v>
      </c>
      <c r="F69" s="88"/>
      <c r="G69" s="22"/>
      <c r="H69" s="45"/>
      <c r="I69" s="40"/>
      <c r="J69" s="40"/>
      <c r="K69" s="40"/>
      <c r="L69" s="40"/>
      <c r="M69" s="40"/>
      <c r="N69" s="32">
        <f t="shared" si="2"/>
        <v>0</v>
      </c>
      <c r="R69" s="28" t="s">
        <v>72</v>
      </c>
      <c r="S69" s="28" t="s">
        <v>172</v>
      </c>
      <c r="T69" s="28" t="s">
        <v>205</v>
      </c>
      <c r="U69" s="29">
        <v>0</v>
      </c>
      <c r="V69" s="31">
        <v>16</v>
      </c>
      <c r="W69" s="27" t="e">
        <v>#DIV/0!</v>
      </c>
      <c r="X69" s="27" t="e">
        <v>#NUM!</v>
      </c>
      <c r="Y69" s="27" t="e">
        <v>#DIV/0!</v>
      </c>
      <c r="Z69" s="80"/>
      <c r="AA69" s="30"/>
      <c r="AB69" s="49"/>
      <c r="AC69" s="49"/>
      <c r="AD69" s="49"/>
      <c r="AE69" s="49"/>
      <c r="AF69" s="49"/>
      <c r="AG69" s="49"/>
      <c r="AH69" s="36">
        <v>0</v>
      </c>
    </row>
    <row r="70" spans="1:34" ht="34">
      <c r="A70" s="5" t="s">
        <v>64</v>
      </c>
      <c r="B70" s="5" t="s">
        <v>199</v>
      </c>
      <c r="C70" s="5" t="s">
        <v>206</v>
      </c>
      <c r="D70" s="19"/>
      <c r="E70" s="21">
        <v>8</v>
      </c>
      <c r="F70" s="88"/>
      <c r="G70" s="22"/>
      <c r="H70" s="45"/>
      <c r="I70" s="40"/>
      <c r="J70" s="40"/>
      <c r="K70" s="40"/>
      <c r="L70" s="40"/>
      <c r="M70" s="40"/>
      <c r="N70" s="32">
        <f t="shared" si="2"/>
        <v>0</v>
      </c>
      <c r="R70" s="28" t="s">
        <v>136</v>
      </c>
      <c r="S70" s="28" t="s">
        <v>172</v>
      </c>
      <c r="T70" s="28" t="s">
        <v>205</v>
      </c>
      <c r="U70" s="29">
        <v>0</v>
      </c>
      <c r="V70" s="31">
        <v>19</v>
      </c>
      <c r="W70" s="27" t="e">
        <v>#DIV/0!</v>
      </c>
      <c r="X70" s="27" t="e">
        <v>#NUM!</v>
      </c>
      <c r="Y70" s="27" t="e">
        <v>#DIV/0!</v>
      </c>
      <c r="Z70" s="74"/>
      <c r="AA70" s="28"/>
      <c r="AB70" s="36"/>
      <c r="AC70" s="36"/>
      <c r="AD70" s="36"/>
      <c r="AE70" s="36"/>
      <c r="AF70" s="36"/>
      <c r="AG70" s="36"/>
      <c r="AH70" s="36">
        <v>0</v>
      </c>
    </row>
    <row r="71" spans="1:34" ht="34">
      <c r="A71" s="5" t="s">
        <v>76</v>
      </c>
      <c r="B71" s="5" t="s">
        <v>199</v>
      </c>
      <c r="C71" s="5" t="s">
        <v>206</v>
      </c>
      <c r="D71" s="19">
        <v>1</v>
      </c>
      <c r="E71" s="21">
        <v>2</v>
      </c>
      <c r="F71" s="88">
        <v>21366</v>
      </c>
      <c r="G71" s="22"/>
      <c r="H71" s="45">
        <v>87904</v>
      </c>
      <c r="I71" s="40">
        <v>169546</v>
      </c>
      <c r="J71" s="40">
        <v>97453</v>
      </c>
      <c r="K71" s="40">
        <f>I71-N71</f>
        <v>-5052</v>
      </c>
      <c r="L71" s="40"/>
      <c r="M71" s="40"/>
      <c r="N71" s="32">
        <v>174598</v>
      </c>
      <c r="R71" s="28" t="s">
        <v>138</v>
      </c>
      <c r="S71" s="28" t="s">
        <v>172</v>
      </c>
      <c r="T71" s="28" t="s">
        <v>205</v>
      </c>
      <c r="U71" s="29">
        <v>0</v>
      </c>
      <c r="V71" s="31">
        <v>18</v>
      </c>
      <c r="W71" s="27" t="e">
        <v>#DIV/0!</v>
      </c>
      <c r="X71" s="27" t="e">
        <v>#NUM!</v>
      </c>
      <c r="Y71" s="27" t="e">
        <v>#DIV/0!</v>
      </c>
      <c r="Z71" s="74"/>
      <c r="AA71" s="28"/>
      <c r="AB71" s="36"/>
      <c r="AC71" s="36"/>
      <c r="AD71" s="36"/>
      <c r="AE71" s="36"/>
      <c r="AF71" s="36"/>
      <c r="AG71" s="36"/>
      <c r="AH71" s="36">
        <v>0</v>
      </c>
    </row>
    <row r="72" spans="1:34" ht="34">
      <c r="A72" s="5" t="s">
        <v>78</v>
      </c>
      <c r="B72" s="5" t="s">
        <v>199</v>
      </c>
      <c r="C72" s="5" t="s">
        <v>206</v>
      </c>
      <c r="D72" s="19">
        <v>1</v>
      </c>
      <c r="E72" s="21">
        <v>11</v>
      </c>
      <c r="F72" s="88">
        <v>8745</v>
      </c>
      <c r="G72" s="22"/>
      <c r="H72" s="45">
        <v>98734</v>
      </c>
      <c r="I72" s="40">
        <v>52343</v>
      </c>
      <c r="J72" s="40">
        <v>89456</v>
      </c>
      <c r="K72" s="40">
        <f>I72-N72</f>
        <v>-86254</v>
      </c>
      <c r="L72" s="40"/>
      <c r="M72" s="40"/>
      <c r="N72" s="32">
        <v>138597</v>
      </c>
      <c r="R72" s="28" t="s">
        <v>149</v>
      </c>
      <c r="S72" s="28" t="s">
        <v>172</v>
      </c>
      <c r="T72" s="28" t="s">
        <v>205</v>
      </c>
      <c r="U72" s="29">
        <v>0</v>
      </c>
      <c r="V72" s="31">
        <v>20</v>
      </c>
      <c r="W72" s="27" t="e">
        <v>#DIV/0!</v>
      </c>
      <c r="X72" s="27" t="e">
        <v>#NUM!</v>
      </c>
      <c r="Y72" s="27" t="e">
        <v>#DIV/0!</v>
      </c>
      <c r="Z72" s="74"/>
      <c r="AA72" s="28"/>
      <c r="AB72" s="36"/>
      <c r="AC72" s="36"/>
      <c r="AD72" s="36"/>
      <c r="AE72" s="36"/>
      <c r="AF72" s="36"/>
      <c r="AG72" s="36"/>
      <c r="AH72" s="36">
        <v>0</v>
      </c>
    </row>
    <row r="73" spans="1:34" ht="34">
      <c r="A73" s="5" t="s">
        <v>79</v>
      </c>
      <c r="B73" s="5" t="s">
        <v>199</v>
      </c>
      <c r="C73" s="5" t="s">
        <v>206</v>
      </c>
      <c r="D73" s="19"/>
      <c r="E73" s="21">
        <v>9</v>
      </c>
      <c r="F73" s="88"/>
      <c r="G73" s="22"/>
      <c r="H73" s="45"/>
      <c r="I73" s="40"/>
      <c r="J73" s="40"/>
      <c r="K73" s="40"/>
      <c r="L73" s="40"/>
      <c r="M73" s="40"/>
      <c r="N73" s="32">
        <f>L73+M73</f>
        <v>0</v>
      </c>
      <c r="R73" s="28" t="s">
        <v>15</v>
      </c>
      <c r="S73" s="28" t="s">
        <v>193</v>
      </c>
      <c r="T73" s="28" t="s">
        <v>205</v>
      </c>
      <c r="U73" s="29">
        <v>0</v>
      </c>
      <c r="V73" s="28">
        <v>14</v>
      </c>
      <c r="W73" s="27" t="e">
        <v>#DIV/0!</v>
      </c>
      <c r="X73" s="27" t="e">
        <v>#NUM!</v>
      </c>
      <c r="Y73" s="27" t="e">
        <v>#DIV/0!</v>
      </c>
      <c r="Z73" s="74">
        <v>-21540</v>
      </c>
      <c r="AA73" s="28"/>
      <c r="AB73" s="36"/>
      <c r="AC73" s="36"/>
      <c r="AD73" s="36"/>
      <c r="AE73" s="36"/>
      <c r="AF73" s="36"/>
      <c r="AG73" s="36"/>
      <c r="AH73" s="36">
        <v>0</v>
      </c>
    </row>
    <row r="74" spans="1:34" ht="34">
      <c r="A74" s="5" t="s">
        <v>80</v>
      </c>
      <c r="B74" s="5" t="s">
        <v>199</v>
      </c>
      <c r="C74" s="5" t="s">
        <v>206</v>
      </c>
      <c r="D74" s="19"/>
      <c r="E74" s="21">
        <v>14</v>
      </c>
      <c r="F74" s="88"/>
      <c r="G74" s="22"/>
      <c r="H74" s="45"/>
      <c r="I74" s="40"/>
      <c r="J74" s="40"/>
      <c r="K74" s="40"/>
      <c r="L74" s="40"/>
      <c r="M74" s="40"/>
      <c r="N74" s="32">
        <f>L74+M74</f>
        <v>0</v>
      </c>
      <c r="R74" s="28" t="s">
        <v>50</v>
      </c>
      <c r="S74" s="28" t="s">
        <v>193</v>
      </c>
      <c r="T74" s="28" t="s">
        <v>205</v>
      </c>
      <c r="U74" s="29">
        <v>0</v>
      </c>
      <c r="V74" s="28">
        <v>18</v>
      </c>
      <c r="W74" s="27" t="e">
        <v>#VALUE!</v>
      </c>
      <c r="X74" s="27">
        <v>12.635713159329546</v>
      </c>
      <c r="Y74" s="27">
        <v>0.56464318135230895</v>
      </c>
      <c r="Z74" s="73" t="s">
        <v>197</v>
      </c>
      <c r="AA74" s="54">
        <v>281</v>
      </c>
      <c r="AB74" s="57">
        <v>0</v>
      </c>
      <c r="AC74" s="57">
        <v>307341</v>
      </c>
      <c r="AD74" s="57">
        <v>132739</v>
      </c>
      <c r="AE74" s="57">
        <v>133803</v>
      </c>
      <c r="AF74" s="57">
        <v>82643</v>
      </c>
      <c r="AG74" s="57">
        <v>90895</v>
      </c>
      <c r="AH74" s="36">
        <v>173538</v>
      </c>
    </row>
    <row r="75" spans="1:34" ht="34">
      <c r="A75" s="5" t="s">
        <v>81</v>
      </c>
      <c r="B75" s="5" t="s">
        <v>199</v>
      </c>
      <c r="C75" s="5" t="s">
        <v>206</v>
      </c>
      <c r="D75" s="19"/>
      <c r="E75" s="21">
        <v>10</v>
      </c>
      <c r="F75" s="88"/>
      <c r="G75" s="22"/>
      <c r="H75" s="45"/>
      <c r="I75" s="40"/>
      <c r="J75" s="40"/>
      <c r="K75" s="40"/>
      <c r="L75" s="40"/>
      <c r="M75" s="40"/>
      <c r="N75" s="32">
        <f>L75+M75</f>
        <v>0</v>
      </c>
      <c r="R75" s="28" t="s">
        <v>53</v>
      </c>
      <c r="S75" s="28" t="s">
        <v>193</v>
      </c>
      <c r="T75" s="28" t="s">
        <v>205</v>
      </c>
      <c r="U75" s="29">
        <v>0</v>
      </c>
      <c r="V75" s="28">
        <v>9</v>
      </c>
      <c r="W75" s="27" t="e">
        <v>#DIV/0!</v>
      </c>
      <c r="X75" s="27" t="e">
        <v>#NUM!</v>
      </c>
      <c r="Y75" s="27" t="e">
        <v>#DIV/0!</v>
      </c>
      <c r="Z75" s="74"/>
      <c r="AA75" s="28"/>
      <c r="AB75" s="36"/>
      <c r="AC75" s="36"/>
      <c r="AD75" s="36"/>
      <c r="AE75" s="36"/>
      <c r="AF75" s="36"/>
      <c r="AG75" s="36"/>
      <c r="AH75" s="36">
        <v>0</v>
      </c>
    </row>
    <row r="76" spans="1:34" ht="34">
      <c r="A76" s="5" t="s">
        <v>109</v>
      </c>
      <c r="B76" s="5" t="s">
        <v>199</v>
      </c>
      <c r="C76" s="5" t="s">
        <v>206</v>
      </c>
      <c r="D76" s="19"/>
      <c r="E76" s="21">
        <v>13</v>
      </c>
      <c r="F76" s="88">
        <v>9574</v>
      </c>
      <c r="G76" s="22"/>
      <c r="H76" s="45">
        <v>52393</v>
      </c>
      <c r="I76" s="40">
        <v>96534</v>
      </c>
      <c r="J76" s="40">
        <v>67954</v>
      </c>
      <c r="K76" s="40">
        <f>I76-N76</f>
        <v>9178</v>
      </c>
      <c r="L76" s="40"/>
      <c r="M76" s="40"/>
      <c r="N76" s="32">
        <v>87356</v>
      </c>
      <c r="R76" s="28" t="s">
        <v>82</v>
      </c>
      <c r="S76" s="28" t="s">
        <v>193</v>
      </c>
      <c r="T76" s="28" t="s">
        <v>205</v>
      </c>
      <c r="U76" s="29">
        <v>0</v>
      </c>
      <c r="V76" s="28">
        <v>19</v>
      </c>
      <c r="W76" s="27" t="e">
        <v>#DIV/0!</v>
      </c>
      <c r="X76" s="27" t="e">
        <v>#NUM!</v>
      </c>
      <c r="Y76" s="27" t="e">
        <v>#DIV/0!</v>
      </c>
      <c r="Z76" s="74"/>
      <c r="AA76" s="28"/>
      <c r="AB76" s="36"/>
      <c r="AC76" s="36"/>
      <c r="AD76" s="36"/>
      <c r="AE76" s="49"/>
      <c r="AF76" s="49"/>
      <c r="AG76" s="49"/>
      <c r="AH76" s="36">
        <v>0</v>
      </c>
    </row>
    <row r="77" spans="1:34" ht="34">
      <c r="A77" s="5" t="s">
        <v>120</v>
      </c>
      <c r="B77" s="5" t="s">
        <v>199</v>
      </c>
      <c r="C77" s="5" t="s">
        <v>206</v>
      </c>
      <c r="D77" s="19"/>
      <c r="E77" s="21">
        <v>16</v>
      </c>
      <c r="F77" s="88"/>
      <c r="G77" s="22"/>
      <c r="H77" s="45"/>
      <c r="I77" s="40"/>
      <c r="J77" s="40"/>
      <c r="K77" s="40"/>
      <c r="L77" s="40"/>
      <c r="M77" s="40"/>
      <c r="N77" s="32">
        <f t="shared" ref="N77:N98" si="3">L77+M77</f>
        <v>0</v>
      </c>
      <c r="R77" s="28" t="s">
        <v>86</v>
      </c>
      <c r="S77" s="28" t="s">
        <v>193</v>
      </c>
      <c r="T77" s="28" t="s">
        <v>205</v>
      </c>
      <c r="U77" s="29">
        <v>0</v>
      </c>
      <c r="V77" s="28">
        <v>17</v>
      </c>
      <c r="W77" s="27" t="e">
        <v>#DIV/0!</v>
      </c>
      <c r="X77" s="27" t="e">
        <v>#NUM!</v>
      </c>
      <c r="Y77" s="27" t="e">
        <v>#DIV/0!</v>
      </c>
      <c r="Z77" s="74"/>
      <c r="AA77" s="28"/>
      <c r="AB77" s="36"/>
      <c r="AC77" s="36"/>
      <c r="AD77" s="36"/>
      <c r="AE77" s="49"/>
      <c r="AF77" s="49"/>
      <c r="AG77" s="49"/>
      <c r="AH77" s="36">
        <v>0</v>
      </c>
    </row>
    <row r="78" spans="1:34" ht="34">
      <c r="A78" s="5" t="s">
        <v>142</v>
      </c>
      <c r="B78" s="5" t="s">
        <v>199</v>
      </c>
      <c r="C78" s="5" t="s">
        <v>206</v>
      </c>
      <c r="D78" s="19">
        <v>1</v>
      </c>
      <c r="E78" s="21">
        <v>6</v>
      </c>
      <c r="F78" s="72">
        <v>-28028</v>
      </c>
      <c r="G78" s="24">
        <v>89</v>
      </c>
      <c r="H78" s="38">
        <v>25036</v>
      </c>
      <c r="I78" s="38">
        <v>85933</v>
      </c>
      <c r="J78" s="38">
        <v>45443</v>
      </c>
      <c r="K78" s="38">
        <v>-71973</v>
      </c>
      <c r="L78" s="38">
        <v>85871</v>
      </c>
      <c r="M78" s="38">
        <v>72035</v>
      </c>
      <c r="N78" s="32">
        <f t="shared" si="3"/>
        <v>157906</v>
      </c>
      <c r="R78" s="28" t="s">
        <v>88</v>
      </c>
      <c r="S78" s="28" t="s">
        <v>193</v>
      </c>
      <c r="T78" s="28" t="s">
        <v>205</v>
      </c>
      <c r="U78" s="29">
        <v>0</v>
      </c>
      <c r="V78" s="28">
        <v>15</v>
      </c>
      <c r="W78" s="27" t="e">
        <v>#DIV/0!</v>
      </c>
      <c r="X78" s="27" t="e">
        <v>#NUM!</v>
      </c>
      <c r="Y78" s="27" t="e">
        <v>#DIV/0!</v>
      </c>
      <c r="Z78" s="74"/>
      <c r="AA78" s="28"/>
      <c r="AB78" s="36"/>
      <c r="AC78" s="36"/>
      <c r="AD78" s="36"/>
      <c r="AE78" s="49"/>
      <c r="AF78" s="49"/>
      <c r="AG78" s="49"/>
      <c r="AH78" s="36">
        <v>0</v>
      </c>
    </row>
    <row r="79" spans="1:34" ht="34">
      <c r="A79" s="14" t="s">
        <v>18</v>
      </c>
      <c r="B79" s="14" t="s">
        <v>200</v>
      </c>
      <c r="C79" s="14" t="s">
        <v>206</v>
      </c>
      <c r="D79" s="17"/>
      <c r="E79" s="14">
        <v>12</v>
      </c>
      <c r="F79" s="69"/>
      <c r="H79" s="32"/>
      <c r="I79" s="32"/>
      <c r="J79" s="32"/>
      <c r="K79" s="32"/>
      <c r="L79" s="32"/>
      <c r="M79" s="32"/>
      <c r="N79" s="32">
        <f t="shared" si="3"/>
        <v>0</v>
      </c>
      <c r="R79" s="28" t="s">
        <v>92</v>
      </c>
      <c r="S79" s="28" t="s">
        <v>193</v>
      </c>
      <c r="T79" s="28" t="s">
        <v>205</v>
      </c>
      <c r="U79" s="29">
        <v>0</v>
      </c>
      <c r="V79" s="28">
        <v>20</v>
      </c>
      <c r="W79" s="27" t="e">
        <v>#DIV/0!</v>
      </c>
      <c r="X79" s="27" t="e">
        <v>#NUM!</v>
      </c>
      <c r="Y79" s="27" t="e">
        <v>#DIV/0!</v>
      </c>
      <c r="Z79" s="74"/>
      <c r="AA79" s="28"/>
      <c r="AB79" s="36"/>
      <c r="AC79" s="36"/>
      <c r="AD79" s="36"/>
      <c r="AE79" s="49"/>
      <c r="AF79" s="49"/>
      <c r="AG79" s="49"/>
      <c r="AH79" s="36">
        <v>0</v>
      </c>
    </row>
    <row r="80" spans="1:34" ht="34">
      <c r="A80" s="14" t="s">
        <v>22</v>
      </c>
      <c r="B80" s="14" t="s">
        <v>200</v>
      </c>
      <c r="C80" s="14" t="s">
        <v>206</v>
      </c>
      <c r="D80" s="17"/>
      <c r="E80" s="14">
        <v>1</v>
      </c>
      <c r="F80" s="69"/>
      <c r="H80" s="32"/>
      <c r="I80" s="32"/>
      <c r="J80" s="32"/>
      <c r="K80" s="32"/>
      <c r="L80" s="32"/>
      <c r="M80" s="32"/>
      <c r="N80" s="32">
        <f t="shared" si="3"/>
        <v>0</v>
      </c>
      <c r="R80" s="28" t="s">
        <v>119</v>
      </c>
      <c r="S80" s="28" t="s">
        <v>193</v>
      </c>
      <c r="T80" s="28" t="s">
        <v>205</v>
      </c>
      <c r="U80" s="29">
        <v>0</v>
      </c>
      <c r="V80" s="28">
        <v>12</v>
      </c>
      <c r="W80" s="27" t="e">
        <v>#DIV/0!</v>
      </c>
      <c r="X80" s="27" t="e">
        <v>#NUM!</v>
      </c>
      <c r="Y80" s="27" t="e">
        <v>#DIV/0!</v>
      </c>
      <c r="Z80" s="74"/>
      <c r="AA80" s="28"/>
      <c r="AB80" s="36"/>
      <c r="AC80" s="36"/>
      <c r="AD80" s="36"/>
      <c r="AE80" s="49"/>
      <c r="AF80" s="49"/>
      <c r="AG80" s="49"/>
      <c r="AH80" s="36">
        <v>0</v>
      </c>
    </row>
    <row r="81" spans="1:34" ht="34">
      <c r="A81" s="14" t="s">
        <v>23</v>
      </c>
      <c r="B81" s="14" t="s">
        <v>200</v>
      </c>
      <c r="C81" s="14" t="s">
        <v>206</v>
      </c>
      <c r="D81" s="17">
        <v>1</v>
      </c>
      <c r="E81" s="14">
        <v>8</v>
      </c>
      <c r="F81" s="69"/>
      <c r="H81" s="32"/>
      <c r="I81" s="32"/>
      <c r="J81" s="32"/>
      <c r="K81" s="32"/>
      <c r="L81" s="32"/>
      <c r="M81" s="32"/>
      <c r="N81" s="32">
        <f t="shared" si="3"/>
        <v>0</v>
      </c>
      <c r="R81" s="28" t="s">
        <v>30</v>
      </c>
      <c r="S81" s="28" t="s">
        <v>198</v>
      </c>
      <c r="T81" s="28" t="s">
        <v>205</v>
      </c>
      <c r="U81" s="29">
        <v>0</v>
      </c>
      <c r="V81" s="31">
        <v>20</v>
      </c>
      <c r="W81" s="27" t="e">
        <v>#DIV/0!</v>
      </c>
      <c r="X81" s="27" t="e">
        <v>#NUM!</v>
      </c>
      <c r="Y81" s="27" t="e">
        <v>#DIV/0!</v>
      </c>
      <c r="Z81" s="74"/>
      <c r="AA81" s="28"/>
      <c r="AB81" s="36"/>
      <c r="AC81" s="36"/>
      <c r="AD81" s="36"/>
      <c r="AE81" s="36"/>
      <c r="AF81" s="36"/>
      <c r="AG81" s="36"/>
      <c r="AH81" s="36">
        <v>0</v>
      </c>
    </row>
    <row r="82" spans="1:34" ht="34">
      <c r="A82" s="14" t="s">
        <v>40</v>
      </c>
      <c r="B82" s="14" t="s">
        <v>200</v>
      </c>
      <c r="C82" s="14" t="s">
        <v>206</v>
      </c>
      <c r="D82" s="17"/>
      <c r="E82" s="14">
        <v>17</v>
      </c>
      <c r="F82" s="69"/>
      <c r="H82" s="32"/>
      <c r="I82" s="32"/>
      <c r="J82" s="32"/>
      <c r="K82" s="32"/>
      <c r="L82" s="32"/>
      <c r="M82" s="32"/>
      <c r="N82" s="32">
        <f t="shared" si="3"/>
        <v>0</v>
      </c>
      <c r="R82" s="28" t="s">
        <v>41</v>
      </c>
      <c r="S82" s="28" t="s">
        <v>198</v>
      </c>
      <c r="T82" s="28" t="s">
        <v>205</v>
      </c>
      <c r="U82" s="29">
        <v>0</v>
      </c>
      <c r="V82" s="31">
        <v>16</v>
      </c>
      <c r="W82" s="27" t="e">
        <v>#DIV/0!</v>
      </c>
      <c r="X82" s="27" t="e">
        <v>#NUM!</v>
      </c>
      <c r="Y82" s="27" t="e">
        <v>#DIV/0!</v>
      </c>
      <c r="Z82" s="74"/>
      <c r="AA82" s="28"/>
      <c r="AB82" s="36"/>
      <c r="AC82" s="36"/>
      <c r="AD82" s="36"/>
      <c r="AE82" s="36"/>
      <c r="AF82" s="36"/>
      <c r="AG82" s="36"/>
      <c r="AH82" s="36">
        <v>0</v>
      </c>
    </row>
    <row r="83" spans="1:34" ht="34">
      <c r="A83" s="14" t="s">
        <v>51</v>
      </c>
      <c r="B83" s="14" t="s">
        <v>200</v>
      </c>
      <c r="C83" s="14" t="s">
        <v>206</v>
      </c>
      <c r="D83" s="17"/>
      <c r="E83" s="14">
        <v>16</v>
      </c>
      <c r="F83" s="69"/>
      <c r="H83" s="32"/>
      <c r="I83" s="32"/>
      <c r="J83" s="32"/>
      <c r="K83" s="32"/>
      <c r="L83" s="32"/>
      <c r="M83" s="32"/>
      <c r="N83" s="32">
        <f t="shared" si="3"/>
        <v>0</v>
      </c>
      <c r="R83" s="28" t="s">
        <v>156</v>
      </c>
      <c r="S83" s="28" t="s">
        <v>198</v>
      </c>
      <c r="T83" s="28" t="s">
        <v>205</v>
      </c>
      <c r="U83" s="29">
        <v>0</v>
      </c>
      <c r="V83" s="31">
        <v>13</v>
      </c>
      <c r="W83" s="27" t="e">
        <v>#DIV/0!</v>
      </c>
      <c r="X83" s="27" t="e">
        <v>#NUM!</v>
      </c>
      <c r="Y83" s="27" t="e">
        <v>#DIV/0!</v>
      </c>
      <c r="Z83" s="74"/>
      <c r="AA83" s="28"/>
      <c r="AB83" s="36"/>
      <c r="AC83" s="36"/>
      <c r="AD83" s="36"/>
      <c r="AE83" s="36"/>
      <c r="AF83" s="36"/>
      <c r="AG83" s="36"/>
      <c r="AH83" s="36">
        <v>0</v>
      </c>
    </row>
    <row r="84" spans="1:34" ht="34">
      <c r="A84" s="14" t="s">
        <v>52</v>
      </c>
      <c r="B84" s="14" t="s">
        <v>200</v>
      </c>
      <c r="C84" s="14" t="s">
        <v>206</v>
      </c>
      <c r="D84" s="17"/>
      <c r="E84" s="14">
        <v>10</v>
      </c>
      <c r="F84" s="69"/>
      <c r="H84" s="32"/>
      <c r="I84" s="32"/>
      <c r="J84" s="32"/>
      <c r="K84" s="32"/>
      <c r="L84" s="32"/>
      <c r="M84" s="32"/>
      <c r="N84" s="32">
        <f t="shared" si="3"/>
        <v>0</v>
      </c>
      <c r="R84" s="28" t="s">
        <v>46</v>
      </c>
      <c r="S84" s="28" t="s">
        <v>198</v>
      </c>
      <c r="T84" s="28" t="s">
        <v>205</v>
      </c>
      <c r="U84" s="29">
        <v>0</v>
      </c>
      <c r="V84" s="31">
        <v>18</v>
      </c>
      <c r="W84" s="27" t="e">
        <v>#DIV/0!</v>
      </c>
      <c r="X84" s="27" t="e">
        <v>#NUM!</v>
      </c>
      <c r="Y84" s="27" t="e">
        <v>#DIV/0!</v>
      </c>
      <c r="Z84" s="74"/>
      <c r="AA84" s="28"/>
      <c r="AB84" s="36"/>
      <c r="AC84" s="36"/>
      <c r="AD84" s="36"/>
      <c r="AE84" s="36"/>
      <c r="AF84" s="36"/>
      <c r="AG84" s="36"/>
      <c r="AH84" s="36">
        <v>0</v>
      </c>
    </row>
    <row r="85" spans="1:34" ht="34">
      <c r="A85" s="14" t="s">
        <v>68</v>
      </c>
      <c r="B85" s="14" t="s">
        <v>200</v>
      </c>
      <c r="C85" s="14" t="s">
        <v>206</v>
      </c>
      <c r="D85" s="17"/>
      <c r="E85" s="14">
        <v>6</v>
      </c>
      <c r="F85" s="72">
        <v>-3339</v>
      </c>
      <c r="G85" s="24">
        <v>11</v>
      </c>
      <c r="H85" s="38">
        <v>2958</v>
      </c>
      <c r="I85" s="38">
        <v>372567</v>
      </c>
      <c r="J85" s="38">
        <v>20927</v>
      </c>
      <c r="K85" s="38">
        <v>67703</v>
      </c>
      <c r="L85" s="38">
        <v>105334</v>
      </c>
      <c r="M85" s="38">
        <v>199530</v>
      </c>
      <c r="N85" s="32">
        <f t="shared" si="3"/>
        <v>304864</v>
      </c>
      <c r="R85" s="28" t="s">
        <v>130</v>
      </c>
      <c r="S85" s="28" t="s">
        <v>198</v>
      </c>
      <c r="T85" s="28" t="s">
        <v>205</v>
      </c>
      <c r="U85" s="29">
        <v>0</v>
      </c>
      <c r="V85" s="31">
        <v>17</v>
      </c>
      <c r="W85" s="27" t="e">
        <v>#DIV/0!</v>
      </c>
      <c r="X85" s="27" t="e">
        <v>#NUM!</v>
      </c>
      <c r="Y85" s="27" t="e">
        <v>#DIV/0!</v>
      </c>
      <c r="Z85" s="74"/>
      <c r="AA85" s="28"/>
      <c r="AB85" s="36"/>
      <c r="AC85" s="36"/>
      <c r="AD85" s="36"/>
      <c r="AE85" s="36"/>
      <c r="AF85" s="36"/>
      <c r="AG85" s="36"/>
      <c r="AH85" s="36">
        <v>0</v>
      </c>
    </row>
    <row r="86" spans="1:34" ht="34">
      <c r="A86" s="14" t="s">
        <v>89</v>
      </c>
      <c r="B86" s="14" t="s">
        <v>200</v>
      </c>
      <c r="C86" s="14" t="s">
        <v>206</v>
      </c>
      <c r="D86" s="17"/>
      <c r="E86" s="14">
        <v>11</v>
      </c>
      <c r="F86" s="72" t="s">
        <v>197</v>
      </c>
      <c r="G86" s="24" t="s">
        <v>197</v>
      </c>
      <c r="H86" s="38" t="s">
        <v>197</v>
      </c>
      <c r="I86" s="38" t="s">
        <v>197</v>
      </c>
      <c r="J86" s="38" t="s">
        <v>197</v>
      </c>
      <c r="K86" s="38" t="s">
        <v>197</v>
      </c>
      <c r="L86" s="38" t="s">
        <v>197</v>
      </c>
      <c r="M86" s="38" t="s">
        <v>197</v>
      </c>
      <c r="N86" s="32" t="e">
        <f t="shared" si="3"/>
        <v>#VALUE!</v>
      </c>
      <c r="R86" s="28" t="s">
        <v>64</v>
      </c>
      <c r="S86" s="28" t="s">
        <v>199</v>
      </c>
      <c r="T86" s="28" t="s">
        <v>205</v>
      </c>
      <c r="U86" s="29">
        <v>0</v>
      </c>
      <c r="V86" s="119">
        <v>17</v>
      </c>
      <c r="W86" s="27" t="e">
        <v>#DIV/0!</v>
      </c>
      <c r="X86" s="27" t="e">
        <v>#NUM!</v>
      </c>
      <c r="Y86" s="27" t="e">
        <v>#DIV/0!</v>
      </c>
      <c r="Z86" s="74"/>
      <c r="AA86" s="120"/>
      <c r="AB86" s="121"/>
      <c r="AC86" s="36"/>
      <c r="AD86" s="122"/>
      <c r="AE86" s="121"/>
      <c r="AF86" s="121"/>
      <c r="AG86" s="121"/>
      <c r="AH86" s="36">
        <v>0</v>
      </c>
    </row>
    <row r="87" spans="1:34" ht="34">
      <c r="A87" s="14" t="s">
        <v>91</v>
      </c>
      <c r="B87" s="14" t="s">
        <v>200</v>
      </c>
      <c r="C87" s="14" t="s">
        <v>206</v>
      </c>
      <c r="D87" s="17"/>
      <c r="E87" s="14">
        <v>18</v>
      </c>
      <c r="F87" s="78"/>
      <c r="G87" s="14"/>
      <c r="H87" s="53"/>
      <c r="I87" s="32"/>
      <c r="J87" s="32"/>
      <c r="K87" s="32"/>
      <c r="L87" s="32"/>
      <c r="M87" s="32"/>
      <c r="N87" s="32">
        <f t="shared" si="3"/>
        <v>0</v>
      </c>
      <c r="R87" s="28" t="s">
        <v>69</v>
      </c>
      <c r="S87" s="28" t="s">
        <v>199</v>
      </c>
      <c r="T87" s="28" t="s">
        <v>205</v>
      </c>
      <c r="U87" s="29">
        <v>0</v>
      </c>
      <c r="V87" s="123">
        <v>6</v>
      </c>
      <c r="W87" s="27" t="e">
        <v>#DIV/0!</v>
      </c>
      <c r="X87" s="27" t="e">
        <v>#NUM!</v>
      </c>
      <c r="Y87" s="27" t="e">
        <v>#DIV/0!</v>
      </c>
      <c r="Z87" s="74"/>
      <c r="AA87" s="55"/>
      <c r="AB87" s="124"/>
      <c r="AC87" s="36"/>
      <c r="AD87" s="125"/>
      <c r="AE87" s="124"/>
      <c r="AF87" s="124"/>
      <c r="AG87" s="124"/>
      <c r="AH87" s="36">
        <v>0</v>
      </c>
    </row>
    <row r="88" spans="1:34" ht="34">
      <c r="A88" s="14" t="s">
        <v>96</v>
      </c>
      <c r="B88" s="14" t="s">
        <v>200</v>
      </c>
      <c r="C88" s="14" t="s">
        <v>206</v>
      </c>
      <c r="D88" s="17"/>
      <c r="E88" s="14">
        <v>14</v>
      </c>
      <c r="F88" s="78"/>
      <c r="G88" s="14"/>
      <c r="H88" s="47"/>
      <c r="I88" s="32"/>
      <c r="J88" s="32"/>
      <c r="K88" s="32"/>
      <c r="L88" s="32"/>
      <c r="M88" s="32"/>
      <c r="N88" s="32">
        <f t="shared" si="3"/>
        <v>0</v>
      </c>
      <c r="R88" s="28" t="s">
        <v>128</v>
      </c>
      <c r="S88" s="28" t="s">
        <v>199</v>
      </c>
      <c r="T88" s="28" t="s">
        <v>205</v>
      </c>
      <c r="U88" s="29">
        <v>0</v>
      </c>
      <c r="V88" s="123">
        <v>7</v>
      </c>
      <c r="W88" s="27" t="e">
        <v>#DIV/0!</v>
      </c>
      <c r="X88" s="27" t="e">
        <v>#NUM!</v>
      </c>
      <c r="Y88" s="27" t="e">
        <v>#DIV/0!</v>
      </c>
      <c r="Z88" s="74"/>
      <c r="AA88" s="55"/>
      <c r="AB88" s="124"/>
      <c r="AC88" s="36"/>
      <c r="AD88" s="57"/>
      <c r="AE88" s="57"/>
      <c r="AF88" s="57"/>
      <c r="AG88" s="36"/>
      <c r="AH88" s="36">
        <v>0</v>
      </c>
    </row>
    <row r="89" spans="1:34" ht="34">
      <c r="A89" s="14" t="s">
        <v>98</v>
      </c>
      <c r="B89" s="14" t="s">
        <v>200</v>
      </c>
      <c r="C89" s="14" t="s">
        <v>206</v>
      </c>
      <c r="D89" s="17"/>
      <c r="E89" s="14">
        <v>15</v>
      </c>
      <c r="F89" s="78"/>
      <c r="G89" s="14"/>
      <c r="H89" s="53"/>
      <c r="I89" s="32"/>
      <c r="J89" s="32"/>
      <c r="K89" s="32"/>
      <c r="L89" s="32"/>
      <c r="M89" s="32"/>
      <c r="N89" s="32">
        <f t="shared" si="3"/>
        <v>0</v>
      </c>
      <c r="R89" s="28" t="s">
        <v>152</v>
      </c>
      <c r="S89" s="28" t="s">
        <v>199</v>
      </c>
      <c r="T89" s="28" t="s">
        <v>205</v>
      </c>
      <c r="U89" s="29">
        <v>0</v>
      </c>
      <c r="V89" s="123">
        <v>10</v>
      </c>
      <c r="W89" s="27" t="e">
        <v>#DIV/0!</v>
      </c>
      <c r="X89" s="27" t="e">
        <v>#NUM!</v>
      </c>
      <c r="Y89" s="27" t="e">
        <v>#DIV/0!</v>
      </c>
      <c r="Z89" s="126"/>
      <c r="AA89" s="28"/>
      <c r="AB89" s="125"/>
      <c r="AC89" s="124"/>
      <c r="AD89" s="36"/>
      <c r="AE89" s="125"/>
      <c r="AF89" s="124"/>
      <c r="AG89" s="124"/>
      <c r="AH89" s="124">
        <v>0</v>
      </c>
    </row>
    <row r="90" spans="1:34" ht="34">
      <c r="A90" s="14" t="s">
        <v>99</v>
      </c>
      <c r="B90" s="14" t="s">
        <v>200</v>
      </c>
      <c r="C90" s="14" t="s">
        <v>206</v>
      </c>
      <c r="D90" s="17"/>
      <c r="E90" s="14">
        <v>19</v>
      </c>
      <c r="F90" s="78"/>
      <c r="G90" s="14"/>
      <c r="H90" s="47"/>
      <c r="I90" s="32"/>
      <c r="J90" s="32"/>
      <c r="K90" s="32"/>
      <c r="L90" s="32"/>
      <c r="M90" s="32"/>
      <c r="N90" s="32">
        <f t="shared" si="3"/>
        <v>0</v>
      </c>
    </row>
    <row r="91" spans="1:34" ht="34">
      <c r="A91" s="14" t="s">
        <v>100</v>
      </c>
      <c r="B91" s="14" t="s">
        <v>200</v>
      </c>
      <c r="C91" s="14" t="s">
        <v>206</v>
      </c>
      <c r="D91" s="17"/>
      <c r="E91" s="14">
        <v>7</v>
      </c>
      <c r="F91" s="78"/>
      <c r="G91" s="14"/>
      <c r="H91" s="53"/>
      <c r="I91" s="32"/>
      <c r="J91" s="32"/>
      <c r="K91" s="32"/>
      <c r="L91" s="32"/>
      <c r="M91" s="32"/>
      <c r="N91" s="32">
        <f t="shared" si="3"/>
        <v>0</v>
      </c>
    </row>
    <row r="92" spans="1:34" ht="34">
      <c r="A92" s="14" t="s">
        <v>105</v>
      </c>
      <c r="B92" s="14" t="s">
        <v>200</v>
      </c>
      <c r="C92" s="14" t="s">
        <v>206</v>
      </c>
      <c r="D92" s="17"/>
      <c r="E92" s="14">
        <v>3</v>
      </c>
      <c r="F92" s="72">
        <v>-2498</v>
      </c>
      <c r="G92" s="24">
        <v>14</v>
      </c>
      <c r="H92" s="38">
        <v>4055</v>
      </c>
      <c r="I92" s="38">
        <v>390916</v>
      </c>
      <c r="J92" s="38">
        <v>20580</v>
      </c>
      <c r="K92" s="38">
        <v>37884</v>
      </c>
      <c r="L92" s="38">
        <v>327248</v>
      </c>
      <c r="M92" s="38">
        <v>25784</v>
      </c>
      <c r="N92" s="32">
        <f t="shared" si="3"/>
        <v>353032</v>
      </c>
    </row>
    <row r="93" spans="1:34" ht="34">
      <c r="A93" s="14" t="s">
        <v>106</v>
      </c>
      <c r="B93" s="14" t="s">
        <v>200</v>
      </c>
      <c r="C93" s="14" t="s">
        <v>206</v>
      </c>
      <c r="D93" s="17">
        <v>1</v>
      </c>
      <c r="E93" s="14">
        <v>5</v>
      </c>
      <c r="F93" s="72">
        <v>-42422</v>
      </c>
      <c r="G93" s="24">
        <v>165</v>
      </c>
      <c r="H93" s="38">
        <v>0</v>
      </c>
      <c r="I93" s="38">
        <v>197228</v>
      </c>
      <c r="J93" s="38">
        <v>125990</v>
      </c>
      <c r="K93" s="38">
        <v>-46675</v>
      </c>
      <c r="L93" s="38">
        <v>136612</v>
      </c>
      <c r="M93" s="38">
        <v>107291</v>
      </c>
      <c r="N93" s="32">
        <f t="shared" si="3"/>
        <v>243903</v>
      </c>
    </row>
    <row r="94" spans="1:34" ht="34">
      <c r="A94" s="14" t="s">
        <v>107</v>
      </c>
      <c r="B94" s="14" t="s">
        <v>200</v>
      </c>
      <c r="C94" s="14" t="s">
        <v>206</v>
      </c>
      <c r="D94" s="17"/>
      <c r="E94" s="14">
        <v>4</v>
      </c>
      <c r="F94" s="72">
        <v>2115</v>
      </c>
      <c r="G94" s="24">
        <v>130</v>
      </c>
      <c r="H94" s="38">
        <v>9470</v>
      </c>
      <c r="I94" s="38">
        <v>610230</v>
      </c>
      <c r="J94" s="38">
        <v>270831</v>
      </c>
      <c r="K94" s="38">
        <v>182495</v>
      </c>
      <c r="L94" s="38">
        <v>288468</v>
      </c>
      <c r="M94" s="38">
        <v>139267</v>
      </c>
      <c r="N94" s="32">
        <f t="shared" si="3"/>
        <v>427735</v>
      </c>
    </row>
    <row r="95" spans="1:34" ht="34">
      <c r="A95" s="14" t="s">
        <v>111</v>
      </c>
      <c r="B95" s="14" t="s">
        <v>200</v>
      </c>
      <c r="C95" s="14" t="s">
        <v>206</v>
      </c>
      <c r="D95" s="17">
        <v>1</v>
      </c>
      <c r="E95" s="14">
        <v>2</v>
      </c>
      <c r="F95" s="72" t="s">
        <v>197</v>
      </c>
      <c r="G95" s="24" t="s">
        <v>197</v>
      </c>
      <c r="H95" s="38" t="s">
        <v>197</v>
      </c>
      <c r="I95" s="38" t="s">
        <v>197</v>
      </c>
      <c r="J95" s="38" t="s">
        <v>197</v>
      </c>
      <c r="K95" s="38" t="s">
        <v>197</v>
      </c>
      <c r="L95" s="38" t="s">
        <v>197</v>
      </c>
      <c r="M95" s="38" t="s">
        <v>197</v>
      </c>
      <c r="N95" s="32" t="e">
        <f t="shared" si="3"/>
        <v>#VALUE!</v>
      </c>
    </row>
    <row r="96" spans="1:34" ht="34">
      <c r="A96" s="14" t="s">
        <v>125</v>
      </c>
      <c r="B96" s="14" t="s">
        <v>200</v>
      </c>
      <c r="C96" s="14" t="s">
        <v>206</v>
      </c>
      <c r="D96" s="17"/>
      <c r="E96" s="14">
        <v>20</v>
      </c>
      <c r="F96" s="78"/>
      <c r="G96" s="14"/>
      <c r="H96" s="53"/>
      <c r="I96" s="32"/>
      <c r="J96" s="32"/>
      <c r="K96" s="32"/>
      <c r="L96" s="32"/>
      <c r="M96" s="32"/>
      <c r="N96" s="32">
        <f t="shared" si="3"/>
        <v>0</v>
      </c>
    </row>
    <row r="97" spans="1:14" ht="34">
      <c r="A97" s="14" t="s">
        <v>135</v>
      </c>
      <c r="B97" s="14" t="s">
        <v>200</v>
      </c>
      <c r="C97" s="14" t="s">
        <v>206</v>
      </c>
      <c r="D97" s="17"/>
      <c r="E97" s="14">
        <v>9</v>
      </c>
      <c r="F97" s="72">
        <v>0</v>
      </c>
      <c r="G97" s="24">
        <v>196</v>
      </c>
      <c r="H97" s="38">
        <v>24</v>
      </c>
      <c r="I97" s="38">
        <v>85334</v>
      </c>
      <c r="J97" s="38">
        <v>52957</v>
      </c>
      <c r="K97" s="38">
        <v>4422</v>
      </c>
      <c r="L97" s="38">
        <v>858</v>
      </c>
      <c r="M97" s="38">
        <v>80054</v>
      </c>
      <c r="N97" s="32">
        <f t="shared" si="3"/>
        <v>80912</v>
      </c>
    </row>
    <row r="98" spans="1:14" ht="34">
      <c r="A98" s="14" t="s">
        <v>141</v>
      </c>
      <c r="B98" s="14" t="s">
        <v>200</v>
      </c>
      <c r="C98" s="14" t="s">
        <v>206</v>
      </c>
      <c r="D98" s="17"/>
      <c r="E98" s="14">
        <v>13</v>
      </c>
      <c r="F98" s="69"/>
      <c r="G98" s="14"/>
      <c r="H98" s="46"/>
      <c r="I98" s="47"/>
      <c r="J98" s="32"/>
      <c r="K98" s="32"/>
      <c r="L98" s="32"/>
      <c r="M98" s="32"/>
      <c r="N98" s="32">
        <f t="shared" si="3"/>
        <v>0</v>
      </c>
    </row>
  </sheetData>
  <dataValidations count="2">
    <dataValidation allowBlank="1" showInputMessage="1" showErrorMessage="1" errorTitle="jjmb" error="mn" promptTitle="bbj" sqref="R1:V4 Z1:AF4" xr:uid="{C23A51A1-ED01-A34C-BEA6-749E79A49C17}"/>
    <dataValidation allowBlank="1" showInputMessage="1" showErrorMessage="1" promptTitle="NOO" sqref="W1:Y89" xr:uid="{D49E37C6-6B28-BE4F-B00F-853519A709EF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758D-1AAC-184A-B922-758DEF93C6C6}">
  <dimension ref="A1:R407"/>
  <sheetViews>
    <sheetView workbookViewId="0">
      <selection sqref="A1:R407"/>
    </sheetView>
  </sheetViews>
  <sheetFormatPr baseColWidth="10" defaultRowHeight="16"/>
  <sheetData>
    <row r="1" spans="1:18" ht="23">
      <c r="A1" s="20" t="s">
        <v>166</v>
      </c>
      <c r="B1" s="20" t="s">
        <v>0</v>
      </c>
      <c r="C1" s="20" t="s">
        <v>167</v>
      </c>
      <c r="D1" s="20" t="s">
        <v>168</v>
      </c>
      <c r="E1" s="20" t="s">
        <v>169</v>
      </c>
      <c r="F1" s="20" t="s">
        <v>233</v>
      </c>
      <c r="G1" s="20" t="s">
        <v>232</v>
      </c>
      <c r="H1" s="20" t="s">
        <v>231</v>
      </c>
      <c r="I1" s="20"/>
      <c r="J1" s="70" t="s">
        <v>207</v>
      </c>
      <c r="K1" s="20" t="s">
        <v>170</v>
      </c>
      <c r="L1" s="33" t="s">
        <v>208</v>
      </c>
      <c r="M1" s="33" t="s">
        <v>209</v>
      </c>
      <c r="N1" s="33" t="s">
        <v>210</v>
      </c>
      <c r="O1" s="33" t="s">
        <v>211</v>
      </c>
      <c r="P1" s="33" t="s">
        <v>212</v>
      </c>
      <c r="Q1" s="33" t="s">
        <v>213</v>
      </c>
      <c r="R1" s="33" t="s">
        <v>214</v>
      </c>
    </row>
    <row r="2" spans="1:18" ht="17">
      <c r="A2" s="131" t="s">
        <v>26</v>
      </c>
      <c r="B2" s="131" t="s">
        <v>193</v>
      </c>
      <c r="C2" s="131" t="s">
        <v>205</v>
      </c>
      <c r="D2" s="131">
        <v>0</v>
      </c>
      <c r="E2" s="131">
        <v>16</v>
      </c>
      <c r="F2" s="130">
        <f t="shared" ref="F2:F65" si="0">J2/N2</f>
        <v>-5.9855437342645985E-2</v>
      </c>
      <c r="G2" s="130">
        <f t="shared" ref="G2:G65" si="1">LN(M2)</f>
        <v>12.49419087285259</v>
      </c>
      <c r="H2" s="130">
        <f t="shared" ref="H2:H65" si="2">R2/M2</f>
        <v>0.48306676212502297</v>
      </c>
      <c r="I2" s="130"/>
      <c r="J2" s="94">
        <v>-5896</v>
      </c>
      <c r="K2" s="98">
        <v>324</v>
      </c>
      <c r="L2" s="114">
        <v>20034</v>
      </c>
      <c r="M2" s="96">
        <v>266783</v>
      </c>
      <c r="N2" s="42">
        <v>98504</v>
      </c>
      <c r="O2" s="96">
        <f>M2-R2</f>
        <v>137909</v>
      </c>
      <c r="P2" s="96">
        <v>89890</v>
      </c>
      <c r="Q2" s="96">
        <v>38984</v>
      </c>
      <c r="R2" s="42">
        <f t="shared" ref="R2:R13" si="3">P2+Q2</f>
        <v>128874</v>
      </c>
    </row>
    <row r="3" spans="1:18" ht="17">
      <c r="A3" s="131" t="s">
        <v>27</v>
      </c>
      <c r="B3" s="131" t="s">
        <v>193</v>
      </c>
      <c r="C3" s="131" t="s">
        <v>205</v>
      </c>
      <c r="D3" s="131">
        <v>0</v>
      </c>
      <c r="E3" s="131">
        <v>2</v>
      </c>
      <c r="F3" s="130">
        <f t="shared" si="0"/>
        <v>8.6179020361654188E-2</v>
      </c>
      <c r="G3" s="130">
        <f t="shared" si="1"/>
        <v>13.706203375563934</v>
      </c>
      <c r="H3" s="130">
        <f t="shared" si="2"/>
        <v>0.93785744962100714</v>
      </c>
      <c r="I3" s="130"/>
      <c r="J3" s="94">
        <v>33580</v>
      </c>
      <c r="K3" s="95">
        <v>964</v>
      </c>
      <c r="L3" s="96">
        <v>41534</v>
      </c>
      <c r="M3" s="96">
        <v>896455</v>
      </c>
      <c r="N3" s="96">
        <v>389654</v>
      </c>
      <c r="O3" s="95">
        <f>M3-R3</f>
        <v>55708</v>
      </c>
      <c r="P3" s="96">
        <v>95053</v>
      </c>
      <c r="Q3" s="96">
        <v>745694</v>
      </c>
      <c r="R3" s="42">
        <f t="shared" si="3"/>
        <v>840747</v>
      </c>
    </row>
    <row r="4" spans="1:18" ht="17">
      <c r="A4" s="131" t="s">
        <v>28</v>
      </c>
      <c r="B4" s="131" t="s">
        <v>193</v>
      </c>
      <c r="C4" s="131" t="s">
        <v>205</v>
      </c>
      <c r="D4" s="131">
        <v>0</v>
      </c>
      <c r="E4" s="131">
        <v>1</v>
      </c>
      <c r="F4" s="130">
        <f t="shared" si="0"/>
        <v>1.7912925705048387E-2</v>
      </c>
      <c r="G4" s="130">
        <f t="shared" si="1"/>
        <v>13.779442868802397</v>
      </c>
      <c r="H4" s="130">
        <f t="shared" si="2"/>
        <v>0.7257279112562528</v>
      </c>
      <c r="I4" s="130"/>
      <c r="J4" s="94">
        <v>13120</v>
      </c>
      <c r="K4" s="95">
        <v>1194</v>
      </c>
      <c r="L4" s="96">
        <v>148434</v>
      </c>
      <c r="M4" s="96">
        <v>964575</v>
      </c>
      <c r="N4" s="96">
        <v>732432</v>
      </c>
      <c r="O4" s="96">
        <f>N4-R4</f>
        <v>32413</v>
      </c>
      <c r="P4" s="96">
        <v>454343</v>
      </c>
      <c r="Q4" s="96">
        <v>245676</v>
      </c>
      <c r="R4" s="42">
        <f t="shared" si="3"/>
        <v>700019</v>
      </c>
    </row>
    <row r="5" spans="1:18">
      <c r="A5" s="131" t="s">
        <v>43</v>
      </c>
      <c r="B5" s="131" t="s">
        <v>193</v>
      </c>
      <c r="C5" s="131" t="s">
        <v>205</v>
      </c>
      <c r="D5" s="131">
        <v>0</v>
      </c>
      <c r="E5" s="131">
        <v>13</v>
      </c>
      <c r="F5" s="130">
        <f t="shared" si="0"/>
        <v>0.2091187369099404</v>
      </c>
      <c r="G5" s="130">
        <f t="shared" si="1"/>
        <v>12.814715304311671</v>
      </c>
      <c r="H5" s="130">
        <f t="shared" si="2"/>
        <v>1.1184889563559104</v>
      </c>
      <c r="I5" s="130"/>
      <c r="J5" s="75">
        <v>12980</v>
      </c>
      <c r="K5" s="12">
        <v>201</v>
      </c>
      <c r="L5" s="42">
        <v>20925</v>
      </c>
      <c r="M5" s="42">
        <v>367587</v>
      </c>
      <c r="N5" s="115">
        <v>62070</v>
      </c>
      <c r="O5" s="42">
        <f>M5-R5</f>
        <v>-43555</v>
      </c>
      <c r="P5" s="42">
        <v>268467</v>
      </c>
      <c r="Q5" s="42">
        <v>142675</v>
      </c>
      <c r="R5" s="42">
        <f t="shared" si="3"/>
        <v>411142</v>
      </c>
    </row>
    <row r="6" spans="1:18" ht="17">
      <c r="A6" s="131" t="s">
        <v>56</v>
      </c>
      <c r="B6" s="131" t="s">
        <v>193</v>
      </c>
      <c r="C6" s="131" t="s">
        <v>205</v>
      </c>
      <c r="D6" s="131">
        <v>0</v>
      </c>
      <c r="E6" s="131">
        <v>11</v>
      </c>
      <c r="F6" s="130">
        <f t="shared" si="0"/>
        <v>8.0156365876038568E-2</v>
      </c>
      <c r="G6" s="130">
        <f t="shared" si="1"/>
        <v>12.161221712392278</v>
      </c>
      <c r="H6" s="130">
        <f t="shared" si="2"/>
        <v>0.7750643211245215</v>
      </c>
      <c r="I6" s="130"/>
      <c r="J6" s="94">
        <v>6377</v>
      </c>
      <c r="K6" s="98">
        <v>340</v>
      </c>
      <c r="L6" s="96">
        <v>0</v>
      </c>
      <c r="M6" s="96">
        <v>191228</v>
      </c>
      <c r="N6" s="96">
        <v>79557</v>
      </c>
      <c r="O6" s="96">
        <v>43014</v>
      </c>
      <c r="P6" s="96">
        <v>70628</v>
      </c>
      <c r="Q6" s="96">
        <v>77586</v>
      </c>
      <c r="R6" s="42">
        <f t="shared" si="3"/>
        <v>148214</v>
      </c>
    </row>
    <row r="7" spans="1:18">
      <c r="A7" s="131" t="s">
        <v>66</v>
      </c>
      <c r="B7" s="131" t="s">
        <v>193</v>
      </c>
      <c r="C7" s="131" t="s">
        <v>205</v>
      </c>
      <c r="D7" s="131">
        <v>0</v>
      </c>
      <c r="E7" s="131">
        <v>8</v>
      </c>
      <c r="F7" s="130">
        <f t="shared" si="0"/>
        <v>8.7861959539865128E-2</v>
      </c>
      <c r="G7" s="130">
        <f t="shared" si="1"/>
        <v>11.546872682269886</v>
      </c>
      <c r="H7" s="130">
        <f t="shared" si="2"/>
        <v>1.4933834688215906</v>
      </c>
      <c r="I7" s="130"/>
      <c r="J7" s="75">
        <v>4430</v>
      </c>
      <c r="K7" s="12">
        <v>281</v>
      </c>
      <c r="L7" s="42">
        <v>61534</v>
      </c>
      <c r="M7" s="42">
        <v>103453</v>
      </c>
      <c r="N7" s="42">
        <v>50420</v>
      </c>
      <c r="O7" s="42">
        <f>M7-R7</f>
        <v>-51042</v>
      </c>
      <c r="P7" s="42">
        <v>56786</v>
      </c>
      <c r="Q7" s="42">
        <v>97709</v>
      </c>
      <c r="R7" s="42">
        <f t="shared" si="3"/>
        <v>154495</v>
      </c>
    </row>
    <row r="8" spans="1:18" ht="17">
      <c r="A8" s="131" t="s">
        <v>67</v>
      </c>
      <c r="B8" s="131" t="s">
        <v>193</v>
      </c>
      <c r="C8" s="131" t="s">
        <v>205</v>
      </c>
      <c r="D8" s="131">
        <v>0</v>
      </c>
      <c r="E8" s="131">
        <v>10</v>
      </c>
      <c r="F8" s="130">
        <f t="shared" si="0"/>
        <v>-9.2119772669437619E-3</v>
      </c>
      <c r="G8" s="130">
        <f t="shared" si="1"/>
        <v>12.069490890992887</v>
      </c>
      <c r="H8" s="130">
        <f t="shared" si="2"/>
        <v>0.69984581611422214</v>
      </c>
      <c r="I8" s="130"/>
      <c r="J8" s="75">
        <v>-543</v>
      </c>
      <c r="K8" s="12">
        <v>234</v>
      </c>
      <c r="L8" s="42">
        <v>9674</v>
      </c>
      <c r="M8" s="42">
        <v>174467</v>
      </c>
      <c r="N8" s="42">
        <v>58945</v>
      </c>
      <c r="O8" s="110">
        <f>M8-R8</f>
        <v>52367</v>
      </c>
      <c r="P8" s="110">
        <v>46735</v>
      </c>
      <c r="Q8" s="110">
        <v>75365</v>
      </c>
      <c r="R8" s="42">
        <f t="shared" si="3"/>
        <v>122100</v>
      </c>
    </row>
    <row r="9" spans="1:18" ht="17">
      <c r="A9" s="131" t="s">
        <v>117</v>
      </c>
      <c r="B9" s="131" t="s">
        <v>193</v>
      </c>
      <c r="C9" s="131" t="s">
        <v>205</v>
      </c>
      <c r="D9" s="131">
        <v>0</v>
      </c>
      <c r="E9" s="131">
        <v>6</v>
      </c>
      <c r="F9" s="130">
        <f t="shared" si="0"/>
        <v>6.9533299729879934E-3</v>
      </c>
      <c r="G9" s="130">
        <f t="shared" si="1"/>
        <v>11.729793365516766</v>
      </c>
      <c r="H9" s="130">
        <f t="shared" si="2"/>
        <v>0.95309858474617204</v>
      </c>
      <c r="I9" s="130"/>
      <c r="J9" s="94">
        <v>538</v>
      </c>
      <c r="K9" s="98">
        <v>243</v>
      </c>
      <c r="L9" s="96">
        <v>9542</v>
      </c>
      <c r="M9" s="96">
        <v>124218</v>
      </c>
      <c r="N9" s="96">
        <v>77373</v>
      </c>
      <c r="O9" s="96">
        <v>5826</v>
      </c>
      <c r="P9" s="96">
        <v>38102</v>
      </c>
      <c r="Q9" s="96">
        <v>80290</v>
      </c>
      <c r="R9" s="42">
        <f t="shared" si="3"/>
        <v>118392</v>
      </c>
    </row>
    <row r="10" spans="1:18" ht="17">
      <c r="A10" s="131" t="s">
        <v>118</v>
      </c>
      <c r="B10" s="131" t="s">
        <v>193</v>
      </c>
      <c r="C10" s="131" t="s">
        <v>205</v>
      </c>
      <c r="D10" s="131">
        <v>0</v>
      </c>
      <c r="E10" s="131">
        <v>3</v>
      </c>
      <c r="F10" s="130">
        <f t="shared" si="0"/>
        <v>4.1674130596945094E-2</v>
      </c>
      <c r="G10" s="130">
        <f t="shared" si="1"/>
        <v>13.900793358492733</v>
      </c>
      <c r="H10" s="130">
        <f t="shared" si="2"/>
        <v>0.49757443584858013</v>
      </c>
      <c r="I10" s="130"/>
      <c r="J10" s="94">
        <v>31174</v>
      </c>
      <c r="K10" s="98">
        <v>811</v>
      </c>
      <c r="L10" s="96">
        <v>107564</v>
      </c>
      <c r="M10" s="96">
        <v>1089025</v>
      </c>
      <c r="N10" s="96">
        <v>748042</v>
      </c>
      <c r="O10" s="96">
        <v>494566</v>
      </c>
      <c r="P10" s="96">
        <v>176436</v>
      </c>
      <c r="Q10" s="96">
        <v>365435</v>
      </c>
      <c r="R10" s="42">
        <f t="shared" si="3"/>
        <v>541871</v>
      </c>
    </row>
    <row r="11" spans="1:18" ht="17">
      <c r="A11" s="131" t="s">
        <v>126</v>
      </c>
      <c r="B11" s="131" t="s">
        <v>193</v>
      </c>
      <c r="C11" s="131" t="s">
        <v>205</v>
      </c>
      <c r="D11" s="131">
        <v>0</v>
      </c>
      <c r="E11" s="131">
        <v>7</v>
      </c>
      <c r="F11" s="130">
        <f t="shared" si="0"/>
        <v>0.15573110566300433</v>
      </c>
      <c r="G11" s="130">
        <f t="shared" si="1"/>
        <v>12.411215145734831</v>
      </c>
      <c r="H11" s="130">
        <f t="shared" si="2"/>
        <v>0.58880834079986966</v>
      </c>
      <c r="I11" s="130"/>
      <c r="J11" s="94">
        <v>25726</v>
      </c>
      <c r="K11" s="98">
        <v>432</v>
      </c>
      <c r="L11" s="96">
        <v>1006</v>
      </c>
      <c r="M11" s="96">
        <v>245540</v>
      </c>
      <c r="N11" s="96">
        <v>165195</v>
      </c>
      <c r="O11" s="96">
        <v>100964</v>
      </c>
      <c r="P11" s="96">
        <v>32212</v>
      </c>
      <c r="Q11" s="96">
        <v>112364</v>
      </c>
      <c r="R11" s="42">
        <f t="shared" si="3"/>
        <v>144576</v>
      </c>
    </row>
    <row r="12" spans="1:18" ht="17">
      <c r="A12" s="131" t="s">
        <v>145</v>
      </c>
      <c r="B12" s="131" t="s">
        <v>193</v>
      </c>
      <c r="C12" s="131" t="s">
        <v>205</v>
      </c>
      <c r="D12" s="131">
        <v>0</v>
      </c>
      <c r="E12" s="131">
        <v>4</v>
      </c>
      <c r="F12" s="130">
        <f t="shared" si="0"/>
        <v>-0.32903964245485268</v>
      </c>
      <c r="G12" s="130">
        <f t="shared" si="1"/>
        <v>13.148327376562124</v>
      </c>
      <c r="H12" s="130">
        <f t="shared" si="2"/>
        <v>0.90838581940633578</v>
      </c>
      <c r="I12" s="130"/>
      <c r="J12" s="94">
        <v>-36222</v>
      </c>
      <c r="K12" s="98">
        <v>393</v>
      </c>
      <c r="L12" s="96">
        <v>14501</v>
      </c>
      <c r="M12" s="96">
        <v>513152</v>
      </c>
      <c r="N12" s="96">
        <v>110084</v>
      </c>
      <c r="O12" s="96">
        <v>47012</v>
      </c>
      <c r="P12" s="96">
        <v>315985</v>
      </c>
      <c r="Q12" s="96">
        <v>150155</v>
      </c>
      <c r="R12" s="42">
        <f t="shared" si="3"/>
        <v>466140</v>
      </c>
    </row>
    <row r="13" spans="1:18" ht="17">
      <c r="A13" s="131" t="s">
        <v>147</v>
      </c>
      <c r="B13" s="131" t="s">
        <v>193</v>
      </c>
      <c r="C13" s="131" t="s">
        <v>205</v>
      </c>
      <c r="D13" s="131">
        <v>0</v>
      </c>
      <c r="E13" s="131">
        <v>5</v>
      </c>
      <c r="F13" s="130">
        <f t="shared" si="0"/>
        <v>2.8524000825074405E-2</v>
      </c>
      <c r="G13" s="130">
        <f t="shared" si="1"/>
        <v>12.235966343144312</v>
      </c>
      <c r="H13" s="130">
        <f t="shared" si="2"/>
        <v>0.59083607917736292</v>
      </c>
      <c r="I13" s="130"/>
      <c r="J13" s="94">
        <v>2904</v>
      </c>
      <c r="K13" s="98">
        <v>380</v>
      </c>
      <c r="L13" s="96">
        <v>0</v>
      </c>
      <c r="M13" s="96">
        <v>206069</v>
      </c>
      <c r="N13" s="96">
        <v>101809</v>
      </c>
      <c r="O13" s="96">
        <v>84316</v>
      </c>
      <c r="P13" s="96">
        <v>34225</v>
      </c>
      <c r="Q13" s="96">
        <v>87528</v>
      </c>
      <c r="R13" s="42">
        <f t="shared" si="3"/>
        <v>121753</v>
      </c>
    </row>
    <row r="14" spans="1:18">
      <c r="A14" s="134" t="s">
        <v>17</v>
      </c>
      <c r="B14" s="134" t="s">
        <v>200</v>
      </c>
      <c r="C14" s="134" t="s">
        <v>205</v>
      </c>
      <c r="D14" s="134">
        <v>0</v>
      </c>
      <c r="E14" s="15">
        <v>13</v>
      </c>
      <c r="F14" s="130">
        <f t="shared" si="0"/>
        <v>0.20757735643530653</v>
      </c>
      <c r="G14" s="130">
        <f t="shared" si="1"/>
        <v>9.9938765522638082</v>
      </c>
      <c r="H14" s="130">
        <f t="shared" si="2"/>
        <v>0.67362506851818016</v>
      </c>
      <c r="I14" s="130"/>
      <c r="J14" s="69">
        <v>6098</v>
      </c>
      <c r="L14" s="32"/>
      <c r="M14" s="32">
        <v>21892</v>
      </c>
      <c r="N14" s="32">
        <v>29377</v>
      </c>
      <c r="O14" s="32">
        <v>7145</v>
      </c>
      <c r="P14" s="32"/>
      <c r="Q14" s="32"/>
      <c r="R14" s="32">
        <v>14747</v>
      </c>
    </row>
    <row r="15" spans="1:18">
      <c r="A15" s="134" t="s">
        <v>18</v>
      </c>
      <c r="B15" s="134" t="s">
        <v>200</v>
      </c>
      <c r="C15" s="134" t="s">
        <v>205</v>
      </c>
      <c r="D15" s="134">
        <v>0</v>
      </c>
      <c r="E15" s="15">
        <v>14</v>
      </c>
      <c r="F15" s="130">
        <f t="shared" si="0"/>
        <v>0.3649803722932759</v>
      </c>
      <c r="G15" s="130">
        <f t="shared" si="1"/>
        <v>10.752462577125415</v>
      </c>
      <c r="H15" s="130">
        <f t="shared" si="2"/>
        <v>0.64188683281634396</v>
      </c>
      <c r="I15" s="130"/>
      <c r="J15" s="69">
        <v>11529</v>
      </c>
      <c r="L15" s="32"/>
      <c r="M15" s="32">
        <v>46745</v>
      </c>
      <c r="N15" s="32">
        <v>31588</v>
      </c>
      <c r="O15" s="32">
        <v>16740</v>
      </c>
      <c r="P15" s="32"/>
      <c r="Q15" s="32"/>
      <c r="R15" s="32">
        <v>30005</v>
      </c>
    </row>
    <row r="16" spans="1:18">
      <c r="A16" s="134" t="s">
        <v>22</v>
      </c>
      <c r="B16" s="134" t="s">
        <v>200</v>
      </c>
      <c r="C16" s="134" t="s">
        <v>205</v>
      </c>
      <c r="D16" s="134">
        <v>1</v>
      </c>
      <c r="E16" s="15">
        <v>2</v>
      </c>
      <c r="F16" s="130">
        <f t="shared" si="0"/>
        <v>1.1327777328262804E-4</v>
      </c>
      <c r="G16" s="130">
        <f t="shared" si="1"/>
        <v>13.31808968769692</v>
      </c>
      <c r="H16" s="130">
        <f t="shared" si="2"/>
        <v>0.98701522947819176</v>
      </c>
      <c r="I16" s="130"/>
      <c r="J16" s="69">
        <v>14</v>
      </c>
      <c r="L16" s="32"/>
      <c r="M16" s="32">
        <v>608097</v>
      </c>
      <c r="N16" s="32">
        <v>123590</v>
      </c>
      <c r="O16" s="32">
        <v>7896</v>
      </c>
      <c r="P16" s="32"/>
      <c r="Q16" s="32"/>
      <c r="R16" s="32">
        <v>600201</v>
      </c>
    </row>
    <row r="17" spans="1:18">
      <c r="A17" s="134" t="s">
        <v>23</v>
      </c>
      <c r="B17" s="134" t="s">
        <v>200</v>
      </c>
      <c r="C17" s="134" t="s">
        <v>205</v>
      </c>
      <c r="D17" s="134">
        <v>0</v>
      </c>
      <c r="E17" s="15">
        <v>7</v>
      </c>
      <c r="F17" s="130">
        <f t="shared" si="0"/>
        <v>8.0868907245097415E-3</v>
      </c>
      <c r="G17" s="130">
        <f t="shared" si="1"/>
        <v>11.001216117502114</v>
      </c>
      <c r="H17" s="130">
        <f t="shared" si="2"/>
        <v>0.7934175188082806</v>
      </c>
      <c r="I17" s="130"/>
      <c r="J17" s="69">
        <v>513</v>
      </c>
      <c r="L17" s="32"/>
      <c r="M17" s="32">
        <v>59947</v>
      </c>
      <c r="N17" s="32">
        <v>63436</v>
      </c>
      <c r="O17" s="32">
        <v>12384</v>
      </c>
      <c r="P17" s="32"/>
      <c r="Q17" s="32"/>
      <c r="R17" s="32">
        <v>47563</v>
      </c>
    </row>
    <row r="18" spans="1:18">
      <c r="A18" s="134" t="s">
        <v>40</v>
      </c>
      <c r="B18" s="134" t="s">
        <v>200</v>
      </c>
      <c r="C18" s="134" t="s">
        <v>205</v>
      </c>
      <c r="D18" s="134">
        <v>0</v>
      </c>
      <c r="E18" s="15">
        <v>16</v>
      </c>
      <c r="F18" s="130">
        <f t="shared" si="0"/>
        <v>1.4304042802937242E-2</v>
      </c>
      <c r="G18" s="130">
        <f t="shared" si="1"/>
        <v>10.474354098387241</v>
      </c>
      <c r="H18" s="130">
        <f t="shared" si="2"/>
        <v>0.66809809017968136</v>
      </c>
      <c r="I18" s="130"/>
      <c r="J18" s="69">
        <v>524</v>
      </c>
      <c r="L18" s="32"/>
      <c r="M18" s="32">
        <v>35396</v>
      </c>
      <c r="N18" s="32">
        <v>36633</v>
      </c>
      <c r="O18" s="32">
        <v>11748</v>
      </c>
      <c r="P18" s="32"/>
      <c r="Q18" s="32"/>
      <c r="R18" s="32">
        <v>23648</v>
      </c>
    </row>
    <row r="19" spans="1:18">
      <c r="A19" s="134" t="s">
        <v>51</v>
      </c>
      <c r="B19" s="134" t="s">
        <v>200</v>
      </c>
      <c r="C19" s="134" t="s">
        <v>205</v>
      </c>
      <c r="D19" s="134">
        <v>0</v>
      </c>
      <c r="E19" s="15">
        <v>11</v>
      </c>
      <c r="F19" s="130">
        <f t="shared" si="0"/>
        <v>0.17917975356366272</v>
      </c>
      <c r="G19" s="130">
        <f t="shared" si="1"/>
        <v>10.277152348094495</v>
      </c>
      <c r="H19" s="130">
        <f t="shared" si="2"/>
        <v>0.60658614638174868</v>
      </c>
      <c r="I19" s="130"/>
      <c r="J19" s="69">
        <v>5933</v>
      </c>
      <c r="L19" s="32"/>
      <c r="M19" s="32">
        <v>29061</v>
      </c>
      <c r="N19" s="32">
        <v>33112</v>
      </c>
      <c r="O19" s="32">
        <v>11433</v>
      </c>
      <c r="P19" s="32"/>
      <c r="Q19" s="32"/>
      <c r="R19" s="32">
        <v>17628</v>
      </c>
    </row>
    <row r="20" spans="1:18" ht="17">
      <c r="A20" s="134" t="s">
        <v>68</v>
      </c>
      <c r="B20" s="134" t="s">
        <v>200</v>
      </c>
      <c r="C20" s="134" t="s">
        <v>205</v>
      </c>
      <c r="D20" s="134">
        <v>0</v>
      </c>
      <c r="E20" s="15">
        <v>6</v>
      </c>
      <c r="F20" s="130">
        <f t="shared" si="0"/>
        <v>-0.16328725864572688</v>
      </c>
      <c r="G20" s="130">
        <f t="shared" si="1"/>
        <v>12.799167419682593</v>
      </c>
      <c r="H20" s="130">
        <f t="shared" si="2"/>
        <v>0.82822809712751022</v>
      </c>
      <c r="I20" s="130"/>
      <c r="J20" s="72">
        <v>-3036</v>
      </c>
      <c r="K20" s="24" t="s">
        <v>197</v>
      </c>
      <c r="L20" s="38">
        <v>3055</v>
      </c>
      <c r="M20" s="38">
        <v>361916</v>
      </c>
      <c r="N20" s="38">
        <v>18593</v>
      </c>
      <c r="O20" s="38">
        <v>62167</v>
      </c>
      <c r="P20" s="38">
        <v>278978</v>
      </c>
      <c r="Q20" s="38">
        <v>20771</v>
      </c>
      <c r="R20" s="32">
        <v>299749</v>
      </c>
    </row>
    <row r="21" spans="1:18">
      <c r="A21" s="134" t="s">
        <v>52</v>
      </c>
      <c r="B21" s="134" t="s">
        <v>200</v>
      </c>
      <c r="C21" s="134" t="s">
        <v>205</v>
      </c>
      <c r="D21" s="134">
        <v>0</v>
      </c>
      <c r="E21" s="15">
        <v>17</v>
      </c>
      <c r="F21" s="130">
        <f t="shared" si="0"/>
        <v>2.3481804451283804E-2</v>
      </c>
      <c r="G21" s="130">
        <f t="shared" si="1"/>
        <v>10.319364930991602</v>
      </c>
      <c r="H21" s="130">
        <f t="shared" si="2"/>
        <v>0.56805436432011613</v>
      </c>
      <c r="I21" s="130"/>
      <c r="J21" s="69">
        <v>824</v>
      </c>
      <c r="L21" s="32"/>
      <c r="M21" s="32">
        <v>30314</v>
      </c>
      <c r="N21" s="32">
        <v>35091</v>
      </c>
      <c r="O21" s="32">
        <v>13094</v>
      </c>
      <c r="P21" s="32"/>
      <c r="Q21" s="32"/>
      <c r="R21" s="32">
        <v>17220</v>
      </c>
    </row>
    <row r="22" spans="1:18" ht="17">
      <c r="A22" s="134" t="s">
        <v>89</v>
      </c>
      <c r="B22" s="134" t="s">
        <v>200</v>
      </c>
      <c r="C22" s="134" t="s">
        <v>205</v>
      </c>
      <c r="D22" s="134">
        <v>0</v>
      </c>
      <c r="E22" s="15">
        <v>12</v>
      </c>
      <c r="F22" s="130">
        <f t="shared" si="0"/>
        <v>-2.6318835203561162</v>
      </c>
      <c r="G22" s="130">
        <f t="shared" si="1"/>
        <v>12.267280626571289</v>
      </c>
      <c r="H22" s="130">
        <f t="shared" si="2"/>
        <v>1.6672341786439913</v>
      </c>
      <c r="I22" s="130"/>
      <c r="J22" s="72">
        <v>-141898</v>
      </c>
      <c r="K22" s="24" t="s">
        <v>197</v>
      </c>
      <c r="L22" s="38" t="s">
        <v>197</v>
      </c>
      <c r="M22" s="38">
        <v>212624</v>
      </c>
      <c r="N22" s="38">
        <v>53915</v>
      </c>
      <c r="O22" s="38">
        <v>-141870</v>
      </c>
      <c r="P22" s="38" t="s">
        <v>197</v>
      </c>
      <c r="Q22" s="38" t="s">
        <v>197</v>
      </c>
      <c r="R22" s="32">
        <v>354494</v>
      </c>
    </row>
    <row r="23" spans="1:18">
      <c r="A23" s="134" t="s">
        <v>96</v>
      </c>
      <c r="B23" s="134" t="s">
        <v>200</v>
      </c>
      <c r="C23" s="134" t="s">
        <v>205</v>
      </c>
      <c r="D23" s="134">
        <v>0</v>
      </c>
      <c r="E23" s="15">
        <v>20</v>
      </c>
      <c r="F23" s="130">
        <f t="shared" si="0"/>
        <v>1.4996107105378964E-2</v>
      </c>
      <c r="G23" s="130">
        <f t="shared" si="1"/>
        <v>10.314835323802448</v>
      </c>
      <c r="H23" s="130">
        <f t="shared" si="2"/>
        <v>0.56884382145342482</v>
      </c>
      <c r="I23" s="130"/>
      <c r="J23" s="78">
        <v>443</v>
      </c>
      <c r="K23" s="16"/>
      <c r="L23" s="47"/>
      <c r="M23" s="32">
        <v>30177</v>
      </c>
      <c r="N23" s="32">
        <v>29541</v>
      </c>
      <c r="O23" s="32">
        <v>13011</v>
      </c>
      <c r="P23" s="32"/>
      <c r="Q23" s="32"/>
      <c r="R23" s="32">
        <v>17166</v>
      </c>
    </row>
    <row r="24" spans="1:18">
      <c r="A24" s="134" t="s">
        <v>98</v>
      </c>
      <c r="B24" s="134" t="s">
        <v>200</v>
      </c>
      <c r="C24" s="134" t="s">
        <v>205</v>
      </c>
      <c r="D24" s="134">
        <v>0</v>
      </c>
      <c r="E24" s="15">
        <v>10</v>
      </c>
      <c r="F24" s="130">
        <f t="shared" si="0"/>
        <v>0.13266626611822341</v>
      </c>
      <c r="G24" s="130">
        <f t="shared" si="1"/>
        <v>10.685972568448268</v>
      </c>
      <c r="H24" s="130">
        <f t="shared" si="2"/>
        <v>0.53507247702226901</v>
      </c>
      <c r="I24" s="130"/>
      <c r="J24" s="78">
        <v>5741</v>
      </c>
      <c r="K24" s="16"/>
      <c r="L24" s="47"/>
      <c r="M24" s="32">
        <v>43738</v>
      </c>
      <c r="N24" s="32">
        <v>43274</v>
      </c>
      <c r="O24" s="32">
        <v>20335</v>
      </c>
      <c r="P24" s="32"/>
      <c r="Q24" s="32"/>
      <c r="R24" s="32">
        <v>23403</v>
      </c>
    </row>
    <row r="25" spans="1:18">
      <c r="A25" s="134" t="s">
        <v>100</v>
      </c>
      <c r="B25" s="134" t="s">
        <v>200</v>
      </c>
      <c r="C25" s="134" t="s">
        <v>205</v>
      </c>
      <c r="D25" s="134">
        <v>0</v>
      </c>
      <c r="E25" s="15">
        <v>9</v>
      </c>
      <c r="F25" s="130">
        <f t="shared" si="0"/>
        <v>-2.9922073449003316E-3</v>
      </c>
      <c r="G25" s="130">
        <f t="shared" si="1"/>
        <v>10.326596095816887</v>
      </c>
      <c r="H25" s="130">
        <f t="shared" si="2"/>
        <v>0.9306019519224471</v>
      </c>
      <c r="I25" s="130"/>
      <c r="J25" s="78">
        <v>-139</v>
      </c>
      <c r="K25" s="16"/>
      <c r="L25" s="47"/>
      <c r="M25" s="32">
        <v>30534</v>
      </c>
      <c r="N25" s="32">
        <v>46454</v>
      </c>
      <c r="O25" s="32">
        <v>2119</v>
      </c>
      <c r="P25" s="32"/>
      <c r="Q25" s="32"/>
      <c r="R25" s="32">
        <v>28415</v>
      </c>
    </row>
    <row r="26" spans="1:18" ht="17">
      <c r="A26" s="134" t="s">
        <v>105</v>
      </c>
      <c r="B26" s="134" t="s">
        <v>200</v>
      </c>
      <c r="C26" s="134" t="s">
        <v>205</v>
      </c>
      <c r="D26" s="134">
        <v>0</v>
      </c>
      <c r="E26" s="15">
        <v>8</v>
      </c>
      <c r="F26" s="130">
        <f t="shared" si="0"/>
        <v>-8.8828936850519583E-2</v>
      </c>
      <c r="G26" s="130">
        <f t="shared" si="1"/>
        <v>12.835800678220464</v>
      </c>
      <c r="H26" s="130">
        <f t="shared" si="2"/>
        <v>0.90965052474561825</v>
      </c>
      <c r="I26" s="130"/>
      <c r="J26" s="72">
        <v>-1778</v>
      </c>
      <c r="K26" s="24" t="s">
        <v>197</v>
      </c>
      <c r="L26" s="38">
        <v>0</v>
      </c>
      <c r="M26" s="38">
        <v>375420</v>
      </c>
      <c r="N26" s="38">
        <v>20016</v>
      </c>
      <c r="O26" s="38">
        <v>33919</v>
      </c>
      <c r="P26" s="38">
        <v>129640</v>
      </c>
      <c r="Q26" s="38">
        <v>211861</v>
      </c>
      <c r="R26" s="32">
        <v>341501</v>
      </c>
    </row>
    <row r="27" spans="1:18" ht="17">
      <c r="A27" s="134" t="s">
        <v>106</v>
      </c>
      <c r="B27" s="134" t="s">
        <v>200</v>
      </c>
      <c r="C27" s="134" t="s">
        <v>205</v>
      </c>
      <c r="D27" s="134">
        <v>1</v>
      </c>
      <c r="E27" s="15">
        <v>4</v>
      </c>
      <c r="F27" s="130">
        <f t="shared" si="0"/>
        <v>-0.54966530737862584</v>
      </c>
      <c r="G27" s="130">
        <f t="shared" si="1"/>
        <v>12.09332379208818</v>
      </c>
      <c r="H27" s="130">
        <f t="shared" si="2"/>
        <v>0.85044354274520773</v>
      </c>
      <c r="I27" s="130"/>
      <c r="J27" s="72">
        <v>-78584</v>
      </c>
      <c r="K27" s="24" t="s">
        <v>197</v>
      </c>
      <c r="L27" s="38" t="s">
        <v>197</v>
      </c>
      <c r="M27" s="38">
        <v>178675</v>
      </c>
      <c r="N27" s="38">
        <v>142967</v>
      </c>
      <c r="O27" s="38">
        <v>26722</v>
      </c>
      <c r="P27" s="38" t="s">
        <v>197</v>
      </c>
      <c r="Q27" s="38" t="s">
        <v>197</v>
      </c>
      <c r="R27" s="32">
        <v>151953</v>
      </c>
    </row>
    <row r="28" spans="1:18" ht="17">
      <c r="A28" s="134" t="s">
        <v>107</v>
      </c>
      <c r="B28" s="134" t="s">
        <v>200</v>
      </c>
      <c r="C28" s="134" t="s">
        <v>205</v>
      </c>
      <c r="D28" s="134">
        <v>0</v>
      </c>
      <c r="E28" s="15">
        <v>3</v>
      </c>
      <c r="F28" s="130">
        <f t="shared" si="0"/>
        <v>9.9618435659724006E-3</v>
      </c>
      <c r="G28" s="130">
        <f t="shared" si="1"/>
        <v>13.299506549477837</v>
      </c>
      <c r="H28" s="130">
        <f t="shared" si="2"/>
        <v>0.68972241628008668</v>
      </c>
      <c r="I28" s="130"/>
      <c r="J28" s="72">
        <v>2710</v>
      </c>
      <c r="K28" s="24">
        <v>153</v>
      </c>
      <c r="L28" s="38">
        <v>8987</v>
      </c>
      <c r="M28" s="38">
        <v>596901</v>
      </c>
      <c r="N28" s="38">
        <v>272038</v>
      </c>
      <c r="O28" s="38">
        <v>185205</v>
      </c>
      <c r="P28" s="38">
        <v>301641</v>
      </c>
      <c r="Q28" s="38">
        <v>110055</v>
      </c>
      <c r="R28" s="32">
        <v>411696</v>
      </c>
    </row>
    <row r="29" spans="1:18" ht="17">
      <c r="A29" s="134" t="s">
        <v>111</v>
      </c>
      <c r="B29" s="134" t="s">
        <v>200</v>
      </c>
      <c r="C29" s="134" t="s">
        <v>205</v>
      </c>
      <c r="D29" s="134">
        <v>1</v>
      </c>
      <c r="E29" s="15">
        <v>1</v>
      </c>
      <c r="F29" s="130">
        <f t="shared" si="0"/>
        <v>6.763322606881432E-2</v>
      </c>
      <c r="G29" s="130">
        <f t="shared" si="1"/>
        <v>13.889179147889475</v>
      </c>
      <c r="H29" s="130">
        <f t="shared" si="2"/>
        <v>0.55477356124297461</v>
      </c>
      <c r="I29" s="130"/>
      <c r="J29" s="72">
        <v>47815</v>
      </c>
      <c r="K29" s="24">
        <v>632</v>
      </c>
      <c r="L29" s="38">
        <v>103885</v>
      </c>
      <c r="M29" s="38">
        <v>1076450</v>
      </c>
      <c r="N29" s="38">
        <v>706975</v>
      </c>
      <c r="O29" s="38">
        <v>479264</v>
      </c>
      <c r="P29" s="38">
        <v>81730</v>
      </c>
      <c r="Q29" s="38">
        <v>515456</v>
      </c>
      <c r="R29" s="32">
        <v>597186</v>
      </c>
    </row>
    <row r="30" spans="1:18">
      <c r="A30" s="134" t="s">
        <v>116</v>
      </c>
      <c r="B30" s="134" t="s">
        <v>200</v>
      </c>
      <c r="C30" s="134" t="s">
        <v>205</v>
      </c>
      <c r="D30" s="134">
        <v>0</v>
      </c>
      <c r="E30" s="15">
        <v>15</v>
      </c>
      <c r="F30" s="130">
        <f t="shared" si="0"/>
        <v>0.14341826450979378</v>
      </c>
      <c r="G30" s="130">
        <f t="shared" si="1"/>
        <v>10.292857153479407</v>
      </c>
      <c r="H30" s="130">
        <f t="shared" si="2"/>
        <v>0.7197926899495275</v>
      </c>
      <c r="I30" s="130"/>
      <c r="J30" s="78">
        <v>5550</v>
      </c>
      <c r="K30" s="16"/>
      <c r="L30" s="47"/>
      <c r="M30" s="32">
        <v>29521</v>
      </c>
      <c r="N30" s="32">
        <v>38698</v>
      </c>
      <c r="O30" s="32">
        <v>8272</v>
      </c>
      <c r="P30" s="32"/>
      <c r="Q30" s="32"/>
      <c r="R30" s="32">
        <v>21249</v>
      </c>
    </row>
    <row r="31" spans="1:18" ht="17">
      <c r="A31" s="134" t="s">
        <v>135</v>
      </c>
      <c r="B31" s="134" t="s">
        <v>200</v>
      </c>
      <c r="C31" s="134" t="s">
        <v>205</v>
      </c>
      <c r="D31" s="134">
        <v>0</v>
      </c>
      <c r="E31" s="15">
        <v>5</v>
      </c>
      <c r="F31" s="130">
        <f t="shared" si="0"/>
        <v>8.5934025203854708E-2</v>
      </c>
      <c r="G31" s="130">
        <f t="shared" si="1"/>
        <v>11.304769043464267</v>
      </c>
      <c r="H31" s="130">
        <f t="shared" si="2"/>
        <v>0.78372820411782096</v>
      </c>
      <c r="I31" s="130"/>
      <c r="J31" s="72">
        <v>4637</v>
      </c>
      <c r="K31" s="24" t="s">
        <v>197</v>
      </c>
      <c r="L31" s="38" t="s">
        <v>197</v>
      </c>
      <c r="M31" s="38">
        <v>81208</v>
      </c>
      <c r="N31" s="38">
        <v>53960</v>
      </c>
      <c r="O31" s="38">
        <v>17563</v>
      </c>
      <c r="P31" s="38" t="s">
        <v>197</v>
      </c>
      <c r="Q31" s="38" t="s">
        <v>197</v>
      </c>
      <c r="R31" s="32">
        <v>63645</v>
      </c>
    </row>
    <row r="32" spans="1:18">
      <c r="A32" s="134" t="s">
        <v>141</v>
      </c>
      <c r="B32" s="134" t="s">
        <v>200</v>
      </c>
      <c r="C32" s="134" t="s">
        <v>205</v>
      </c>
      <c r="D32" s="134">
        <v>0</v>
      </c>
      <c r="E32" s="15">
        <v>18</v>
      </c>
      <c r="F32" s="130">
        <f t="shared" si="0"/>
        <v>-1.1262517597683746E-2</v>
      </c>
      <c r="G32" s="130">
        <f t="shared" si="1"/>
        <v>10.31982665719617</v>
      </c>
      <c r="H32" s="130">
        <f t="shared" si="2"/>
        <v>0.98196386177789496</v>
      </c>
      <c r="I32" s="130"/>
      <c r="J32" s="69">
        <v>-424</v>
      </c>
      <c r="K32" s="14"/>
      <c r="L32" s="53"/>
      <c r="M32" s="47">
        <v>30328</v>
      </c>
      <c r="N32" s="32">
        <v>37647</v>
      </c>
      <c r="O32" s="32">
        <v>547</v>
      </c>
      <c r="P32" s="32"/>
      <c r="Q32" s="32"/>
      <c r="R32" s="32">
        <v>29781</v>
      </c>
    </row>
    <row r="33" spans="1:18">
      <c r="A33" s="134" t="s">
        <v>143</v>
      </c>
      <c r="B33" s="134" t="s">
        <v>200</v>
      </c>
      <c r="C33" s="134" t="s">
        <v>205</v>
      </c>
      <c r="D33" s="134">
        <v>0</v>
      </c>
      <c r="E33" s="15">
        <v>19</v>
      </c>
      <c r="F33" s="130">
        <f t="shared" si="0"/>
        <v>5.2586453272363533E-2</v>
      </c>
      <c r="G33" s="130">
        <f t="shared" si="1"/>
        <v>8.527539483470381</v>
      </c>
      <c r="H33" s="130">
        <f t="shared" si="2"/>
        <v>0.72367379255740305</v>
      </c>
      <c r="I33" s="130"/>
      <c r="J33" s="69">
        <v>1288</v>
      </c>
      <c r="K33" s="14"/>
      <c r="L33" s="47"/>
      <c r="M33" s="47">
        <v>5052</v>
      </c>
      <c r="N33" s="32">
        <v>24493</v>
      </c>
      <c r="O33" s="32">
        <v>1396</v>
      </c>
      <c r="P33" s="32"/>
      <c r="Q33" s="32"/>
      <c r="R33" s="32">
        <v>3656</v>
      </c>
    </row>
    <row r="34" spans="1:18" ht="17">
      <c r="A34" s="130" t="s">
        <v>21</v>
      </c>
      <c r="B34" s="130" t="s">
        <v>172</v>
      </c>
      <c r="C34" s="130" t="s">
        <v>205</v>
      </c>
      <c r="D34" s="130">
        <v>0</v>
      </c>
      <c r="E34" s="7">
        <v>6</v>
      </c>
      <c r="F34" s="130">
        <f t="shared" si="0"/>
        <v>0.14023885821766313</v>
      </c>
      <c r="G34" s="130">
        <f t="shared" si="1"/>
        <v>13.974365583556121</v>
      </c>
      <c r="H34" s="130">
        <f t="shared" si="2"/>
        <v>0.59194074569515631</v>
      </c>
      <c r="I34" s="130"/>
      <c r="J34" s="79">
        <v>64419</v>
      </c>
      <c r="K34" s="26">
        <v>733</v>
      </c>
      <c r="L34" s="48">
        <v>9687</v>
      </c>
      <c r="M34" s="48">
        <v>1172168</v>
      </c>
      <c r="N34" s="48">
        <v>459352</v>
      </c>
      <c r="O34" s="48">
        <v>478314</v>
      </c>
      <c r="P34" s="48">
        <v>413739</v>
      </c>
      <c r="Q34" s="48">
        <v>280115</v>
      </c>
      <c r="R34" s="35">
        <f t="shared" ref="R34:R64" si="4">P34+Q34</f>
        <v>693854</v>
      </c>
    </row>
    <row r="35" spans="1:18" ht="17">
      <c r="A35" s="130" t="s">
        <v>33</v>
      </c>
      <c r="B35" s="130" t="s">
        <v>172</v>
      </c>
      <c r="C35" s="130" t="s">
        <v>205</v>
      </c>
      <c r="D35" s="130">
        <v>0</v>
      </c>
      <c r="E35" s="7">
        <v>12</v>
      </c>
      <c r="F35" s="130">
        <f t="shared" si="0"/>
        <v>-7.8228694730129542E-2</v>
      </c>
      <c r="G35" s="130">
        <f t="shared" si="1"/>
        <v>11.675979251406526</v>
      </c>
      <c r="H35" s="130">
        <f t="shared" si="2"/>
        <v>1.3210092600458754</v>
      </c>
      <c r="I35" s="130"/>
      <c r="J35" s="79">
        <v>-10550</v>
      </c>
      <c r="K35" s="26">
        <v>582</v>
      </c>
      <c r="L35" s="48">
        <v>16700</v>
      </c>
      <c r="M35" s="48">
        <v>117710</v>
      </c>
      <c r="N35" s="48">
        <v>134861</v>
      </c>
      <c r="O35" s="48">
        <v>-37801</v>
      </c>
      <c r="P35" s="48">
        <v>32644</v>
      </c>
      <c r="Q35" s="48">
        <v>122852</v>
      </c>
      <c r="R35" s="35">
        <f t="shared" si="4"/>
        <v>155496</v>
      </c>
    </row>
    <row r="36" spans="1:18" ht="17">
      <c r="A36" s="130" t="s">
        <v>36</v>
      </c>
      <c r="B36" s="130" t="s">
        <v>172</v>
      </c>
      <c r="C36" s="130" t="s">
        <v>205</v>
      </c>
      <c r="D36" s="130">
        <v>0</v>
      </c>
      <c r="E36" s="7">
        <v>15</v>
      </c>
      <c r="F36" s="130">
        <f t="shared" si="0"/>
        <v>0.1218765740663993</v>
      </c>
      <c r="G36" s="130">
        <f t="shared" si="1"/>
        <v>11.654563906488647</v>
      </c>
      <c r="H36" s="130">
        <f t="shared" si="2"/>
        <v>2.0797545479794475</v>
      </c>
      <c r="I36" s="130"/>
      <c r="J36" s="79">
        <v>19115</v>
      </c>
      <c r="K36" s="26">
        <v>294</v>
      </c>
      <c r="L36" s="48">
        <v>180048</v>
      </c>
      <c r="M36" s="48">
        <v>115216</v>
      </c>
      <c r="N36" s="48">
        <v>156839</v>
      </c>
      <c r="O36" s="48">
        <v>-124405</v>
      </c>
      <c r="P36" s="48">
        <v>10241</v>
      </c>
      <c r="Q36" s="48">
        <v>229380</v>
      </c>
      <c r="R36" s="35">
        <f t="shared" si="4"/>
        <v>239621</v>
      </c>
    </row>
    <row r="37" spans="1:18" ht="17">
      <c r="A37" s="130" t="s">
        <v>37</v>
      </c>
      <c r="B37" s="130" t="s">
        <v>172</v>
      </c>
      <c r="C37" s="130" t="s">
        <v>205</v>
      </c>
      <c r="D37" s="130">
        <v>0</v>
      </c>
      <c r="E37" s="7">
        <v>7</v>
      </c>
      <c r="F37" s="130">
        <f t="shared" si="0"/>
        <v>0.26702880742494939</v>
      </c>
      <c r="G37" s="130">
        <f t="shared" si="1"/>
        <v>11.925803032793846</v>
      </c>
      <c r="H37" s="130">
        <f t="shared" si="2"/>
        <v>0.46465629053177693</v>
      </c>
      <c r="I37" s="130"/>
      <c r="J37" s="79">
        <v>41833</v>
      </c>
      <c r="K37" s="26">
        <v>184</v>
      </c>
      <c r="L37" s="48">
        <v>669</v>
      </c>
      <c r="M37" s="48">
        <v>151116</v>
      </c>
      <c r="N37" s="48">
        <v>156661</v>
      </c>
      <c r="O37" s="48">
        <v>80898</v>
      </c>
      <c r="P37" s="48">
        <v>11834</v>
      </c>
      <c r="Q37" s="48">
        <v>58383</v>
      </c>
      <c r="R37" s="35">
        <f t="shared" si="4"/>
        <v>70217</v>
      </c>
    </row>
    <row r="38" spans="1:18" ht="17">
      <c r="A38" s="130" t="s">
        <v>44</v>
      </c>
      <c r="B38" s="130" t="s">
        <v>172</v>
      </c>
      <c r="C38" s="130" t="s">
        <v>205</v>
      </c>
      <c r="D38" s="130">
        <v>0</v>
      </c>
      <c r="E38" s="7">
        <v>5</v>
      </c>
      <c r="F38" s="130">
        <f t="shared" si="0"/>
        <v>0.1398873954085818</v>
      </c>
      <c r="G38" s="130">
        <f t="shared" si="1"/>
        <v>13.654560984617987</v>
      </c>
      <c r="H38" s="130">
        <f t="shared" si="2"/>
        <v>0.48020814368021991</v>
      </c>
      <c r="I38" s="130"/>
      <c r="J38" s="79">
        <v>69916</v>
      </c>
      <c r="K38" s="26">
        <v>756</v>
      </c>
      <c r="L38" s="48">
        <v>0</v>
      </c>
      <c r="M38" s="48">
        <v>851335</v>
      </c>
      <c r="N38" s="48">
        <v>499802</v>
      </c>
      <c r="O38" s="48">
        <v>442518</v>
      </c>
      <c r="P38" s="48">
        <v>51190</v>
      </c>
      <c r="Q38" s="48">
        <v>357628</v>
      </c>
      <c r="R38" s="35">
        <f t="shared" si="4"/>
        <v>408818</v>
      </c>
    </row>
    <row r="39" spans="1:18" ht="17">
      <c r="A39" s="130" t="s">
        <v>47</v>
      </c>
      <c r="B39" s="130" t="s">
        <v>172</v>
      </c>
      <c r="C39" s="130" t="s">
        <v>205</v>
      </c>
      <c r="D39" s="130">
        <v>0</v>
      </c>
      <c r="E39" s="7">
        <v>11</v>
      </c>
      <c r="F39" s="130">
        <f t="shared" si="0"/>
        <v>-0.23856304790283744</v>
      </c>
      <c r="G39" s="130">
        <f t="shared" si="1"/>
        <v>12.235335287415715</v>
      </c>
      <c r="H39" s="130">
        <f t="shared" si="2"/>
        <v>0.63682449657422824</v>
      </c>
      <c r="I39" s="130"/>
      <c r="J39" s="79">
        <v>-35867</v>
      </c>
      <c r="K39" s="26">
        <v>227</v>
      </c>
      <c r="L39" s="48">
        <v>25689</v>
      </c>
      <c r="M39" s="35">
        <v>205939</v>
      </c>
      <c r="N39" s="48">
        <v>150346</v>
      </c>
      <c r="O39" s="48">
        <v>30688</v>
      </c>
      <c r="P39" s="48">
        <v>25689</v>
      </c>
      <c r="Q39" s="48">
        <v>105458</v>
      </c>
      <c r="R39" s="35">
        <f t="shared" si="4"/>
        <v>131147</v>
      </c>
    </row>
    <row r="40" spans="1:18" ht="17">
      <c r="A40" s="130" t="s">
        <v>57</v>
      </c>
      <c r="B40" s="130" t="s">
        <v>172</v>
      </c>
      <c r="C40" s="130" t="s">
        <v>205</v>
      </c>
      <c r="D40" s="130">
        <v>0</v>
      </c>
      <c r="E40" s="7">
        <v>8</v>
      </c>
      <c r="F40" s="130">
        <f t="shared" si="0"/>
        <v>-6.9231340443503847E-2</v>
      </c>
      <c r="G40" s="130">
        <f t="shared" si="1"/>
        <v>12.985012126975004</v>
      </c>
      <c r="H40" s="130">
        <f t="shared" si="2"/>
        <v>0.67757300978358637</v>
      </c>
      <c r="I40" s="130"/>
      <c r="J40" s="79">
        <v>-14917</v>
      </c>
      <c r="K40" s="26">
        <v>427</v>
      </c>
      <c r="L40" s="48">
        <v>85645</v>
      </c>
      <c r="M40" s="48">
        <v>435832</v>
      </c>
      <c r="N40" s="48">
        <v>215466</v>
      </c>
      <c r="O40" s="48">
        <v>140524</v>
      </c>
      <c r="P40" s="48">
        <v>65149</v>
      </c>
      <c r="Q40" s="48">
        <v>230159</v>
      </c>
      <c r="R40" s="35">
        <f t="shared" si="4"/>
        <v>295308</v>
      </c>
    </row>
    <row r="41" spans="1:18" ht="17">
      <c r="A41" s="130" t="s">
        <v>87</v>
      </c>
      <c r="B41" s="130" t="s">
        <v>172</v>
      </c>
      <c r="C41" s="130" t="s">
        <v>205</v>
      </c>
      <c r="D41" s="130">
        <v>0</v>
      </c>
      <c r="E41" s="7">
        <v>9</v>
      </c>
      <c r="F41" s="130">
        <f t="shared" si="0"/>
        <v>-5.7713977757091764E-2</v>
      </c>
      <c r="G41" s="130">
        <f t="shared" si="1"/>
        <v>10.971468797650715</v>
      </c>
      <c r="H41" s="130">
        <f t="shared" si="2"/>
        <v>0.31606805293005669</v>
      </c>
      <c r="I41" s="130"/>
      <c r="J41" s="79">
        <v>-1178</v>
      </c>
      <c r="K41" s="26">
        <v>167</v>
      </c>
      <c r="L41" s="48">
        <v>10200</v>
      </c>
      <c r="M41" s="48">
        <f>55521+2669</f>
        <v>58190</v>
      </c>
      <c r="N41" s="48">
        <v>20411</v>
      </c>
      <c r="O41" s="48">
        <v>35633</v>
      </c>
      <c r="P41" s="48">
        <v>8712</v>
      </c>
      <c r="Q41" s="48">
        <v>9680</v>
      </c>
      <c r="R41" s="35">
        <f t="shared" si="4"/>
        <v>18392</v>
      </c>
    </row>
    <row r="42" spans="1:18" ht="17">
      <c r="A42" s="130" t="s">
        <v>90</v>
      </c>
      <c r="B42" s="130" t="s">
        <v>172</v>
      </c>
      <c r="C42" s="130" t="s">
        <v>205</v>
      </c>
      <c r="D42" s="130">
        <v>0</v>
      </c>
      <c r="E42" s="7">
        <v>4</v>
      </c>
      <c r="F42" s="130">
        <f t="shared" si="0"/>
        <v>0.23293381869250104</v>
      </c>
      <c r="G42" s="130">
        <f t="shared" si="1"/>
        <v>13.539655601956079</v>
      </c>
      <c r="H42" s="130">
        <f t="shared" si="2"/>
        <v>0.68749003522096441</v>
      </c>
      <c r="I42" s="130"/>
      <c r="J42" s="79">
        <v>120748</v>
      </c>
      <c r="K42" s="26">
        <v>837</v>
      </c>
      <c r="L42" s="48">
        <v>113815</v>
      </c>
      <c r="M42" s="48">
        <v>758923</v>
      </c>
      <c r="N42" s="48">
        <v>518379</v>
      </c>
      <c r="O42" s="48">
        <v>237172</v>
      </c>
      <c r="P42" s="48">
        <v>140346</v>
      </c>
      <c r="Q42" s="48">
        <v>381406</v>
      </c>
      <c r="R42" s="35">
        <f t="shared" si="4"/>
        <v>521752</v>
      </c>
    </row>
    <row r="43" spans="1:18" ht="17">
      <c r="A43" s="130" t="s">
        <v>94</v>
      </c>
      <c r="B43" s="130" t="s">
        <v>172</v>
      </c>
      <c r="C43" s="130" t="s">
        <v>205</v>
      </c>
      <c r="D43" s="130">
        <v>1</v>
      </c>
      <c r="E43" s="7">
        <v>1</v>
      </c>
      <c r="F43" s="130">
        <f t="shared" si="0"/>
        <v>2.0856159162066044E-2</v>
      </c>
      <c r="G43" s="130">
        <f t="shared" si="1"/>
        <v>14.123001140047874</v>
      </c>
      <c r="H43" s="130">
        <f t="shared" si="2"/>
        <v>0.38123525743966213</v>
      </c>
      <c r="I43" s="130"/>
      <c r="J43" s="79">
        <v>11764</v>
      </c>
      <c r="K43" s="26">
        <v>449</v>
      </c>
      <c r="L43" s="48">
        <v>14797</v>
      </c>
      <c r="M43" s="48">
        <v>1360008</v>
      </c>
      <c r="N43" s="48">
        <v>564054</v>
      </c>
      <c r="O43" s="48">
        <v>841525</v>
      </c>
      <c r="P43" s="48">
        <v>125666</v>
      </c>
      <c r="Q43" s="48">
        <v>392817</v>
      </c>
      <c r="R43" s="35">
        <f t="shared" si="4"/>
        <v>518483</v>
      </c>
    </row>
    <row r="44" spans="1:18" ht="17">
      <c r="A44" s="130" t="s">
        <v>95</v>
      </c>
      <c r="B44" s="130" t="s">
        <v>172</v>
      </c>
      <c r="C44" s="130" t="s">
        <v>205</v>
      </c>
      <c r="D44" s="130">
        <v>0</v>
      </c>
      <c r="E44" s="7">
        <v>2</v>
      </c>
      <c r="F44" s="130">
        <f t="shared" si="0"/>
        <v>-6.3804339976891972E-2</v>
      </c>
      <c r="G44" s="130">
        <f t="shared" si="1"/>
        <v>14.370646038580784</v>
      </c>
      <c r="H44" s="130">
        <f t="shared" si="2"/>
        <v>0.72369053201827371</v>
      </c>
      <c r="I44" s="130"/>
      <c r="J44" s="79">
        <v>-42411</v>
      </c>
      <c r="K44" s="26">
        <v>922</v>
      </c>
      <c r="L44" s="48">
        <v>4227</v>
      </c>
      <c r="M44" s="48">
        <v>1742177</v>
      </c>
      <c r="N44" s="48">
        <v>664704</v>
      </c>
      <c r="O44" s="48">
        <v>481380</v>
      </c>
      <c r="P44" s="48">
        <v>740699</v>
      </c>
      <c r="Q44" s="48">
        <v>520098</v>
      </c>
      <c r="R44" s="35">
        <f t="shared" si="4"/>
        <v>1260797</v>
      </c>
    </row>
    <row r="45" spans="1:18" ht="17">
      <c r="A45" s="130" t="s">
        <v>102</v>
      </c>
      <c r="B45" s="130" t="s">
        <v>172</v>
      </c>
      <c r="C45" s="130" t="s">
        <v>205</v>
      </c>
      <c r="D45" s="130">
        <v>0</v>
      </c>
      <c r="E45" s="7">
        <v>10</v>
      </c>
      <c r="F45" s="130">
        <f t="shared" si="0"/>
        <v>0.10445476145502987</v>
      </c>
      <c r="G45" s="130">
        <f t="shared" si="1"/>
        <v>12.551755901591676</v>
      </c>
      <c r="H45" s="130">
        <f t="shared" si="2"/>
        <v>1.0047453740564987</v>
      </c>
      <c r="I45" s="130"/>
      <c r="J45" s="79">
        <v>21014</v>
      </c>
      <c r="K45" s="26">
        <v>271</v>
      </c>
      <c r="L45" s="48">
        <v>39386</v>
      </c>
      <c r="M45" s="48">
        <v>282591</v>
      </c>
      <c r="N45" s="48">
        <v>201178</v>
      </c>
      <c r="O45" s="48">
        <v>-1341</v>
      </c>
      <c r="P45" s="48">
        <v>169957</v>
      </c>
      <c r="Q45" s="48">
        <v>113975</v>
      </c>
      <c r="R45" s="35">
        <f t="shared" si="4"/>
        <v>283932</v>
      </c>
    </row>
    <row r="46" spans="1:18" ht="17">
      <c r="A46" s="130" t="s">
        <v>129</v>
      </c>
      <c r="B46" s="130" t="s">
        <v>172</v>
      </c>
      <c r="C46" s="130" t="s">
        <v>205</v>
      </c>
      <c r="D46" s="130">
        <v>0</v>
      </c>
      <c r="E46" s="7">
        <v>17</v>
      </c>
      <c r="F46" s="130">
        <f t="shared" si="0"/>
        <v>0.18651180306897727</v>
      </c>
      <c r="G46" s="130">
        <f t="shared" si="1"/>
        <v>12.569437164286198</v>
      </c>
      <c r="H46" s="130">
        <f t="shared" si="2"/>
        <v>0.63194637592479275</v>
      </c>
      <c r="I46" s="130"/>
      <c r="J46" s="79">
        <v>31201</v>
      </c>
      <c r="K46" s="26">
        <v>385</v>
      </c>
      <c r="L46" s="48">
        <v>46366</v>
      </c>
      <c r="M46" s="48">
        <v>287632</v>
      </c>
      <c r="N46" s="48">
        <v>167287</v>
      </c>
      <c r="O46" s="48">
        <v>105864</v>
      </c>
      <c r="P46" s="48">
        <v>57193</v>
      </c>
      <c r="Q46" s="48">
        <v>124575</v>
      </c>
      <c r="R46" s="35">
        <f t="shared" si="4"/>
        <v>181768</v>
      </c>
    </row>
    <row r="47" spans="1:18" ht="17">
      <c r="A47" s="130" t="s">
        <v>140</v>
      </c>
      <c r="B47" s="130" t="s">
        <v>172</v>
      </c>
      <c r="C47" s="130" t="s">
        <v>205</v>
      </c>
      <c r="D47" s="130">
        <v>0</v>
      </c>
      <c r="E47" s="7">
        <v>3</v>
      </c>
      <c r="F47" s="130">
        <f t="shared" si="0"/>
        <v>0.29670035145288948</v>
      </c>
      <c r="G47" s="130">
        <f t="shared" si="1"/>
        <v>14.197019665450178</v>
      </c>
      <c r="H47" s="130">
        <f t="shared" si="2"/>
        <v>0.74204997907125536</v>
      </c>
      <c r="I47" s="130"/>
      <c r="J47" s="79">
        <v>127307</v>
      </c>
      <c r="K47" s="26">
        <v>485</v>
      </c>
      <c r="L47" s="48">
        <v>639</v>
      </c>
      <c r="M47" s="48">
        <v>1464493</v>
      </c>
      <c r="N47" s="48">
        <v>429076</v>
      </c>
      <c r="O47" s="48">
        <v>377766</v>
      </c>
      <c r="P47" s="48">
        <v>768549</v>
      </c>
      <c r="Q47" s="48">
        <v>318178</v>
      </c>
      <c r="R47" s="35">
        <f t="shared" si="4"/>
        <v>1086727</v>
      </c>
    </row>
    <row r="48" spans="1:18" ht="17">
      <c r="A48" s="130" t="s">
        <v>148</v>
      </c>
      <c r="B48" s="130" t="s">
        <v>172</v>
      </c>
      <c r="C48" s="130" t="s">
        <v>205</v>
      </c>
      <c r="D48" s="130">
        <v>0</v>
      </c>
      <c r="E48" s="7">
        <v>14</v>
      </c>
      <c r="F48" s="130">
        <f t="shared" si="0"/>
        <v>-0.23963436574496941</v>
      </c>
      <c r="G48" s="130">
        <f t="shared" si="1"/>
        <v>12.278783928481756</v>
      </c>
      <c r="H48" s="130">
        <f t="shared" si="2"/>
        <v>1.1460266686503877</v>
      </c>
      <c r="I48" s="130"/>
      <c r="J48" s="79">
        <v>-34631</v>
      </c>
      <c r="K48" s="26">
        <v>292</v>
      </c>
      <c r="L48" s="48">
        <v>26531</v>
      </c>
      <c r="M48" s="48">
        <v>215084</v>
      </c>
      <c r="N48" s="48">
        <v>144516</v>
      </c>
      <c r="O48" s="48">
        <v>-31408</v>
      </c>
      <c r="P48" s="48">
        <v>107005</v>
      </c>
      <c r="Q48" s="48">
        <v>139487</v>
      </c>
      <c r="R48" s="35">
        <f t="shared" si="4"/>
        <v>246492</v>
      </c>
    </row>
    <row r="49" spans="1:18" ht="17">
      <c r="A49" s="130" t="s">
        <v>150</v>
      </c>
      <c r="B49" s="130" t="s">
        <v>172</v>
      </c>
      <c r="C49" s="130" t="s">
        <v>205</v>
      </c>
      <c r="D49" s="130">
        <v>0</v>
      </c>
      <c r="E49" s="7">
        <v>13</v>
      </c>
      <c r="F49" s="130">
        <f t="shared" si="0"/>
        <v>0.1042697214267118</v>
      </c>
      <c r="G49" s="130">
        <f t="shared" si="1"/>
        <v>12.253981469052059</v>
      </c>
      <c r="H49" s="130">
        <f t="shared" si="2"/>
        <v>1.275985987655792</v>
      </c>
      <c r="I49" s="130"/>
      <c r="J49" s="79">
        <v>20826</v>
      </c>
      <c r="K49" s="26">
        <v>435</v>
      </c>
      <c r="L49" s="48">
        <v>89518</v>
      </c>
      <c r="M49" s="48">
        <v>209815</v>
      </c>
      <c r="N49" s="48">
        <v>199732</v>
      </c>
      <c r="O49" s="48">
        <v>-57906</v>
      </c>
      <c r="P49" s="48">
        <v>88784</v>
      </c>
      <c r="Q49" s="48">
        <v>178937</v>
      </c>
      <c r="R49" s="35">
        <f t="shared" si="4"/>
        <v>267721</v>
      </c>
    </row>
    <row r="50" spans="1:18" ht="17">
      <c r="A50" s="132" t="s">
        <v>3</v>
      </c>
      <c r="B50" s="132" t="s">
        <v>198</v>
      </c>
      <c r="C50" s="132" t="s">
        <v>205</v>
      </c>
      <c r="D50" s="132">
        <v>1</v>
      </c>
      <c r="E50" s="10">
        <v>6</v>
      </c>
      <c r="F50" s="130">
        <f t="shared" si="0"/>
        <v>-0.50478673972953925</v>
      </c>
      <c r="G50" s="130">
        <f t="shared" si="1"/>
        <v>12.983480548495667</v>
      </c>
      <c r="H50" s="130">
        <f t="shared" si="2"/>
        <v>1.0828260544850803</v>
      </c>
      <c r="I50" s="130"/>
      <c r="J50" s="99">
        <v>-126019</v>
      </c>
      <c r="K50" s="100">
        <v>339</v>
      </c>
      <c r="L50" s="101">
        <v>140271</v>
      </c>
      <c r="M50" s="101">
        <v>435165</v>
      </c>
      <c r="N50" s="101">
        <v>249648</v>
      </c>
      <c r="O50" s="101">
        <v>-36043</v>
      </c>
      <c r="P50" s="101">
        <v>46042</v>
      </c>
      <c r="Q50" s="101">
        <v>425166</v>
      </c>
      <c r="R50" s="102">
        <f t="shared" si="4"/>
        <v>471208</v>
      </c>
    </row>
    <row r="51" spans="1:18" ht="17">
      <c r="A51" s="132" t="s">
        <v>25</v>
      </c>
      <c r="B51" s="132" t="s">
        <v>198</v>
      </c>
      <c r="C51" s="132" t="s">
        <v>205</v>
      </c>
      <c r="D51" s="132">
        <v>0</v>
      </c>
      <c r="E51" s="10">
        <v>7</v>
      </c>
      <c r="F51" s="130">
        <f t="shared" si="0"/>
        <v>0.15663300355035664</v>
      </c>
      <c r="G51" s="130">
        <f t="shared" si="1"/>
        <v>12.043194828110421</v>
      </c>
      <c r="H51" s="130">
        <f t="shared" si="2"/>
        <v>0.69616744831969113</v>
      </c>
      <c r="I51" s="130"/>
      <c r="J51" s="99">
        <v>24397</v>
      </c>
      <c r="K51" s="100">
        <v>156</v>
      </c>
      <c r="L51" s="101">
        <v>1049</v>
      </c>
      <c r="M51" s="101">
        <v>169939</v>
      </c>
      <c r="N51" s="101">
        <v>155759</v>
      </c>
      <c r="O51" s="101">
        <v>51632</v>
      </c>
      <c r="P51" s="101">
        <v>43758</v>
      </c>
      <c r="Q51" s="101">
        <v>74548</v>
      </c>
      <c r="R51" s="102">
        <f t="shared" si="4"/>
        <v>118306</v>
      </c>
    </row>
    <row r="52" spans="1:18" ht="17">
      <c r="A52" s="132" t="s">
        <v>32</v>
      </c>
      <c r="B52" s="132" t="s">
        <v>198</v>
      </c>
      <c r="C52" s="132" t="s">
        <v>205</v>
      </c>
      <c r="D52" s="132">
        <v>0</v>
      </c>
      <c r="E52" s="10">
        <v>15</v>
      </c>
      <c r="F52" s="130">
        <f t="shared" si="0"/>
        <v>-5.1920486990249419E-2</v>
      </c>
      <c r="G52" s="130">
        <f t="shared" si="1"/>
        <v>11.66899715561698</v>
      </c>
      <c r="H52" s="130">
        <f t="shared" si="2"/>
        <v>0.73926991812885512</v>
      </c>
      <c r="I52" s="130"/>
      <c r="J52" s="99">
        <v>-4819</v>
      </c>
      <c r="K52" s="100">
        <v>172</v>
      </c>
      <c r="L52" s="101">
        <v>9819</v>
      </c>
      <c r="M52" s="101">
        <v>116891</v>
      </c>
      <c r="N52" s="101">
        <v>92815</v>
      </c>
      <c r="O52" s="101">
        <v>30477</v>
      </c>
      <c r="P52" s="101">
        <v>31422</v>
      </c>
      <c r="Q52" s="101">
        <v>54992</v>
      </c>
      <c r="R52" s="102">
        <f t="shared" si="4"/>
        <v>86414</v>
      </c>
    </row>
    <row r="53" spans="1:18" ht="17">
      <c r="A53" s="132" t="s">
        <v>59</v>
      </c>
      <c r="B53" s="132" t="s">
        <v>198</v>
      </c>
      <c r="C53" s="132" t="s">
        <v>205</v>
      </c>
      <c r="D53" s="132">
        <v>0</v>
      </c>
      <c r="E53" s="10">
        <v>8</v>
      </c>
      <c r="F53" s="130">
        <f t="shared" si="0"/>
        <v>-0.14004128462387788</v>
      </c>
      <c r="G53" s="130">
        <f t="shared" si="1"/>
        <v>12.353267762848551</v>
      </c>
      <c r="H53" s="130">
        <f t="shared" si="2"/>
        <v>0.61219337464827639</v>
      </c>
      <c r="I53" s="130"/>
      <c r="J53" s="99">
        <v>-14586</v>
      </c>
      <c r="K53" s="100">
        <v>183</v>
      </c>
      <c r="L53" s="101">
        <v>12930</v>
      </c>
      <c r="M53" s="101">
        <v>231716</v>
      </c>
      <c r="N53" s="101">
        <v>104155</v>
      </c>
      <c r="O53" s="101">
        <v>89862</v>
      </c>
      <c r="P53" s="101">
        <v>39587</v>
      </c>
      <c r="Q53" s="101">
        <v>102268</v>
      </c>
      <c r="R53" s="102">
        <f t="shared" si="4"/>
        <v>141855</v>
      </c>
    </row>
    <row r="54" spans="1:18" ht="17">
      <c r="A54" s="132" t="s">
        <v>65</v>
      </c>
      <c r="B54" s="132" t="s">
        <v>198</v>
      </c>
      <c r="C54" s="132" t="s">
        <v>205</v>
      </c>
      <c r="D54" s="132">
        <v>0</v>
      </c>
      <c r="E54" s="10">
        <v>12</v>
      </c>
      <c r="F54" s="130">
        <f t="shared" si="0"/>
        <v>-3.9816433925243616E-2</v>
      </c>
      <c r="G54" s="130">
        <f t="shared" si="1"/>
        <v>12.299248731593673</v>
      </c>
      <c r="H54" s="130">
        <f t="shared" si="2"/>
        <v>1.0715252060073521</v>
      </c>
      <c r="I54" s="130"/>
      <c r="J54" s="99">
        <v>-4850</v>
      </c>
      <c r="K54" s="100">
        <v>163</v>
      </c>
      <c r="L54" s="101">
        <v>30197</v>
      </c>
      <c r="M54" s="101">
        <v>219531</v>
      </c>
      <c r="N54" s="101">
        <v>121809</v>
      </c>
      <c r="O54" s="101">
        <v>-15703</v>
      </c>
      <c r="P54" s="101">
        <v>86208</v>
      </c>
      <c r="Q54" s="101">
        <v>149025</v>
      </c>
      <c r="R54" s="102">
        <f t="shared" si="4"/>
        <v>235233</v>
      </c>
    </row>
    <row r="55" spans="1:18" ht="17">
      <c r="A55" s="132" t="s">
        <v>75</v>
      </c>
      <c r="B55" s="132" t="s">
        <v>198</v>
      </c>
      <c r="C55" s="132" t="s">
        <v>205</v>
      </c>
      <c r="D55" s="132">
        <v>1</v>
      </c>
      <c r="E55" s="10">
        <v>4</v>
      </c>
      <c r="F55" s="130">
        <f t="shared" si="0"/>
        <v>-5.1165739646675694E-2</v>
      </c>
      <c r="G55" s="130">
        <f t="shared" si="1"/>
        <v>13.653364500117695</v>
      </c>
      <c r="H55" s="130">
        <f t="shared" si="2"/>
        <v>0.99549226935366453</v>
      </c>
      <c r="I55" s="130"/>
      <c r="J55" s="99">
        <v>-17754</v>
      </c>
      <c r="K55" s="100">
        <v>449</v>
      </c>
      <c r="L55" s="101">
        <v>6251</v>
      </c>
      <c r="M55" s="101">
        <v>850317</v>
      </c>
      <c r="N55" s="101">
        <v>346990</v>
      </c>
      <c r="O55" s="101">
        <v>3832</v>
      </c>
      <c r="P55" s="101">
        <v>426048</v>
      </c>
      <c r="Q55" s="101">
        <v>420436</v>
      </c>
      <c r="R55" s="102">
        <f t="shared" si="4"/>
        <v>846484</v>
      </c>
    </row>
    <row r="56" spans="1:18" ht="17">
      <c r="A56" s="132" t="s">
        <v>77</v>
      </c>
      <c r="B56" s="132" t="s">
        <v>198</v>
      </c>
      <c r="C56" s="132" t="s">
        <v>205</v>
      </c>
      <c r="D56" s="132">
        <v>0</v>
      </c>
      <c r="E56" s="10">
        <v>1</v>
      </c>
      <c r="F56" s="130">
        <f t="shared" si="0"/>
        <v>-3.8104183137858676E-2</v>
      </c>
      <c r="G56" s="130">
        <f t="shared" si="1"/>
        <v>13.557604739837775</v>
      </c>
      <c r="H56" s="130">
        <f t="shared" si="2"/>
        <v>0.90675814191865067</v>
      </c>
      <c r="I56" s="130"/>
      <c r="J56" s="99">
        <v>-19230</v>
      </c>
      <c r="K56" s="100">
        <v>236</v>
      </c>
      <c r="L56" s="101">
        <v>52393</v>
      </c>
      <c r="M56" s="101">
        <v>772668</v>
      </c>
      <c r="N56" s="101">
        <v>504669</v>
      </c>
      <c r="O56" s="101">
        <v>72045</v>
      </c>
      <c r="P56" s="101">
        <v>387945</v>
      </c>
      <c r="Q56" s="101">
        <v>312678</v>
      </c>
      <c r="R56" s="102">
        <f t="shared" si="4"/>
        <v>700623</v>
      </c>
    </row>
    <row r="57" spans="1:18" ht="17">
      <c r="A57" s="132" t="s">
        <v>83</v>
      </c>
      <c r="B57" s="132" t="s">
        <v>198</v>
      </c>
      <c r="C57" s="132" t="s">
        <v>205</v>
      </c>
      <c r="D57" s="132">
        <v>0</v>
      </c>
      <c r="E57" s="10">
        <v>5</v>
      </c>
      <c r="F57" s="130">
        <f t="shared" si="0"/>
        <v>0.19335662161041545</v>
      </c>
      <c r="G57" s="130">
        <f t="shared" si="1"/>
        <v>12.445640575258526</v>
      </c>
      <c r="H57" s="130">
        <f t="shared" si="2"/>
        <v>0.77350279373573616</v>
      </c>
      <c r="I57" s="130"/>
      <c r="J57" s="99">
        <v>37307</v>
      </c>
      <c r="K57" s="100">
        <v>188</v>
      </c>
      <c r="L57" s="101">
        <v>0</v>
      </c>
      <c r="M57" s="101">
        <v>254140</v>
      </c>
      <c r="N57" s="101">
        <v>192944</v>
      </c>
      <c r="O57" s="101">
        <v>57562</v>
      </c>
      <c r="P57" s="101">
        <v>96722</v>
      </c>
      <c r="Q57" s="101">
        <v>99856</v>
      </c>
      <c r="R57" s="102">
        <f t="shared" si="4"/>
        <v>196578</v>
      </c>
    </row>
    <row r="58" spans="1:18" ht="17">
      <c r="A58" s="132" t="s">
        <v>101</v>
      </c>
      <c r="B58" s="132" t="s">
        <v>198</v>
      </c>
      <c r="C58" s="132" t="s">
        <v>205</v>
      </c>
      <c r="D58" s="132">
        <v>0</v>
      </c>
      <c r="E58" s="10">
        <v>2</v>
      </c>
      <c r="F58" s="130">
        <f t="shared" si="0"/>
        <v>-3.4373954973517008E-2</v>
      </c>
      <c r="G58" s="130">
        <f t="shared" si="1"/>
        <v>12.555090851319905</v>
      </c>
      <c r="H58" s="130">
        <f t="shared" si="2"/>
        <v>0.58996596540109691</v>
      </c>
      <c r="I58" s="130"/>
      <c r="J58" s="99">
        <v>-6373</v>
      </c>
      <c r="K58" s="100">
        <v>105</v>
      </c>
      <c r="L58" s="101">
        <v>0</v>
      </c>
      <c r="M58" s="101">
        <v>283535</v>
      </c>
      <c r="N58" s="101">
        <v>185402</v>
      </c>
      <c r="O58" s="101">
        <v>116259</v>
      </c>
      <c r="P58" s="101">
        <v>55567</v>
      </c>
      <c r="Q58" s="101">
        <v>111709</v>
      </c>
      <c r="R58" s="102">
        <f t="shared" si="4"/>
        <v>167276</v>
      </c>
    </row>
    <row r="59" spans="1:18" ht="17">
      <c r="A59" s="132" t="s">
        <v>121</v>
      </c>
      <c r="B59" s="132" t="s">
        <v>198</v>
      </c>
      <c r="C59" s="132" t="s">
        <v>205</v>
      </c>
      <c r="D59" s="132">
        <v>1</v>
      </c>
      <c r="E59" s="10">
        <v>3</v>
      </c>
      <c r="F59" s="130">
        <f t="shared" si="0"/>
        <v>-7.9596927005453594E-2</v>
      </c>
      <c r="G59" s="130">
        <f t="shared" si="1"/>
        <v>13.074724450307126</v>
      </c>
      <c r="H59" s="130">
        <f t="shared" si="2"/>
        <v>1.2211356738173298</v>
      </c>
      <c r="I59" s="130"/>
      <c r="J59" s="99">
        <v>-25498</v>
      </c>
      <c r="K59" s="100">
        <v>348</v>
      </c>
      <c r="L59" s="101">
        <v>37762</v>
      </c>
      <c r="M59" s="101">
        <v>476739</v>
      </c>
      <c r="N59" s="101">
        <v>320339</v>
      </c>
      <c r="O59" s="101">
        <v>-105424</v>
      </c>
      <c r="P59" s="101">
        <v>342188</v>
      </c>
      <c r="Q59" s="101">
        <v>239975</v>
      </c>
      <c r="R59" s="102">
        <f t="shared" si="4"/>
        <v>582163</v>
      </c>
    </row>
    <row r="60" spans="1:18" ht="17">
      <c r="A60" s="132" t="s">
        <v>123</v>
      </c>
      <c r="B60" s="132" t="s">
        <v>198</v>
      </c>
      <c r="C60" s="132" t="s">
        <v>205</v>
      </c>
      <c r="D60" s="132">
        <v>0</v>
      </c>
      <c r="E60" s="10">
        <v>10</v>
      </c>
      <c r="F60" s="130">
        <f t="shared" si="0"/>
        <v>8.6712854049309701E-2</v>
      </c>
      <c r="G60" s="130">
        <f t="shared" si="1"/>
        <v>12.322476953400276</v>
      </c>
      <c r="H60" s="130">
        <f t="shared" si="2"/>
        <v>0.79970626196092398</v>
      </c>
      <c r="I60" s="130"/>
      <c r="J60" s="99">
        <v>12053</v>
      </c>
      <c r="K60" s="100">
        <v>158</v>
      </c>
      <c r="L60" s="101">
        <v>13720</v>
      </c>
      <c r="M60" s="101">
        <v>224690</v>
      </c>
      <c r="N60" s="101">
        <v>138999</v>
      </c>
      <c r="O60" s="101">
        <v>45004</v>
      </c>
      <c r="P60" s="101">
        <v>56529</v>
      </c>
      <c r="Q60" s="101">
        <v>123157</v>
      </c>
      <c r="R60" s="102">
        <f t="shared" si="4"/>
        <v>179686</v>
      </c>
    </row>
    <row r="61" spans="1:18" ht="17">
      <c r="A61" s="132" t="s">
        <v>124</v>
      </c>
      <c r="B61" s="132" t="s">
        <v>198</v>
      </c>
      <c r="C61" s="132" t="s">
        <v>205</v>
      </c>
      <c r="D61" s="132">
        <v>0</v>
      </c>
      <c r="E61" s="10">
        <v>11</v>
      </c>
      <c r="F61" s="130">
        <f t="shared" si="0"/>
        <v>7.7692777290243806E-2</v>
      </c>
      <c r="G61" s="130">
        <f t="shared" si="1"/>
        <v>12.074082921067221</v>
      </c>
      <c r="H61" s="130">
        <f t="shared" si="2"/>
        <v>0.84461687681862274</v>
      </c>
      <c r="I61" s="130"/>
      <c r="J61" s="99">
        <v>8145</v>
      </c>
      <c r="K61" s="100">
        <v>159</v>
      </c>
      <c r="L61" s="101">
        <v>26649</v>
      </c>
      <c r="M61" s="101">
        <v>175270</v>
      </c>
      <c r="N61" s="101">
        <v>104836</v>
      </c>
      <c r="O61" s="101">
        <v>27233</v>
      </c>
      <c r="P61" s="101">
        <v>41128</v>
      </c>
      <c r="Q61" s="101">
        <v>106908</v>
      </c>
      <c r="R61" s="102">
        <f t="shared" si="4"/>
        <v>148036</v>
      </c>
    </row>
    <row r="62" spans="1:18" ht="17">
      <c r="A62" s="132" t="s">
        <v>139</v>
      </c>
      <c r="B62" s="132" t="s">
        <v>198</v>
      </c>
      <c r="C62" s="132" t="s">
        <v>205</v>
      </c>
      <c r="D62" s="132">
        <v>0</v>
      </c>
      <c r="E62" s="10">
        <v>9</v>
      </c>
      <c r="F62" s="130">
        <f t="shared" si="0"/>
        <v>-0.13280477847965277</v>
      </c>
      <c r="G62" s="130">
        <f t="shared" si="1"/>
        <v>11.904460667544894</v>
      </c>
      <c r="H62" s="130">
        <f t="shared" si="2"/>
        <v>0.6740172384654386</v>
      </c>
      <c r="I62" s="130"/>
      <c r="J62" s="99">
        <v>-12362</v>
      </c>
      <c r="K62" s="100">
        <v>148</v>
      </c>
      <c r="L62" s="101">
        <v>0</v>
      </c>
      <c r="M62" s="101">
        <v>147925</v>
      </c>
      <c r="N62" s="101">
        <v>93084</v>
      </c>
      <c r="O62" s="101">
        <v>48221</v>
      </c>
      <c r="P62" s="101">
        <v>34112</v>
      </c>
      <c r="Q62" s="101">
        <v>65592</v>
      </c>
      <c r="R62" s="102">
        <f t="shared" si="4"/>
        <v>99704</v>
      </c>
    </row>
    <row r="63" spans="1:18" ht="17">
      <c r="A63" s="132" t="s">
        <v>144</v>
      </c>
      <c r="B63" s="132" t="s">
        <v>198</v>
      </c>
      <c r="C63" s="132" t="s">
        <v>205</v>
      </c>
      <c r="D63" s="132">
        <v>0</v>
      </c>
      <c r="E63" s="10">
        <v>14</v>
      </c>
      <c r="F63" s="130">
        <f t="shared" si="0"/>
        <v>-0.21624448392458021</v>
      </c>
      <c r="G63" s="130">
        <f t="shared" si="1"/>
        <v>11.744251448691996</v>
      </c>
      <c r="H63" s="130">
        <f t="shared" si="2"/>
        <v>0.97325176351099363</v>
      </c>
      <c r="I63" s="130"/>
      <c r="J63" s="99">
        <v>-15093</v>
      </c>
      <c r="K63" s="100">
        <v>111</v>
      </c>
      <c r="L63" s="101">
        <v>2505</v>
      </c>
      <c r="M63" s="101">
        <v>126027</v>
      </c>
      <c r="N63" s="101">
        <v>69796</v>
      </c>
      <c r="O63" s="101">
        <v>3371</v>
      </c>
      <c r="P63" s="101">
        <v>52065</v>
      </c>
      <c r="Q63" s="101">
        <v>70591</v>
      </c>
      <c r="R63" s="102">
        <f t="shared" si="4"/>
        <v>122656</v>
      </c>
    </row>
    <row r="64" spans="1:18">
      <c r="A64" s="132" t="s">
        <v>155</v>
      </c>
      <c r="B64" s="132" t="s">
        <v>198</v>
      </c>
      <c r="C64" s="132" t="s">
        <v>205</v>
      </c>
      <c r="D64" s="132">
        <v>0</v>
      </c>
      <c r="E64" s="10">
        <v>19</v>
      </c>
      <c r="F64" s="130">
        <f t="shared" si="0"/>
        <v>0.12625400213447172</v>
      </c>
      <c r="G64" s="130">
        <f t="shared" si="1"/>
        <v>11.535997252537985</v>
      </c>
      <c r="H64" s="130">
        <f t="shared" si="2"/>
        <v>0.78687435261008076</v>
      </c>
      <c r="I64" s="130"/>
      <c r="J64" s="103">
        <v>8281</v>
      </c>
      <c r="K64" s="9">
        <v>142</v>
      </c>
      <c r="L64" s="102">
        <v>5774</v>
      </c>
      <c r="M64" s="102">
        <v>102334</v>
      </c>
      <c r="N64" s="102">
        <v>65590</v>
      </c>
      <c r="O64" s="102">
        <f>M64-R64</f>
        <v>21810</v>
      </c>
      <c r="P64" s="102">
        <v>33767</v>
      </c>
      <c r="Q64" s="102">
        <v>46757</v>
      </c>
      <c r="R64" s="102">
        <f t="shared" si="4"/>
        <v>80524</v>
      </c>
    </row>
    <row r="65" spans="1:18">
      <c r="A65" s="133" t="s">
        <v>9</v>
      </c>
      <c r="B65" s="133" t="s">
        <v>199</v>
      </c>
      <c r="C65" s="133" t="s">
        <v>205</v>
      </c>
      <c r="D65" s="133">
        <v>0</v>
      </c>
      <c r="E65" s="135">
        <v>11</v>
      </c>
      <c r="F65" s="130">
        <f t="shared" si="0"/>
        <v>-6.097560975609756E-2</v>
      </c>
      <c r="G65" s="130">
        <f t="shared" si="1"/>
        <v>11.941019268638666</v>
      </c>
      <c r="H65" s="130">
        <f t="shared" si="2"/>
        <v>0.88785333011803202</v>
      </c>
      <c r="I65" s="130"/>
      <c r="J65" s="69">
        <v>-5345</v>
      </c>
      <c r="L65" s="32">
        <v>65437</v>
      </c>
      <c r="M65" s="32">
        <v>153433</v>
      </c>
      <c r="N65" s="32">
        <v>87658</v>
      </c>
      <c r="O65" s="32">
        <f>M65-R65</f>
        <v>17207</v>
      </c>
      <c r="P65" s="32"/>
      <c r="Q65" s="32"/>
      <c r="R65" s="32">
        <v>136226</v>
      </c>
    </row>
    <row r="66" spans="1:18">
      <c r="A66" s="133" t="s">
        <v>13</v>
      </c>
      <c r="B66" s="133" t="s">
        <v>199</v>
      </c>
      <c r="C66" s="133" t="s">
        <v>205</v>
      </c>
      <c r="D66" s="133">
        <v>0</v>
      </c>
      <c r="E66" s="135">
        <v>12</v>
      </c>
      <c r="F66" s="130">
        <f t="shared" ref="F66:F129" si="5">J66/N66</f>
        <v>6.9697066734981425E-2</v>
      </c>
      <c r="G66" s="130">
        <f t="shared" ref="G66:G129" si="6">LN(M66)</f>
        <v>12.489132803371254</v>
      </c>
      <c r="H66" s="130">
        <f t="shared" ref="H66:H129" si="7">R66/M66</f>
        <v>0.95946307410044573</v>
      </c>
      <c r="I66" s="130"/>
      <c r="J66" s="69">
        <v>4353</v>
      </c>
      <c r="L66" s="32">
        <v>26361</v>
      </c>
      <c r="M66" s="32">
        <v>265437</v>
      </c>
      <c r="N66" s="32">
        <v>62456</v>
      </c>
      <c r="O66" s="32">
        <f>M66-R66</f>
        <v>10760</v>
      </c>
      <c r="P66" s="32"/>
      <c r="Q66" s="32"/>
      <c r="R66" s="32">
        <v>254677</v>
      </c>
    </row>
    <row r="67" spans="1:18">
      <c r="A67" s="133" t="s">
        <v>20</v>
      </c>
      <c r="B67" s="133" t="s">
        <v>199</v>
      </c>
      <c r="C67" s="133" t="s">
        <v>205</v>
      </c>
      <c r="D67" s="133">
        <v>0</v>
      </c>
      <c r="E67" s="135">
        <v>14</v>
      </c>
      <c r="F67" s="130">
        <f t="shared" si="5"/>
        <v>3.3946297980320513E-2</v>
      </c>
      <c r="G67" s="130">
        <f t="shared" si="6"/>
        <v>12.016315513233597</v>
      </c>
      <c r="H67" s="130">
        <f t="shared" si="7"/>
        <v>1.0436553991972533</v>
      </c>
      <c r="I67" s="130"/>
      <c r="J67" s="69">
        <v>6234</v>
      </c>
      <c r="L67" s="32">
        <v>69572</v>
      </c>
      <c r="M67" s="32">
        <v>165432</v>
      </c>
      <c r="N67" s="32">
        <v>183643</v>
      </c>
      <c r="O67" s="32">
        <f>M67-R67</f>
        <v>-7222</v>
      </c>
      <c r="P67" s="32"/>
      <c r="Q67" s="32"/>
      <c r="R67" s="32">
        <v>172654</v>
      </c>
    </row>
    <row r="68" spans="1:18" ht="17">
      <c r="A68" s="133" t="s">
        <v>31</v>
      </c>
      <c r="B68" s="133" t="s">
        <v>199</v>
      </c>
      <c r="C68" s="133" t="s">
        <v>205</v>
      </c>
      <c r="D68" s="133">
        <v>1</v>
      </c>
      <c r="E68" s="135">
        <v>4</v>
      </c>
      <c r="F68" s="130">
        <f t="shared" si="5"/>
        <v>1.1037680357081071E-2</v>
      </c>
      <c r="G68" s="130">
        <f t="shared" si="6"/>
        <v>12.10903297101169</v>
      </c>
      <c r="H68" s="130">
        <f t="shared" si="7"/>
        <v>1.5342086124823695</v>
      </c>
      <c r="I68" s="130"/>
      <c r="J68" s="72">
        <v>1914</v>
      </c>
      <c r="K68" s="24">
        <v>345</v>
      </c>
      <c r="L68" s="38">
        <v>88552</v>
      </c>
      <c r="M68" s="38">
        <v>181504</v>
      </c>
      <c r="N68" s="38">
        <v>173406</v>
      </c>
      <c r="O68" s="38">
        <v>-96961</v>
      </c>
      <c r="P68" s="38">
        <v>81897</v>
      </c>
      <c r="Q68" s="38">
        <v>196568</v>
      </c>
      <c r="R68" s="32">
        <f>P68+Q68</f>
        <v>278465</v>
      </c>
    </row>
    <row r="69" spans="1:18" ht="18">
      <c r="A69" s="133" t="s">
        <v>38</v>
      </c>
      <c r="B69" s="133" t="s">
        <v>199</v>
      </c>
      <c r="C69" s="133" t="s">
        <v>205</v>
      </c>
      <c r="D69" s="133">
        <v>0</v>
      </c>
      <c r="E69" s="135">
        <v>13</v>
      </c>
      <c r="F69" s="130">
        <f t="shared" si="5"/>
        <v>5.8410117198715771E-2</v>
      </c>
      <c r="G69" s="130">
        <f t="shared" si="6"/>
        <v>11.271376060416618</v>
      </c>
      <c r="H69" s="130">
        <f t="shared" si="7"/>
        <v>1.8264727976470887</v>
      </c>
      <c r="I69" s="130"/>
      <c r="J69" s="88">
        <v>8951</v>
      </c>
      <c r="K69" s="22"/>
      <c r="L69" s="45">
        <v>5746</v>
      </c>
      <c r="M69" s="32">
        <v>78541</v>
      </c>
      <c r="N69" s="51">
        <v>153244</v>
      </c>
      <c r="O69" s="40">
        <f>M69-R69</f>
        <v>-64912</v>
      </c>
      <c r="P69" s="40"/>
      <c r="Q69" s="40"/>
      <c r="R69" s="32">
        <v>143453</v>
      </c>
    </row>
    <row r="70" spans="1:18" ht="17">
      <c r="A70" s="133" t="s">
        <v>58</v>
      </c>
      <c r="B70" s="133" t="s">
        <v>199</v>
      </c>
      <c r="C70" s="133" t="s">
        <v>205</v>
      </c>
      <c r="D70" s="133">
        <v>1</v>
      </c>
      <c r="E70" s="135">
        <v>2</v>
      </c>
      <c r="F70" s="130">
        <f t="shared" si="5"/>
        <v>-0.46389722676794637</v>
      </c>
      <c r="G70" s="130">
        <f t="shared" si="6"/>
        <v>12.339160189668528</v>
      </c>
      <c r="H70" s="130">
        <f t="shared" si="7"/>
        <v>1.7000919157876309</v>
      </c>
      <c r="I70" s="130"/>
      <c r="J70" s="72">
        <v>-53010</v>
      </c>
      <c r="K70" s="24">
        <v>523</v>
      </c>
      <c r="L70" s="38">
        <v>84905</v>
      </c>
      <c r="M70" s="38">
        <v>228470</v>
      </c>
      <c r="N70" s="38">
        <v>114271</v>
      </c>
      <c r="O70" s="38">
        <v>-159951</v>
      </c>
      <c r="P70" s="38">
        <v>241364</v>
      </c>
      <c r="Q70" s="38">
        <v>147056</v>
      </c>
      <c r="R70" s="32">
        <f>P70+Q70</f>
        <v>388420</v>
      </c>
    </row>
    <row r="71" spans="1:18" ht="17">
      <c r="A71" s="133" t="s">
        <v>62</v>
      </c>
      <c r="B71" s="133" t="s">
        <v>199</v>
      </c>
      <c r="C71" s="133" t="s">
        <v>205</v>
      </c>
      <c r="D71" s="133">
        <v>1</v>
      </c>
      <c r="E71" s="135">
        <v>1</v>
      </c>
      <c r="F71" s="130">
        <f t="shared" si="5"/>
        <v>-0.36105107119491853</v>
      </c>
      <c r="G71" s="130">
        <f t="shared" si="6"/>
        <v>12.147404857864331</v>
      </c>
      <c r="H71" s="130">
        <f t="shared" si="7"/>
        <v>1.3188055396492122</v>
      </c>
      <c r="I71" s="130"/>
      <c r="J71" s="72">
        <v>-43598</v>
      </c>
      <c r="K71" s="24">
        <v>568</v>
      </c>
      <c r="L71" s="38">
        <v>99728</v>
      </c>
      <c r="M71" s="38">
        <v>188604</v>
      </c>
      <c r="N71" s="38">
        <v>120753</v>
      </c>
      <c r="O71" s="38">
        <v>-60128</v>
      </c>
      <c r="P71" s="38">
        <v>43043</v>
      </c>
      <c r="Q71" s="38">
        <v>205689</v>
      </c>
      <c r="R71" s="32">
        <f>P71+Q71</f>
        <v>248732</v>
      </c>
    </row>
    <row r="72" spans="1:18" ht="18">
      <c r="A72" s="133" t="s">
        <v>76</v>
      </c>
      <c r="B72" s="133" t="s">
        <v>199</v>
      </c>
      <c r="C72" s="133" t="s">
        <v>205</v>
      </c>
      <c r="D72" s="133">
        <v>0</v>
      </c>
      <c r="E72" s="135">
        <v>3</v>
      </c>
      <c r="F72" s="130">
        <f t="shared" si="5"/>
        <v>-0.18107790837630205</v>
      </c>
      <c r="G72" s="130">
        <f t="shared" si="6"/>
        <v>12.368552824277147</v>
      </c>
      <c r="H72" s="130">
        <f t="shared" si="7"/>
        <v>1.0070552733918439</v>
      </c>
      <c r="I72" s="130"/>
      <c r="J72" s="88">
        <v>-24372</v>
      </c>
      <c r="K72" s="22"/>
      <c r="L72" s="45">
        <v>54389</v>
      </c>
      <c r="M72" s="32">
        <v>235285</v>
      </c>
      <c r="N72" s="51">
        <v>134594</v>
      </c>
      <c r="O72" s="40">
        <f t="shared" ref="O72:O77" si="8">M72-R72</f>
        <v>-1660</v>
      </c>
      <c r="P72" s="40"/>
      <c r="Q72" s="40"/>
      <c r="R72" s="32">
        <v>236945</v>
      </c>
    </row>
    <row r="73" spans="1:18" ht="18">
      <c r="A73" s="133" t="s">
        <v>78</v>
      </c>
      <c r="B73" s="133" t="s">
        <v>199</v>
      </c>
      <c r="C73" s="133" t="s">
        <v>205</v>
      </c>
      <c r="D73" s="133">
        <v>0</v>
      </c>
      <c r="E73" s="135">
        <v>18</v>
      </c>
      <c r="F73" s="130">
        <f t="shared" si="5"/>
        <v>-3.4882784177878032E-2</v>
      </c>
      <c r="G73" s="130">
        <f t="shared" si="6"/>
        <v>11.475763431281461</v>
      </c>
      <c r="H73" s="130">
        <f t="shared" si="7"/>
        <v>1.3962657754898704</v>
      </c>
      <c r="I73" s="130"/>
      <c r="J73" s="88">
        <v>-4763</v>
      </c>
      <c r="K73" s="22"/>
      <c r="L73" s="45">
        <v>24365</v>
      </c>
      <c r="M73" s="32">
        <v>96352</v>
      </c>
      <c r="N73" s="51">
        <v>136543</v>
      </c>
      <c r="O73" s="40">
        <f t="shared" si="8"/>
        <v>-38181</v>
      </c>
      <c r="P73" s="40"/>
      <c r="Q73" s="40"/>
      <c r="R73" s="32">
        <v>134533</v>
      </c>
    </row>
    <row r="74" spans="1:18" ht="18">
      <c r="A74" s="133" t="s">
        <v>79</v>
      </c>
      <c r="B74" s="133" t="s">
        <v>199</v>
      </c>
      <c r="C74" s="133" t="s">
        <v>205</v>
      </c>
      <c r="D74" s="133">
        <v>0</v>
      </c>
      <c r="E74" s="135">
        <v>8</v>
      </c>
      <c r="F74" s="130">
        <f t="shared" si="5"/>
        <v>-0.38521085822350754</v>
      </c>
      <c r="G74" s="130">
        <f t="shared" si="6"/>
        <v>11.976238008747531</v>
      </c>
      <c r="H74" s="130">
        <f t="shared" si="7"/>
        <v>0.81385237804609489</v>
      </c>
      <c r="I74" s="130"/>
      <c r="J74" s="88">
        <v>-52349</v>
      </c>
      <c r="K74" s="22"/>
      <c r="L74" s="45">
        <v>43893</v>
      </c>
      <c r="M74" s="32">
        <v>158933</v>
      </c>
      <c r="N74" s="51">
        <v>135897</v>
      </c>
      <c r="O74" s="40">
        <f t="shared" si="8"/>
        <v>29585</v>
      </c>
      <c r="P74" s="40"/>
      <c r="Q74" s="40"/>
      <c r="R74" s="32">
        <v>129348</v>
      </c>
    </row>
    <row r="75" spans="1:18" ht="18">
      <c r="A75" s="133" t="s">
        <v>80</v>
      </c>
      <c r="B75" s="133" t="s">
        <v>199</v>
      </c>
      <c r="C75" s="133" t="s">
        <v>205</v>
      </c>
      <c r="D75" s="133">
        <v>0</v>
      </c>
      <c r="E75" s="135">
        <v>9</v>
      </c>
      <c r="F75" s="130">
        <f t="shared" si="5"/>
        <v>0.10859670077799657</v>
      </c>
      <c r="G75" s="130">
        <f t="shared" si="6"/>
        <v>12.232933637193799</v>
      </c>
      <c r="H75" s="130">
        <f t="shared" si="7"/>
        <v>0.56177565771861082</v>
      </c>
      <c r="I75" s="130"/>
      <c r="J75" s="88">
        <v>13456</v>
      </c>
      <c r="K75" s="22"/>
      <c r="L75" s="45">
        <v>98035</v>
      </c>
      <c r="M75" s="32">
        <v>205445</v>
      </c>
      <c r="N75" s="32">
        <v>123908</v>
      </c>
      <c r="O75" s="40">
        <f t="shared" si="8"/>
        <v>90031</v>
      </c>
      <c r="P75" s="32"/>
      <c r="Q75" s="32"/>
      <c r="R75" s="32">
        <v>115414</v>
      </c>
    </row>
    <row r="76" spans="1:18" ht="18">
      <c r="A76" s="133" t="s">
        <v>81</v>
      </c>
      <c r="B76" s="133" t="s">
        <v>199</v>
      </c>
      <c r="C76" s="133" t="s">
        <v>205</v>
      </c>
      <c r="D76" s="133">
        <v>0</v>
      </c>
      <c r="E76" s="135">
        <v>15</v>
      </c>
      <c r="F76" s="130">
        <f t="shared" si="5"/>
        <v>-0.35094333767765157</v>
      </c>
      <c r="G76" s="130">
        <f t="shared" si="6"/>
        <v>12.156015428988804</v>
      </c>
      <c r="H76" s="130">
        <f t="shared" si="7"/>
        <v>0.81707887612689567</v>
      </c>
      <c r="I76" s="130"/>
      <c r="J76" s="88">
        <v>-45238</v>
      </c>
      <c r="K76" s="22"/>
      <c r="L76" s="45">
        <v>43290</v>
      </c>
      <c r="M76" s="32">
        <v>190235</v>
      </c>
      <c r="N76" s="38">
        <v>128904</v>
      </c>
      <c r="O76" s="40">
        <f t="shared" si="8"/>
        <v>34798</v>
      </c>
      <c r="P76" s="38"/>
      <c r="Q76" s="32"/>
      <c r="R76" s="32">
        <v>155437</v>
      </c>
    </row>
    <row r="77" spans="1:18" ht="18">
      <c r="A77" s="133" t="s">
        <v>109</v>
      </c>
      <c r="B77" s="133" t="s">
        <v>199</v>
      </c>
      <c r="C77" s="133" t="s">
        <v>205</v>
      </c>
      <c r="D77" s="133">
        <v>0</v>
      </c>
      <c r="E77" s="135">
        <v>16</v>
      </c>
      <c r="F77" s="130">
        <f t="shared" si="5"/>
        <v>-0.54648514549484517</v>
      </c>
      <c r="G77" s="130">
        <f t="shared" si="6"/>
        <v>11.36828112305642</v>
      </c>
      <c r="H77" s="130">
        <f t="shared" si="7"/>
        <v>2.2457790669455582</v>
      </c>
      <c r="I77" s="130"/>
      <c r="J77" s="88">
        <v>-53749</v>
      </c>
      <c r="K77" s="22"/>
      <c r="L77" s="45">
        <v>22345</v>
      </c>
      <c r="M77" s="32">
        <v>86533</v>
      </c>
      <c r="N77" s="38">
        <v>98354</v>
      </c>
      <c r="O77" s="38">
        <f t="shared" si="8"/>
        <v>-107801</v>
      </c>
      <c r="P77" s="38"/>
      <c r="Q77" s="32"/>
      <c r="R77" s="32">
        <v>194334</v>
      </c>
    </row>
    <row r="78" spans="1:18" ht="17">
      <c r="A78" s="133" t="s">
        <v>142</v>
      </c>
      <c r="B78" s="133" t="s">
        <v>199</v>
      </c>
      <c r="C78" s="133" t="s">
        <v>205</v>
      </c>
      <c r="D78" s="133">
        <v>1</v>
      </c>
      <c r="E78" s="135">
        <v>5</v>
      </c>
      <c r="F78" s="130">
        <f t="shared" si="5"/>
        <v>-1.2176298303899282</v>
      </c>
      <c r="G78" s="130">
        <f t="shared" si="6"/>
        <v>11.243201181892225</v>
      </c>
      <c r="H78" s="130">
        <f t="shared" si="7"/>
        <v>2.449049882790503</v>
      </c>
      <c r="I78" s="130"/>
      <c r="J78" s="72">
        <v>-55709</v>
      </c>
      <c r="K78" s="24">
        <v>96</v>
      </c>
      <c r="L78" s="38">
        <v>30457</v>
      </c>
      <c r="M78" s="38">
        <v>76359</v>
      </c>
      <c r="N78" s="38">
        <v>45752</v>
      </c>
      <c r="O78" s="38">
        <v>-110649</v>
      </c>
      <c r="P78" s="38">
        <v>91068</v>
      </c>
      <c r="Q78" s="38">
        <v>95939</v>
      </c>
      <c r="R78" s="32">
        <f>P78+Q78</f>
        <v>187007</v>
      </c>
    </row>
    <row r="79" spans="1:18">
      <c r="A79" s="134" t="s">
        <v>52</v>
      </c>
      <c r="B79" s="134" t="s">
        <v>200</v>
      </c>
      <c r="C79" s="134" t="s">
        <v>204</v>
      </c>
      <c r="D79" s="134">
        <v>0</v>
      </c>
      <c r="E79" s="15">
        <v>20</v>
      </c>
      <c r="F79" s="130">
        <f t="shared" si="5"/>
        <v>1.0811777936816277E-2</v>
      </c>
      <c r="G79" s="130">
        <f t="shared" si="6"/>
        <v>10.363346144474624</v>
      </c>
      <c r="H79" s="130">
        <f t="shared" si="7"/>
        <v>0.58215740126905957</v>
      </c>
      <c r="I79" s="130"/>
      <c r="J79" s="69">
        <v>423</v>
      </c>
      <c r="L79" s="32"/>
      <c r="M79" s="32">
        <v>31677</v>
      </c>
      <c r="N79" s="32">
        <v>39124</v>
      </c>
      <c r="O79" s="32">
        <v>13236</v>
      </c>
      <c r="P79" s="32"/>
      <c r="Q79" s="32"/>
      <c r="R79" s="32">
        <v>18441</v>
      </c>
    </row>
    <row r="80" spans="1:18">
      <c r="A80" s="134" t="s">
        <v>100</v>
      </c>
      <c r="B80" s="134" t="s">
        <v>200</v>
      </c>
      <c r="C80" s="134" t="s">
        <v>204</v>
      </c>
      <c r="D80" s="134">
        <v>0</v>
      </c>
      <c r="E80" s="15">
        <v>12</v>
      </c>
      <c r="F80" s="130">
        <f t="shared" si="5"/>
        <v>1.0098637858149366E-2</v>
      </c>
      <c r="G80" s="130">
        <f t="shared" si="6"/>
        <v>11.008777495957478</v>
      </c>
      <c r="H80" s="130">
        <f t="shared" si="7"/>
        <v>0.95692195622661502</v>
      </c>
      <c r="I80" s="130"/>
      <c r="J80" s="78">
        <v>516</v>
      </c>
      <c r="K80" s="16"/>
      <c r="L80" s="47"/>
      <c r="M80" s="32">
        <v>60402</v>
      </c>
      <c r="N80" s="32">
        <v>51096</v>
      </c>
      <c r="O80" s="32">
        <v>2602</v>
      </c>
      <c r="P80" s="32"/>
      <c r="Q80" s="32"/>
      <c r="R80" s="32">
        <v>57800</v>
      </c>
    </row>
    <row r="81" spans="1:18" ht="17">
      <c r="A81" s="131" t="s">
        <v>26</v>
      </c>
      <c r="B81" s="131" t="s">
        <v>193</v>
      </c>
      <c r="C81" s="131" t="s">
        <v>203</v>
      </c>
      <c r="D81" s="131">
        <v>0</v>
      </c>
      <c r="E81" s="131">
        <v>8</v>
      </c>
      <c r="F81" s="130">
        <f t="shared" si="5"/>
        <v>-0.16499761564139245</v>
      </c>
      <c r="G81" s="130">
        <f t="shared" si="6"/>
        <v>12.322588211619593</v>
      </c>
      <c r="H81" s="130">
        <f t="shared" si="7"/>
        <v>0.59197650357119014</v>
      </c>
      <c r="I81" s="130"/>
      <c r="J81" s="94">
        <v>-17300</v>
      </c>
      <c r="K81" s="98">
        <v>324</v>
      </c>
      <c r="L81" s="116">
        <v>2307</v>
      </c>
      <c r="M81" s="96">
        <v>224715</v>
      </c>
      <c r="N81" s="96">
        <v>104850</v>
      </c>
      <c r="O81" s="96">
        <v>112455</v>
      </c>
      <c r="P81" s="96">
        <v>82173</v>
      </c>
      <c r="Q81" s="96">
        <v>50853</v>
      </c>
      <c r="R81" s="42">
        <f t="shared" ref="R81:R93" si="9">P81+Q81</f>
        <v>133026</v>
      </c>
    </row>
    <row r="82" spans="1:18" ht="17">
      <c r="A82" s="131" t="s">
        <v>27</v>
      </c>
      <c r="B82" s="131" t="s">
        <v>193</v>
      </c>
      <c r="C82" s="131" t="s">
        <v>203</v>
      </c>
      <c r="D82" s="131">
        <v>0</v>
      </c>
      <c r="E82" s="131">
        <v>2</v>
      </c>
      <c r="F82" s="130">
        <f t="shared" si="5"/>
        <v>0.12690217391304348</v>
      </c>
      <c r="G82" s="130">
        <f t="shared" si="6"/>
        <v>13.75847660696674</v>
      </c>
      <c r="H82" s="130">
        <f t="shared" si="7"/>
        <v>1.0104630505991137</v>
      </c>
      <c r="I82" s="130"/>
      <c r="J82" s="94">
        <v>46700</v>
      </c>
      <c r="K82" s="95">
        <v>1044</v>
      </c>
      <c r="L82" s="96">
        <v>48543</v>
      </c>
      <c r="M82" s="96">
        <v>944562</v>
      </c>
      <c r="N82" s="96">
        <v>368000</v>
      </c>
      <c r="O82" s="96">
        <f>M82-R82</f>
        <v>-9883</v>
      </c>
      <c r="P82" s="96">
        <v>539867</v>
      </c>
      <c r="Q82" s="96">
        <v>414578</v>
      </c>
      <c r="R82" s="42">
        <f t="shared" si="9"/>
        <v>954445</v>
      </c>
    </row>
    <row r="83" spans="1:18" ht="17">
      <c r="A83" s="131" t="s">
        <v>43</v>
      </c>
      <c r="B83" s="131" t="s">
        <v>193</v>
      </c>
      <c r="C83" s="131" t="s">
        <v>203</v>
      </c>
      <c r="D83" s="131">
        <v>0</v>
      </c>
      <c r="E83" s="131">
        <v>17</v>
      </c>
      <c r="F83" s="130">
        <f t="shared" si="5"/>
        <v>0.22671766956010003</v>
      </c>
      <c r="G83" s="130">
        <f t="shared" si="6"/>
        <v>12.530208385238453</v>
      </c>
      <c r="H83" s="130">
        <f t="shared" si="7"/>
        <v>0.85825134596680008</v>
      </c>
      <c r="I83" s="130"/>
      <c r="J83" s="75">
        <v>15410</v>
      </c>
      <c r="K83" s="109">
        <v>235</v>
      </c>
      <c r="L83" s="42">
        <v>45456</v>
      </c>
      <c r="M83" s="42">
        <v>276567</v>
      </c>
      <c r="N83" s="97">
        <v>67970</v>
      </c>
      <c r="O83" s="42">
        <f>M83-R83</f>
        <v>39203</v>
      </c>
      <c r="P83" s="42">
        <v>179699</v>
      </c>
      <c r="Q83" s="42">
        <v>57665</v>
      </c>
      <c r="R83" s="42">
        <f t="shared" si="9"/>
        <v>237364</v>
      </c>
    </row>
    <row r="84" spans="1:18" ht="17">
      <c r="A84" s="131" t="s">
        <v>56</v>
      </c>
      <c r="B84" s="131" t="s">
        <v>193</v>
      </c>
      <c r="C84" s="131" t="s">
        <v>203</v>
      </c>
      <c r="D84" s="131">
        <v>0</v>
      </c>
      <c r="E84" s="131">
        <v>7</v>
      </c>
      <c r="F84" s="130">
        <f t="shared" si="5"/>
        <v>2.104098729013747E-2</v>
      </c>
      <c r="G84" s="130">
        <f t="shared" si="6"/>
        <v>12.197556485761835</v>
      </c>
      <c r="H84" s="130">
        <f t="shared" si="7"/>
        <v>0.78244009197999032</v>
      </c>
      <c r="I84" s="130"/>
      <c r="J84" s="94">
        <v>1826</v>
      </c>
      <c r="K84" s="98">
        <v>365</v>
      </c>
      <c r="L84" s="96">
        <v>25781</v>
      </c>
      <c r="M84" s="96">
        <v>198304</v>
      </c>
      <c r="N84" s="96">
        <v>86783</v>
      </c>
      <c r="O84" s="96">
        <v>43142</v>
      </c>
      <c r="P84" s="96">
        <v>66651</v>
      </c>
      <c r="Q84" s="96">
        <v>88510</v>
      </c>
      <c r="R84" s="42">
        <f t="shared" si="9"/>
        <v>155161</v>
      </c>
    </row>
    <row r="85" spans="1:18" ht="17">
      <c r="A85" s="131" t="s">
        <v>28</v>
      </c>
      <c r="B85" s="131" t="s">
        <v>193</v>
      </c>
      <c r="C85" s="131" t="s">
        <v>203</v>
      </c>
      <c r="D85" s="131">
        <v>0</v>
      </c>
      <c r="E85" s="131">
        <v>1</v>
      </c>
      <c r="F85" s="130">
        <f t="shared" si="5"/>
        <v>5.3123140778083269E-3</v>
      </c>
      <c r="G85" s="130">
        <f t="shared" si="6"/>
        <v>14.122258221461852</v>
      </c>
      <c r="H85" s="130">
        <f t="shared" si="7"/>
        <v>0.90242296162319591</v>
      </c>
      <c r="I85" s="130"/>
      <c r="J85" s="94">
        <v>4527</v>
      </c>
      <c r="K85" s="95">
        <v>1338</v>
      </c>
      <c r="L85" s="96">
        <v>11935</v>
      </c>
      <c r="M85" s="96">
        <v>1358998</v>
      </c>
      <c r="N85" s="96">
        <v>852171</v>
      </c>
      <c r="O85" s="96">
        <v>132607</v>
      </c>
      <c r="P85" s="96">
        <v>539226</v>
      </c>
      <c r="Q85" s="96">
        <v>687165</v>
      </c>
      <c r="R85" s="42">
        <f t="shared" si="9"/>
        <v>1226391</v>
      </c>
    </row>
    <row r="86" spans="1:18">
      <c r="A86" s="131" t="s">
        <v>66</v>
      </c>
      <c r="B86" s="131" t="s">
        <v>193</v>
      </c>
      <c r="C86" s="131" t="s">
        <v>203</v>
      </c>
      <c r="D86" s="131">
        <v>0</v>
      </c>
      <c r="E86" s="131">
        <v>5</v>
      </c>
      <c r="F86" s="130">
        <f t="shared" si="5"/>
        <v>0.11675563974513518</v>
      </c>
      <c r="G86" s="130">
        <f t="shared" si="6"/>
        <v>12.119790093791975</v>
      </c>
      <c r="H86" s="130">
        <f t="shared" si="7"/>
        <v>0.69738427074078713</v>
      </c>
      <c r="I86" s="130"/>
      <c r="J86" s="75">
        <v>6780</v>
      </c>
      <c r="K86" s="12">
        <v>216</v>
      </c>
      <c r="L86" s="42">
        <v>84678</v>
      </c>
      <c r="M86" s="42">
        <v>183467</v>
      </c>
      <c r="N86" s="42">
        <v>58070</v>
      </c>
      <c r="O86" s="42">
        <f>M86-R86</f>
        <v>55520</v>
      </c>
      <c r="P86" s="42">
        <v>78857</v>
      </c>
      <c r="Q86" s="42">
        <v>49090</v>
      </c>
      <c r="R86" s="42">
        <f t="shared" si="9"/>
        <v>127947</v>
      </c>
    </row>
    <row r="87" spans="1:18">
      <c r="A87" s="131" t="s">
        <v>67</v>
      </c>
      <c r="B87" s="131" t="s">
        <v>193</v>
      </c>
      <c r="C87" s="131" t="s">
        <v>203</v>
      </c>
      <c r="D87" s="131">
        <v>0</v>
      </c>
      <c r="E87" s="131">
        <v>18</v>
      </c>
      <c r="F87" s="130">
        <f t="shared" si="5"/>
        <v>-3.3014196104324861E-4</v>
      </c>
      <c r="G87" s="130">
        <f t="shared" si="6"/>
        <v>11.772570651478114</v>
      </c>
      <c r="H87" s="130">
        <f t="shared" si="7"/>
        <v>0.57439817350189359</v>
      </c>
      <c r="I87" s="130"/>
      <c r="J87" s="75">
        <v>-20</v>
      </c>
      <c r="K87" s="12">
        <v>168</v>
      </c>
      <c r="L87" s="42">
        <v>57878</v>
      </c>
      <c r="M87" s="42">
        <v>129647</v>
      </c>
      <c r="N87" s="42">
        <v>60580</v>
      </c>
      <c r="O87" s="42">
        <f>M87-R87</f>
        <v>55178</v>
      </c>
      <c r="P87" s="42">
        <v>50773</v>
      </c>
      <c r="Q87" s="42">
        <v>23696</v>
      </c>
      <c r="R87" s="42">
        <f t="shared" si="9"/>
        <v>74469</v>
      </c>
    </row>
    <row r="88" spans="1:18">
      <c r="A88" s="131" t="s">
        <v>114</v>
      </c>
      <c r="B88" s="131" t="s">
        <v>193</v>
      </c>
      <c r="C88" s="131" t="s">
        <v>203</v>
      </c>
      <c r="D88" s="131">
        <v>0</v>
      </c>
      <c r="E88" s="131">
        <v>20</v>
      </c>
      <c r="F88" s="130">
        <f t="shared" si="5"/>
        <v>1.3435013262599469</v>
      </c>
      <c r="G88" s="130">
        <f t="shared" si="6"/>
        <v>8.8254129150855665</v>
      </c>
      <c r="H88" s="130">
        <f t="shared" si="7"/>
        <v>1.0385011021307862</v>
      </c>
      <c r="I88" s="130"/>
      <c r="J88" s="75">
        <v>10130</v>
      </c>
      <c r="K88" s="12">
        <v>156</v>
      </c>
      <c r="L88" s="42">
        <v>785</v>
      </c>
      <c r="M88" s="42">
        <v>6805</v>
      </c>
      <c r="N88" s="42">
        <v>7540</v>
      </c>
      <c r="O88" s="42">
        <f>M88-R88</f>
        <v>-262</v>
      </c>
      <c r="P88" s="42">
        <v>6809</v>
      </c>
      <c r="Q88" s="42">
        <v>258</v>
      </c>
      <c r="R88" s="42">
        <f t="shared" si="9"/>
        <v>7067</v>
      </c>
    </row>
    <row r="89" spans="1:18" ht="17">
      <c r="A89" s="131" t="s">
        <v>117</v>
      </c>
      <c r="B89" s="131" t="s">
        <v>193</v>
      </c>
      <c r="C89" s="131" t="s">
        <v>203</v>
      </c>
      <c r="D89" s="131">
        <v>0</v>
      </c>
      <c r="E89" s="131">
        <v>10</v>
      </c>
      <c r="F89" s="130">
        <f t="shared" si="5"/>
        <v>5.6560109465254881E-2</v>
      </c>
      <c r="G89" s="130">
        <f t="shared" si="6"/>
        <v>12.131257500311589</v>
      </c>
      <c r="H89" s="130">
        <f t="shared" si="7"/>
        <v>0.93676144905513969</v>
      </c>
      <c r="I89" s="130"/>
      <c r="J89" s="94">
        <v>6159</v>
      </c>
      <c r="K89" s="98">
        <v>408</v>
      </c>
      <c r="L89" s="96">
        <v>17508</v>
      </c>
      <c r="M89" s="96">
        <v>185583</v>
      </c>
      <c r="N89" s="96">
        <v>108893</v>
      </c>
      <c r="O89" s="96">
        <v>11736</v>
      </c>
      <c r="P89" s="96">
        <v>57276</v>
      </c>
      <c r="Q89" s="96">
        <v>116571</v>
      </c>
      <c r="R89" s="42">
        <f t="shared" si="9"/>
        <v>173847</v>
      </c>
    </row>
    <row r="90" spans="1:18" ht="17">
      <c r="A90" s="131" t="s">
        <v>118</v>
      </c>
      <c r="B90" s="131" t="s">
        <v>193</v>
      </c>
      <c r="C90" s="131" t="s">
        <v>203</v>
      </c>
      <c r="D90" s="131">
        <v>0</v>
      </c>
      <c r="E90" s="131">
        <v>3</v>
      </c>
      <c r="F90" s="130">
        <f t="shared" si="5"/>
        <v>6.373992701965954E-2</v>
      </c>
      <c r="G90" s="130">
        <f t="shared" si="6"/>
        <v>13.945031544650263</v>
      </c>
      <c r="H90" s="130">
        <f t="shared" si="7"/>
        <v>0.53205310103023584</v>
      </c>
      <c r="I90" s="130"/>
      <c r="J90" s="94">
        <v>38394</v>
      </c>
      <c r="K90" s="108">
        <v>817</v>
      </c>
      <c r="L90" s="96">
        <v>27588</v>
      </c>
      <c r="M90" s="96">
        <v>1138283</v>
      </c>
      <c r="N90" s="96">
        <v>602354</v>
      </c>
      <c r="O90" s="96">
        <v>533676</v>
      </c>
      <c r="P90" s="96">
        <v>132868</v>
      </c>
      <c r="Q90" s="96">
        <v>472759</v>
      </c>
      <c r="R90" s="42">
        <f t="shared" si="9"/>
        <v>605627</v>
      </c>
    </row>
    <row r="91" spans="1:18" ht="17">
      <c r="A91" s="131" t="s">
        <v>126</v>
      </c>
      <c r="B91" s="131" t="s">
        <v>193</v>
      </c>
      <c r="C91" s="131" t="s">
        <v>203</v>
      </c>
      <c r="D91" s="131">
        <v>0</v>
      </c>
      <c r="E91" s="131">
        <v>6</v>
      </c>
      <c r="F91" s="130">
        <f t="shared" si="5"/>
        <v>1.7381659400908394E-2</v>
      </c>
      <c r="G91" s="130">
        <f t="shared" si="6"/>
        <v>12.481960438099243</v>
      </c>
      <c r="H91" s="130">
        <f t="shared" si="7"/>
        <v>0.61370190483418074</v>
      </c>
      <c r="I91" s="130"/>
      <c r="J91" s="94">
        <v>2476</v>
      </c>
      <c r="K91" s="98">
        <v>444</v>
      </c>
      <c r="L91" s="96">
        <v>1141</v>
      </c>
      <c r="M91" s="96">
        <v>263540</v>
      </c>
      <c r="N91" s="96">
        <v>142449</v>
      </c>
      <c r="O91" s="96">
        <v>101805</v>
      </c>
      <c r="P91" s="96">
        <v>40636</v>
      </c>
      <c r="Q91" s="96">
        <v>121099</v>
      </c>
      <c r="R91" s="42">
        <f t="shared" si="9"/>
        <v>161735</v>
      </c>
    </row>
    <row r="92" spans="1:18" ht="17">
      <c r="A92" s="131" t="s">
        <v>145</v>
      </c>
      <c r="B92" s="131" t="s">
        <v>193</v>
      </c>
      <c r="C92" s="131" t="s">
        <v>203</v>
      </c>
      <c r="D92" s="131">
        <v>0</v>
      </c>
      <c r="E92" s="131">
        <v>4</v>
      </c>
      <c r="F92" s="130">
        <f t="shared" si="5"/>
        <v>7.8531383270419499E-3</v>
      </c>
      <c r="G92" s="130">
        <f t="shared" si="6"/>
        <v>13.26749868345552</v>
      </c>
      <c r="H92" s="130">
        <f t="shared" si="7"/>
        <v>0.91627717099868877</v>
      </c>
      <c r="I92" s="130"/>
      <c r="J92" s="94">
        <v>1475</v>
      </c>
      <c r="K92" s="98">
        <v>408</v>
      </c>
      <c r="L92" s="96">
        <v>14579</v>
      </c>
      <c r="M92" s="96">
        <v>578098</v>
      </c>
      <c r="N92" s="96">
        <v>187823</v>
      </c>
      <c r="O92" s="96">
        <v>48400</v>
      </c>
      <c r="P92" s="96">
        <v>323517</v>
      </c>
      <c r="Q92" s="96">
        <v>206181</v>
      </c>
      <c r="R92" s="42">
        <f t="shared" si="9"/>
        <v>529698</v>
      </c>
    </row>
    <row r="93" spans="1:18" ht="17">
      <c r="A93" s="131" t="s">
        <v>147</v>
      </c>
      <c r="B93" s="131" t="s">
        <v>193</v>
      </c>
      <c r="C93" s="131" t="s">
        <v>203</v>
      </c>
      <c r="D93" s="131">
        <v>0</v>
      </c>
      <c r="E93" s="131">
        <v>14</v>
      </c>
      <c r="F93" s="130">
        <f t="shared" si="5"/>
        <v>9.6638621106941075E-2</v>
      </c>
      <c r="G93" s="130">
        <f t="shared" si="6"/>
        <v>12.224703017375885</v>
      </c>
      <c r="H93" s="130">
        <f t="shared" si="7"/>
        <v>0.52819725070057566</v>
      </c>
      <c r="I93" s="130"/>
      <c r="J93" s="94">
        <v>11819</v>
      </c>
      <c r="K93" s="98">
        <v>379</v>
      </c>
      <c r="L93" s="96">
        <v>0</v>
      </c>
      <c r="M93" s="96">
        <v>203761</v>
      </c>
      <c r="N93" s="96">
        <v>122301</v>
      </c>
      <c r="O93" s="96">
        <v>96135</v>
      </c>
      <c r="P93" s="96">
        <v>29639</v>
      </c>
      <c r="Q93" s="96">
        <v>77987</v>
      </c>
      <c r="R93" s="42">
        <f t="shared" si="9"/>
        <v>107626</v>
      </c>
    </row>
    <row r="94" spans="1:18">
      <c r="A94" s="134" t="s">
        <v>17</v>
      </c>
      <c r="B94" s="134" t="s">
        <v>200</v>
      </c>
      <c r="C94" s="134" t="s">
        <v>203</v>
      </c>
      <c r="D94" s="134">
        <v>0</v>
      </c>
      <c r="E94" s="15">
        <v>15</v>
      </c>
      <c r="F94" s="130">
        <f t="shared" si="5"/>
        <v>0.10246369214640313</v>
      </c>
      <c r="G94" s="130">
        <f t="shared" si="6"/>
        <v>10.571727097389889</v>
      </c>
      <c r="H94" s="130">
        <f t="shared" si="7"/>
        <v>0.73177670699200326</v>
      </c>
      <c r="I94" s="130"/>
      <c r="J94" s="69">
        <v>3323</v>
      </c>
      <c r="L94" s="32"/>
      <c r="M94" s="32">
        <v>39016</v>
      </c>
      <c r="N94" s="32">
        <v>32431</v>
      </c>
      <c r="O94" s="32">
        <v>10465</v>
      </c>
      <c r="P94" s="32"/>
      <c r="Q94" s="32"/>
      <c r="R94" s="32">
        <v>28551</v>
      </c>
    </row>
    <row r="95" spans="1:18" ht="17">
      <c r="A95" s="134" t="s">
        <v>18</v>
      </c>
      <c r="B95" s="134" t="s">
        <v>200</v>
      </c>
      <c r="C95" s="134" t="s">
        <v>203</v>
      </c>
      <c r="D95" s="134">
        <v>0</v>
      </c>
      <c r="E95" s="15">
        <v>13</v>
      </c>
      <c r="F95" s="130">
        <f t="shared" si="5"/>
        <v>-0.3270423917121173</v>
      </c>
      <c r="G95" s="130">
        <f t="shared" si="6"/>
        <v>10.023712049842496</v>
      </c>
      <c r="H95" s="130">
        <f t="shared" si="7"/>
        <v>0.76023054755043229</v>
      </c>
      <c r="I95" s="130"/>
      <c r="J95" s="89">
        <v>-11333</v>
      </c>
      <c r="K95" s="25"/>
      <c r="L95" s="38"/>
      <c r="M95" s="38">
        <v>22555</v>
      </c>
      <c r="N95" s="38">
        <v>34653</v>
      </c>
      <c r="O95" s="38">
        <v>5408</v>
      </c>
      <c r="P95" s="38"/>
      <c r="Q95" s="38"/>
      <c r="R95" s="32">
        <v>17147</v>
      </c>
    </row>
    <row r="96" spans="1:18">
      <c r="A96" s="134" t="s">
        <v>22</v>
      </c>
      <c r="B96" s="134" t="s">
        <v>200</v>
      </c>
      <c r="C96" s="134" t="s">
        <v>203</v>
      </c>
      <c r="D96" s="134">
        <v>0</v>
      </c>
      <c r="E96" s="15">
        <v>17</v>
      </c>
      <c r="F96" s="130">
        <f t="shared" si="5"/>
        <v>2.6870404041308767E-5</v>
      </c>
      <c r="G96" s="130">
        <f t="shared" si="6"/>
        <v>13.079522680007152</v>
      </c>
      <c r="H96" s="130">
        <f t="shared" si="7"/>
        <v>0.99681023397184321</v>
      </c>
      <c r="I96" s="130"/>
      <c r="J96" s="69">
        <v>3</v>
      </c>
      <c r="L96" s="32"/>
      <c r="M96" s="32">
        <v>479032</v>
      </c>
      <c r="N96" s="32">
        <v>111647</v>
      </c>
      <c r="O96" s="32">
        <v>1528</v>
      </c>
      <c r="P96" s="32"/>
      <c r="Q96" s="32"/>
      <c r="R96" s="32">
        <v>477504</v>
      </c>
    </row>
    <row r="97" spans="1:18">
      <c r="A97" s="134" t="s">
        <v>23</v>
      </c>
      <c r="B97" s="134" t="s">
        <v>200</v>
      </c>
      <c r="C97" s="134" t="s">
        <v>203</v>
      </c>
      <c r="D97" s="134">
        <v>0</v>
      </c>
      <c r="E97" s="15">
        <v>4</v>
      </c>
      <c r="F97" s="130">
        <f t="shared" si="5"/>
        <v>7.2068195874902524E-3</v>
      </c>
      <c r="G97" s="130">
        <f t="shared" si="6"/>
        <v>11.324533520598992</v>
      </c>
      <c r="H97" s="130">
        <f t="shared" si="7"/>
        <v>0.85014910236752828</v>
      </c>
      <c r="I97" s="130"/>
      <c r="J97" s="69">
        <v>536</v>
      </c>
      <c r="L97" s="32"/>
      <c r="M97" s="32">
        <v>82829</v>
      </c>
      <c r="N97" s="32">
        <v>74374</v>
      </c>
      <c r="O97" s="32">
        <v>12412</v>
      </c>
      <c r="P97" s="32"/>
      <c r="Q97" s="32"/>
      <c r="R97" s="32">
        <v>70417</v>
      </c>
    </row>
    <row r="98" spans="1:18">
      <c r="A98" s="134" t="s">
        <v>40</v>
      </c>
      <c r="B98" s="134" t="s">
        <v>200</v>
      </c>
      <c r="C98" s="134" t="s">
        <v>203</v>
      </c>
      <c r="D98" s="134">
        <v>0</v>
      </c>
      <c r="E98" s="15">
        <v>19</v>
      </c>
      <c r="F98" s="130">
        <f t="shared" si="5"/>
        <v>1.9279105095981217E-2</v>
      </c>
      <c r="G98" s="130">
        <f t="shared" si="6"/>
        <v>10.470220808240414</v>
      </c>
      <c r="H98" s="130">
        <f t="shared" si="7"/>
        <v>0.64036879432624116</v>
      </c>
      <c r="I98" s="130"/>
      <c r="J98" s="69">
        <v>698</v>
      </c>
      <c r="L98" s="32"/>
      <c r="M98" s="32">
        <v>35250</v>
      </c>
      <c r="N98" s="32">
        <v>36205</v>
      </c>
      <c r="O98" s="32">
        <v>12677</v>
      </c>
      <c r="P98" s="32"/>
      <c r="Q98" s="32"/>
      <c r="R98" s="32">
        <v>22573</v>
      </c>
    </row>
    <row r="99" spans="1:18">
      <c r="A99" s="134" t="s">
        <v>51</v>
      </c>
      <c r="B99" s="134" t="s">
        <v>200</v>
      </c>
      <c r="C99" s="134" t="s">
        <v>203</v>
      </c>
      <c r="D99" s="134">
        <v>0</v>
      </c>
      <c r="E99" s="15">
        <v>18</v>
      </c>
      <c r="F99" s="130">
        <f t="shared" si="5"/>
        <v>4.0698526180081455E-2</v>
      </c>
      <c r="G99" s="130">
        <f t="shared" si="6"/>
        <v>10.358948446965533</v>
      </c>
      <c r="H99" s="130">
        <f t="shared" si="7"/>
        <v>0.60102099055108127</v>
      </c>
      <c r="I99" s="130"/>
      <c r="J99" s="69">
        <v>1389</v>
      </c>
      <c r="L99" s="32"/>
      <c r="M99" s="32">
        <v>31538</v>
      </c>
      <c r="N99" s="32">
        <v>34129</v>
      </c>
      <c r="O99" s="32">
        <v>12583</v>
      </c>
      <c r="P99" s="32"/>
      <c r="Q99" s="32"/>
      <c r="R99" s="32">
        <v>18955</v>
      </c>
    </row>
    <row r="100" spans="1:18" ht="17">
      <c r="A100" s="134" t="s">
        <v>68</v>
      </c>
      <c r="B100" s="134" t="s">
        <v>200</v>
      </c>
      <c r="C100" s="134" t="s">
        <v>203</v>
      </c>
      <c r="D100" s="134">
        <v>0</v>
      </c>
      <c r="E100" s="15">
        <v>14</v>
      </c>
      <c r="F100" s="130">
        <f t="shared" si="5"/>
        <v>-0.12836247866008396</v>
      </c>
      <c r="G100" s="130">
        <f t="shared" si="6"/>
        <v>12.752536611876987</v>
      </c>
      <c r="H100" s="130">
        <f t="shared" si="7"/>
        <v>0.83531976365483884</v>
      </c>
      <c r="I100" s="130"/>
      <c r="J100" s="72">
        <v>-2782</v>
      </c>
      <c r="K100" s="24" t="s">
        <v>197</v>
      </c>
      <c r="L100" s="38">
        <v>3500</v>
      </c>
      <c r="M100" s="38">
        <v>345427</v>
      </c>
      <c r="N100" s="38">
        <v>21673</v>
      </c>
      <c r="O100" s="38">
        <v>56885</v>
      </c>
      <c r="P100" s="38">
        <v>271835</v>
      </c>
      <c r="Q100" s="38">
        <v>16707</v>
      </c>
      <c r="R100" s="32">
        <v>288542</v>
      </c>
    </row>
    <row r="101" spans="1:18" ht="17">
      <c r="A101" s="134" t="s">
        <v>89</v>
      </c>
      <c r="B101" s="134" t="s">
        <v>200</v>
      </c>
      <c r="C101" s="134" t="s">
        <v>203</v>
      </c>
      <c r="D101" s="134">
        <v>0</v>
      </c>
      <c r="E101" s="15">
        <v>2</v>
      </c>
      <c r="F101" s="130">
        <f t="shared" si="5"/>
        <v>-1.0366155522690121</v>
      </c>
      <c r="G101" s="130">
        <f t="shared" si="6"/>
        <v>11.947651596360352</v>
      </c>
      <c r="H101" s="130">
        <f t="shared" si="7"/>
        <v>1.447129889805379</v>
      </c>
      <c r="I101" s="130"/>
      <c r="J101" s="72">
        <v>-66587</v>
      </c>
      <c r="K101" s="24" t="s">
        <v>197</v>
      </c>
      <c r="L101" s="38" t="s">
        <v>197</v>
      </c>
      <c r="M101" s="38">
        <v>154454</v>
      </c>
      <c r="N101" s="38">
        <v>64235</v>
      </c>
      <c r="O101" s="38">
        <v>-69061</v>
      </c>
      <c r="P101" s="38" t="s">
        <v>197</v>
      </c>
      <c r="Q101" s="38" t="s">
        <v>197</v>
      </c>
      <c r="R101" s="32">
        <v>223515</v>
      </c>
    </row>
    <row r="102" spans="1:18">
      <c r="A102" s="134" t="s">
        <v>98</v>
      </c>
      <c r="B102" s="134" t="s">
        <v>200</v>
      </c>
      <c r="C102" s="134" t="s">
        <v>203</v>
      </c>
      <c r="D102" s="134">
        <v>0</v>
      </c>
      <c r="E102" s="15">
        <v>6</v>
      </c>
      <c r="F102" s="130">
        <f t="shared" si="5"/>
        <v>6.7974470417792393E-2</v>
      </c>
      <c r="G102" s="130">
        <f t="shared" si="6"/>
        <v>10.865439749778165</v>
      </c>
      <c r="H102" s="130">
        <f t="shared" si="7"/>
        <v>0.54660272088046469</v>
      </c>
      <c r="I102" s="130"/>
      <c r="J102" s="78">
        <v>3472</v>
      </c>
      <c r="K102" s="16"/>
      <c r="L102" s="47"/>
      <c r="M102" s="32">
        <v>52336</v>
      </c>
      <c r="N102" s="32">
        <v>51078</v>
      </c>
      <c r="O102" s="32">
        <v>23729</v>
      </c>
      <c r="P102" s="32"/>
      <c r="Q102" s="32"/>
      <c r="R102" s="32">
        <v>28607</v>
      </c>
    </row>
    <row r="103" spans="1:18">
      <c r="A103" s="134" t="s">
        <v>103</v>
      </c>
      <c r="B103" s="134" t="s">
        <v>200</v>
      </c>
      <c r="C103" s="134" t="s">
        <v>203</v>
      </c>
      <c r="D103" s="134">
        <v>0</v>
      </c>
      <c r="E103" s="15">
        <v>9</v>
      </c>
      <c r="F103" s="130">
        <f t="shared" si="5"/>
        <v>9.936771634019341E-2</v>
      </c>
      <c r="G103" s="130">
        <f t="shared" si="6"/>
        <v>10.028356534581997</v>
      </c>
      <c r="H103" s="130">
        <f t="shared" si="7"/>
        <v>0.97060900264783756</v>
      </c>
      <c r="I103" s="130"/>
      <c r="J103" s="78">
        <v>3206</v>
      </c>
      <c r="K103" s="15"/>
      <c r="L103" s="47"/>
      <c r="M103" s="32">
        <v>22660</v>
      </c>
      <c r="N103" s="32">
        <v>32264</v>
      </c>
      <c r="O103" s="32">
        <v>666</v>
      </c>
      <c r="P103" s="32"/>
      <c r="Q103" s="32"/>
      <c r="R103" s="32">
        <v>21994</v>
      </c>
    </row>
    <row r="104" spans="1:18" ht="17">
      <c r="A104" s="134" t="s">
        <v>105</v>
      </c>
      <c r="B104" s="134" t="s">
        <v>200</v>
      </c>
      <c r="C104" s="134" t="s">
        <v>203</v>
      </c>
      <c r="D104" s="134">
        <v>0</v>
      </c>
      <c r="E104" s="15">
        <v>7</v>
      </c>
      <c r="F104" s="130">
        <f t="shared" si="5"/>
        <v>-7.2812034411496127E-2</v>
      </c>
      <c r="G104" s="130">
        <f t="shared" si="6"/>
        <v>12.790826939661995</v>
      </c>
      <c r="H104" s="130">
        <f t="shared" si="7"/>
        <v>0.91580897718090881</v>
      </c>
      <c r="I104" s="130"/>
      <c r="J104" s="72">
        <v>-1515</v>
      </c>
      <c r="K104" s="24">
        <v>15</v>
      </c>
      <c r="L104" s="38">
        <v>4356</v>
      </c>
      <c r="M104" s="38">
        <v>358910</v>
      </c>
      <c r="N104" s="38">
        <v>20807</v>
      </c>
      <c r="O104" s="38">
        <v>30217</v>
      </c>
      <c r="P104" s="38">
        <v>301995</v>
      </c>
      <c r="Q104" s="38">
        <v>26698</v>
      </c>
      <c r="R104" s="32">
        <v>328693</v>
      </c>
    </row>
    <row r="105" spans="1:18" ht="17">
      <c r="A105" s="134" t="s">
        <v>106</v>
      </c>
      <c r="B105" s="134" t="s">
        <v>200</v>
      </c>
      <c r="C105" s="134" t="s">
        <v>203</v>
      </c>
      <c r="D105" s="134">
        <v>1</v>
      </c>
      <c r="E105" s="15">
        <v>5</v>
      </c>
      <c r="F105" s="130">
        <f t="shared" si="5"/>
        <v>-0.7055273434485313</v>
      </c>
      <c r="G105" s="130">
        <f t="shared" si="6"/>
        <v>12.351267628263496</v>
      </c>
      <c r="H105" s="130">
        <f t="shared" si="7"/>
        <v>0.8153105040799471</v>
      </c>
      <c r="I105" s="130"/>
      <c r="J105" s="72">
        <v>-91418</v>
      </c>
      <c r="K105" s="24" t="s">
        <v>197</v>
      </c>
      <c r="L105" s="38" t="s">
        <v>197</v>
      </c>
      <c r="M105" s="38">
        <v>231253</v>
      </c>
      <c r="N105" s="38">
        <v>129574</v>
      </c>
      <c r="O105" s="38">
        <v>42710</v>
      </c>
      <c r="P105" s="38" t="s">
        <v>197</v>
      </c>
      <c r="Q105" s="38" t="s">
        <v>197</v>
      </c>
      <c r="R105" s="32">
        <v>188543</v>
      </c>
    </row>
    <row r="106" spans="1:18" ht="17">
      <c r="A106" s="134" t="s">
        <v>107</v>
      </c>
      <c r="B106" s="134" t="s">
        <v>200</v>
      </c>
      <c r="C106" s="134" t="s">
        <v>203</v>
      </c>
      <c r="D106" s="134">
        <v>0</v>
      </c>
      <c r="E106" s="15">
        <v>3</v>
      </c>
      <c r="F106" s="130">
        <f t="shared" si="5"/>
        <v>1.1618042417604302E-2</v>
      </c>
      <c r="G106" s="130">
        <f t="shared" si="6"/>
        <v>13.331787648289493</v>
      </c>
      <c r="H106" s="130">
        <f t="shared" si="7"/>
        <v>0.69484690600242671</v>
      </c>
      <c r="I106" s="130"/>
      <c r="J106" s="72">
        <v>2917</v>
      </c>
      <c r="K106" s="24">
        <v>171</v>
      </c>
      <c r="L106" s="38">
        <v>8983</v>
      </c>
      <c r="M106" s="38">
        <v>616484</v>
      </c>
      <c r="N106" s="38">
        <v>251075</v>
      </c>
      <c r="O106" s="38">
        <v>188122</v>
      </c>
      <c r="P106" s="38">
        <v>311671</v>
      </c>
      <c r="Q106" s="38">
        <v>116692</v>
      </c>
      <c r="R106" s="32">
        <v>428362</v>
      </c>
    </row>
    <row r="107" spans="1:18" ht="17">
      <c r="A107" s="134" t="s">
        <v>111</v>
      </c>
      <c r="B107" s="134" t="s">
        <v>200</v>
      </c>
      <c r="C107" s="134" t="s">
        <v>203</v>
      </c>
      <c r="D107" s="134">
        <v>1</v>
      </c>
      <c r="E107" s="15">
        <v>1</v>
      </c>
      <c r="F107" s="130">
        <f t="shared" si="5"/>
        <v>4.194316789564536E-2</v>
      </c>
      <c r="G107" s="130">
        <f t="shared" si="6"/>
        <v>13.800543102362488</v>
      </c>
      <c r="H107" s="130">
        <f t="shared" si="7"/>
        <v>0.52538004596282373</v>
      </c>
      <c r="I107" s="130"/>
      <c r="J107" s="72">
        <v>27627</v>
      </c>
      <c r="K107" s="24" t="s">
        <v>197</v>
      </c>
      <c r="L107" s="38" t="s">
        <v>197</v>
      </c>
      <c r="M107" s="38">
        <v>985144</v>
      </c>
      <c r="N107" s="38">
        <v>658677</v>
      </c>
      <c r="O107" s="38">
        <v>467569</v>
      </c>
      <c r="P107" s="38" t="s">
        <v>197</v>
      </c>
      <c r="Q107" s="38" t="s">
        <v>197</v>
      </c>
      <c r="R107" s="32">
        <v>517575</v>
      </c>
    </row>
    <row r="108" spans="1:18">
      <c r="A108" s="134" t="s">
        <v>116</v>
      </c>
      <c r="B108" s="134" t="s">
        <v>200</v>
      </c>
      <c r="C108" s="134" t="s">
        <v>203</v>
      </c>
      <c r="D108" s="134">
        <v>0</v>
      </c>
      <c r="E108" s="15">
        <v>11</v>
      </c>
      <c r="F108" s="130">
        <f t="shared" si="5"/>
        <v>0.10123903260936569</v>
      </c>
      <c r="G108" s="130">
        <f t="shared" si="6"/>
        <v>10.596609732783568</v>
      </c>
      <c r="H108" s="130">
        <f t="shared" si="7"/>
        <v>0.67111677791944802</v>
      </c>
      <c r="I108" s="130"/>
      <c r="J108" s="78">
        <v>4927</v>
      </c>
      <c r="K108" s="16"/>
      <c r="L108" s="47"/>
      <c r="M108" s="32">
        <v>39999</v>
      </c>
      <c r="N108" s="32">
        <v>48667</v>
      </c>
      <c r="O108" s="32">
        <v>13155</v>
      </c>
      <c r="P108" s="32"/>
      <c r="Q108" s="32"/>
      <c r="R108" s="32">
        <v>26844</v>
      </c>
    </row>
    <row r="109" spans="1:18">
      <c r="A109" s="134" t="s">
        <v>134</v>
      </c>
      <c r="B109" s="134" t="s">
        <v>200</v>
      </c>
      <c r="C109" s="134" t="s">
        <v>203</v>
      </c>
      <c r="D109" s="134">
        <v>0</v>
      </c>
      <c r="E109" s="15">
        <v>8</v>
      </c>
      <c r="F109" s="130">
        <f t="shared" si="5"/>
        <v>2.4853413121636949E-3</v>
      </c>
      <c r="G109" s="130">
        <f t="shared" si="6"/>
        <v>10.527070269710164</v>
      </c>
      <c r="H109" s="130">
        <f t="shared" si="7"/>
        <v>0.75594982847341341</v>
      </c>
      <c r="I109" s="130"/>
      <c r="J109" s="78">
        <v>103</v>
      </c>
      <c r="K109" s="16"/>
      <c r="L109" s="47"/>
      <c r="M109" s="32">
        <v>37312</v>
      </c>
      <c r="N109" s="32">
        <v>41443</v>
      </c>
      <c r="O109" s="32">
        <v>9106</v>
      </c>
      <c r="P109" s="32"/>
      <c r="Q109" s="32"/>
      <c r="R109" s="32">
        <v>28206</v>
      </c>
    </row>
    <row r="110" spans="1:18" ht="17">
      <c r="A110" s="134" t="s">
        <v>135</v>
      </c>
      <c r="B110" s="134" t="s">
        <v>200</v>
      </c>
      <c r="C110" s="134" t="s">
        <v>203</v>
      </c>
      <c r="D110" s="134">
        <v>0</v>
      </c>
      <c r="E110" s="15">
        <v>10</v>
      </c>
      <c r="F110" s="130">
        <f t="shared" si="5"/>
        <v>0.11649142224681792</v>
      </c>
      <c r="G110" s="130">
        <f t="shared" si="6"/>
        <v>11.946232692306483</v>
      </c>
      <c r="H110" s="130">
        <f t="shared" si="7"/>
        <v>0.79404155995720815</v>
      </c>
      <c r="I110" s="130"/>
      <c r="J110" s="72">
        <v>8841</v>
      </c>
      <c r="K110" s="24">
        <v>208</v>
      </c>
      <c r="L110" s="38">
        <v>43160</v>
      </c>
      <c r="M110" s="38">
        <v>154235</v>
      </c>
      <c r="N110" s="38">
        <v>75894</v>
      </c>
      <c r="O110" s="38">
        <v>31766</v>
      </c>
      <c r="P110" s="38">
        <v>11501</v>
      </c>
      <c r="Q110" s="38">
        <v>110968</v>
      </c>
      <c r="R110" s="32">
        <v>122469</v>
      </c>
    </row>
    <row r="111" spans="1:18">
      <c r="A111" s="134" t="s">
        <v>141</v>
      </c>
      <c r="B111" s="134" t="s">
        <v>200</v>
      </c>
      <c r="C111" s="134" t="s">
        <v>203</v>
      </c>
      <c r="D111" s="134">
        <v>0</v>
      </c>
      <c r="E111" s="15">
        <v>16</v>
      </c>
      <c r="F111" s="130">
        <f t="shared" si="5"/>
        <v>0.28034271993014626</v>
      </c>
      <c r="G111" s="130">
        <f t="shared" si="6"/>
        <v>10.852051844960579</v>
      </c>
      <c r="H111" s="130">
        <f t="shared" si="7"/>
        <v>0.79825716498838106</v>
      </c>
      <c r="I111" s="130"/>
      <c r="J111" s="69">
        <v>10274</v>
      </c>
      <c r="K111" s="14"/>
      <c r="L111" s="53"/>
      <c r="M111" s="47">
        <v>51640</v>
      </c>
      <c r="N111" s="32">
        <v>36648</v>
      </c>
      <c r="O111" s="32">
        <v>10418</v>
      </c>
      <c r="P111" s="32"/>
      <c r="Q111" s="32"/>
      <c r="R111" s="32">
        <v>41222</v>
      </c>
    </row>
    <row r="112" spans="1:18" ht="17">
      <c r="A112" s="130" t="s">
        <v>21</v>
      </c>
      <c r="B112" s="130" t="s">
        <v>172</v>
      </c>
      <c r="C112" s="130" t="s">
        <v>203</v>
      </c>
      <c r="D112" s="130">
        <v>0</v>
      </c>
      <c r="E112" s="7">
        <v>5</v>
      </c>
      <c r="F112" s="130">
        <f t="shared" si="5"/>
        <v>-6.844541844810742E-2</v>
      </c>
      <c r="G112" s="130">
        <f t="shared" si="6"/>
        <v>13.85501776853479</v>
      </c>
      <c r="H112" s="130">
        <f t="shared" si="7"/>
        <v>0.57395477065225542</v>
      </c>
      <c r="I112" s="130"/>
      <c r="J112" s="79">
        <v>-30545</v>
      </c>
      <c r="K112" s="26">
        <v>724</v>
      </c>
      <c r="L112" s="48">
        <v>10172</v>
      </c>
      <c r="M112" s="48">
        <v>1040298</v>
      </c>
      <c r="N112" s="48">
        <v>446268</v>
      </c>
      <c r="O112" s="48">
        <v>443214</v>
      </c>
      <c r="P112" s="48">
        <v>319195</v>
      </c>
      <c r="Q112" s="48">
        <v>277889</v>
      </c>
      <c r="R112" s="35">
        <f t="shared" ref="R112:R145" si="10">P112+Q112</f>
        <v>597084</v>
      </c>
    </row>
    <row r="113" spans="1:18" ht="17">
      <c r="A113" s="130" t="s">
        <v>33</v>
      </c>
      <c r="B113" s="130" t="s">
        <v>172</v>
      </c>
      <c r="C113" s="130" t="s">
        <v>203</v>
      </c>
      <c r="D113" s="130">
        <v>0</v>
      </c>
      <c r="E113" s="7">
        <v>14</v>
      </c>
      <c r="F113" s="130">
        <f t="shared" si="5"/>
        <v>-0.24723565208107737</v>
      </c>
      <c r="G113" s="130">
        <f t="shared" si="6"/>
        <v>12.022522334126382</v>
      </c>
      <c r="H113" s="130">
        <f t="shared" si="7"/>
        <v>1.3517859931996492</v>
      </c>
      <c r="I113" s="130"/>
      <c r="J113" s="79">
        <v>-32421</v>
      </c>
      <c r="K113" s="26">
        <v>621</v>
      </c>
      <c r="L113" s="48">
        <v>39600</v>
      </c>
      <c r="M113" s="48">
        <v>166462</v>
      </c>
      <c r="N113" s="48">
        <v>131134</v>
      </c>
      <c r="O113" s="48">
        <v>-58686</v>
      </c>
      <c r="P113" s="48">
        <v>120739</v>
      </c>
      <c r="Q113" s="48">
        <v>104282</v>
      </c>
      <c r="R113" s="35">
        <f t="shared" si="10"/>
        <v>225021</v>
      </c>
    </row>
    <row r="114" spans="1:18" ht="17">
      <c r="A114" s="130" t="s">
        <v>36</v>
      </c>
      <c r="B114" s="130" t="s">
        <v>172</v>
      </c>
      <c r="C114" s="130" t="s">
        <v>203</v>
      </c>
      <c r="D114" s="130">
        <v>0</v>
      </c>
      <c r="E114" s="7">
        <v>17</v>
      </c>
      <c r="F114" s="130">
        <f t="shared" si="5"/>
        <v>-0.11192715742243556</v>
      </c>
      <c r="G114" s="130">
        <f t="shared" si="6"/>
        <v>12.007786327401963</v>
      </c>
      <c r="H114" s="130">
        <f t="shared" si="7"/>
        <v>1.8591329476244765</v>
      </c>
      <c r="I114" s="130"/>
      <c r="J114" s="79">
        <v>-17861</v>
      </c>
      <c r="K114" s="26">
        <v>954</v>
      </c>
      <c r="L114" s="48">
        <v>243646</v>
      </c>
      <c r="M114" s="48">
        <v>164027</v>
      </c>
      <c r="N114" s="48">
        <v>159577</v>
      </c>
      <c r="O114" s="48">
        <v>-140921</v>
      </c>
      <c r="P114" s="48">
        <v>9758</v>
      </c>
      <c r="Q114" s="48">
        <v>295190</v>
      </c>
      <c r="R114" s="35">
        <f t="shared" si="10"/>
        <v>304948</v>
      </c>
    </row>
    <row r="115" spans="1:18" ht="17">
      <c r="A115" s="130" t="s">
        <v>37</v>
      </c>
      <c r="B115" s="130" t="s">
        <v>172</v>
      </c>
      <c r="C115" s="130" t="s">
        <v>203</v>
      </c>
      <c r="D115" s="130">
        <v>0</v>
      </c>
      <c r="E115" s="7">
        <v>15</v>
      </c>
      <c r="F115" s="130">
        <f t="shared" si="5"/>
        <v>3.2781549637749555E-2</v>
      </c>
      <c r="G115" s="130">
        <f t="shared" si="6"/>
        <v>11.896369887709124</v>
      </c>
      <c r="H115" s="130">
        <f t="shared" si="7"/>
        <v>0.42030081849345408</v>
      </c>
      <c r="I115" s="130"/>
      <c r="J115" s="79">
        <v>5036</v>
      </c>
      <c r="K115" s="26">
        <v>255</v>
      </c>
      <c r="L115" s="48">
        <v>576</v>
      </c>
      <c r="M115" s="48">
        <v>146733</v>
      </c>
      <c r="N115" s="48">
        <v>153623</v>
      </c>
      <c r="O115" s="48">
        <v>85060</v>
      </c>
      <c r="P115" s="48">
        <v>9989</v>
      </c>
      <c r="Q115" s="48">
        <v>51683</v>
      </c>
      <c r="R115" s="35">
        <f t="shared" si="10"/>
        <v>61672</v>
      </c>
    </row>
    <row r="116" spans="1:18" ht="17">
      <c r="A116" s="130" t="s">
        <v>44</v>
      </c>
      <c r="B116" s="130" t="s">
        <v>172</v>
      </c>
      <c r="C116" s="130" t="s">
        <v>203</v>
      </c>
      <c r="D116" s="130">
        <v>1</v>
      </c>
      <c r="E116" s="7">
        <v>3</v>
      </c>
      <c r="F116" s="130">
        <f t="shared" si="5"/>
        <v>-0.21616841006284257</v>
      </c>
      <c r="G116" s="130">
        <f t="shared" si="6"/>
        <v>13.792387263350053</v>
      </c>
      <c r="H116" s="130">
        <f t="shared" si="7"/>
        <v>0.47095202130294267</v>
      </c>
      <c r="I116" s="130"/>
      <c r="J116" s="79">
        <v>-107667</v>
      </c>
      <c r="K116" s="26">
        <v>798</v>
      </c>
      <c r="L116" s="48">
        <v>79395</v>
      </c>
      <c r="M116" s="48">
        <v>977142</v>
      </c>
      <c r="N116" s="48">
        <v>498070</v>
      </c>
      <c r="O116" s="48">
        <v>516956</v>
      </c>
      <c r="P116" s="48">
        <v>43274</v>
      </c>
      <c r="Q116" s="48">
        <v>416913</v>
      </c>
      <c r="R116" s="35">
        <f t="shared" si="10"/>
        <v>460187</v>
      </c>
    </row>
    <row r="117" spans="1:18" ht="17">
      <c r="A117" s="130" t="s">
        <v>47</v>
      </c>
      <c r="B117" s="130" t="s">
        <v>172</v>
      </c>
      <c r="C117" s="130" t="s">
        <v>203</v>
      </c>
      <c r="D117" s="130">
        <v>0</v>
      </c>
      <c r="E117" s="7">
        <v>12</v>
      </c>
      <c r="F117" s="130">
        <f t="shared" si="5"/>
        <v>1.6788499652518597E-2</v>
      </c>
      <c r="G117" s="130">
        <f t="shared" si="6"/>
        <v>12.223087075689303</v>
      </c>
      <c r="H117" s="130">
        <f t="shared" si="7"/>
        <v>0.46974418970466791</v>
      </c>
      <c r="I117" s="130"/>
      <c r="J117" s="79">
        <v>2609</v>
      </c>
      <c r="K117" s="26">
        <v>236</v>
      </c>
      <c r="L117" s="48">
        <v>24375</v>
      </c>
      <c r="M117" s="35">
        <v>203432</v>
      </c>
      <c r="N117" s="48">
        <v>155404</v>
      </c>
      <c r="O117" s="48">
        <v>33297</v>
      </c>
      <c r="P117" s="48">
        <v>26101</v>
      </c>
      <c r="Q117" s="48">
        <v>69460</v>
      </c>
      <c r="R117" s="35">
        <f t="shared" si="10"/>
        <v>95561</v>
      </c>
    </row>
    <row r="118" spans="1:18" ht="17">
      <c r="A118" s="130" t="s">
        <v>57</v>
      </c>
      <c r="B118" s="130" t="s">
        <v>172</v>
      </c>
      <c r="C118" s="130" t="s">
        <v>203</v>
      </c>
      <c r="D118" s="130">
        <v>0</v>
      </c>
      <c r="E118" s="7">
        <v>8</v>
      </c>
      <c r="F118" s="130">
        <f t="shared" si="5"/>
        <v>-0.59582461070803816</v>
      </c>
      <c r="G118" s="130">
        <f t="shared" si="6"/>
        <v>13.001690670667118</v>
      </c>
      <c r="H118" s="130">
        <f t="shared" si="7"/>
        <v>0.59545719172672751</v>
      </c>
      <c r="I118" s="130"/>
      <c r="J118" s="79">
        <v>-124662</v>
      </c>
      <c r="K118" s="26">
        <v>456</v>
      </c>
      <c r="L118" s="48">
        <v>19999</v>
      </c>
      <c r="M118" s="48">
        <v>443162</v>
      </c>
      <c r="N118" s="48">
        <v>209226</v>
      </c>
      <c r="O118" s="48">
        <v>179277</v>
      </c>
      <c r="P118" s="48">
        <v>77885</v>
      </c>
      <c r="Q118" s="48">
        <v>185999</v>
      </c>
      <c r="R118" s="35">
        <f t="shared" si="10"/>
        <v>263884</v>
      </c>
    </row>
    <row r="119" spans="1:18" ht="17">
      <c r="A119" s="130" t="s">
        <v>61</v>
      </c>
      <c r="B119" s="130" t="s">
        <v>172</v>
      </c>
      <c r="C119" s="130" t="s">
        <v>203</v>
      </c>
      <c r="D119" s="130">
        <v>0</v>
      </c>
      <c r="E119" s="7">
        <v>19</v>
      </c>
      <c r="F119" s="130">
        <f t="shared" si="5"/>
        <v>-0.1465017092625753</v>
      </c>
      <c r="G119" s="130">
        <f t="shared" si="6"/>
        <v>12.517296668814931</v>
      </c>
      <c r="H119" s="130">
        <f t="shared" si="7"/>
        <v>0.40743684505473976</v>
      </c>
      <c r="I119" s="130"/>
      <c r="J119" s="79">
        <v>-22499</v>
      </c>
      <c r="K119" s="26">
        <v>266</v>
      </c>
      <c r="L119" s="48">
        <v>370</v>
      </c>
      <c r="M119" s="48">
        <v>273019</v>
      </c>
      <c r="N119" s="48">
        <v>153575</v>
      </c>
      <c r="O119" s="48">
        <v>161781</v>
      </c>
      <c r="P119" s="48">
        <v>54814</v>
      </c>
      <c r="Q119" s="48">
        <v>56424</v>
      </c>
      <c r="R119" s="35">
        <f t="shared" si="10"/>
        <v>111238</v>
      </c>
    </row>
    <row r="120" spans="1:18" ht="17">
      <c r="A120" s="130" t="s">
        <v>87</v>
      </c>
      <c r="B120" s="130" t="s">
        <v>172</v>
      </c>
      <c r="C120" s="130" t="s">
        <v>203</v>
      </c>
      <c r="D120" s="130">
        <v>0</v>
      </c>
      <c r="E120" s="7">
        <v>9</v>
      </c>
      <c r="F120" s="130">
        <f t="shared" si="5"/>
        <v>0.19769242295589631</v>
      </c>
      <c r="G120" s="130">
        <f t="shared" si="6"/>
        <v>11.28640120549654</v>
      </c>
      <c r="H120" s="130">
        <f t="shared" si="7"/>
        <v>0.35709268782139719</v>
      </c>
      <c r="I120" s="130"/>
      <c r="J120" s="79">
        <v>3958</v>
      </c>
      <c r="K120" s="26">
        <v>171</v>
      </c>
      <c r="L120" s="48">
        <v>9195</v>
      </c>
      <c r="M120" s="48">
        <v>79730</v>
      </c>
      <c r="N120" s="48">
        <v>20021</v>
      </c>
      <c r="O120" s="48">
        <v>44990</v>
      </c>
      <c r="P120" s="48">
        <v>17136</v>
      </c>
      <c r="Q120" s="48">
        <v>11335</v>
      </c>
      <c r="R120" s="35">
        <f t="shared" si="10"/>
        <v>28471</v>
      </c>
    </row>
    <row r="121" spans="1:18" ht="17">
      <c r="A121" s="130" t="s">
        <v>90</v>
      </c>
      <c r="B121" s="130" t="s">
        <v>172</v>
      </c>
      <c r="C121" s="130" t="s">
        <v>203</v>
      </c>
      <c r="D121" s="130">
        <v>0</v>
      </c>
      <c r="E121" s="7">
        <v>2</v>
      </c>
      <c r="F121" s="130">
        <f t="shared" si="5"/>
        <v>6.2647064203554315E-2</v>
      </c>
      <c r="G121" s="130">
        <f t="shared" si="6"/>
        <v>13.641139313517199</v>
      </c>
      <c r="H121" s="130">
        <f t="shared" si="7"/>
        <v>0.66660357030185058</v>
      </c>
      <c r="I121" s="130"/>
      <c r="J121" s="79">
        <v>37673</v>
      </c>
      <c r="K121" s="26">
        <v>853</v>
      </c>
      <c r="L121" s="48">
        <v>89466</v>
      </c>
      <c r="M121" s="48">
        <v>839985</v>
      </c>
      <c r="N121" s="48">
        <v>601353</v>
      </c>
      <c r="O121" s="48">
        <v>280049</v>
      </c>
      <c r="P121" s="48">
        <v>148748</v>
      </c>
      <c r="Q121" s="48">
        <v>411189</v>
      </c>
      <c r="R121" s="35">
        <f t="shared" si="10"/>
        <v>559937</v>
      </c>
    </row>
    <row r="122" spans="1:18" ht="17">
      <c r="A122" s="130" t="s">
        <v>94</v>
      </c>
      <c r="B122" s="130" t="s">
        <v>172</v>
      </c>
      <c r="C122" s="130" t="s">
        <v>203</v>
      </c>
      <c r="D122" s="130">
        <v>1</v>
      </c>
      <c r="E122" s="7">
        <v>1</v>
      </c>
      <c r="F122" s="130">
        <f t="shared" si="5"/>
        <v>1.8833234449215464E-2</v>
      </c>
      <c r="G122" s="130">
        <f t="shared" si="6"/>
        <v>14.091654825191942</v>
      </c>
      <c r="H122" s="130">
        <f t="shared" si="7"/>
        <v>0.35990843966562419</v>
      </c>
      <c r="I122" s="130"/>
      <c r="J122" s="79">
        <v>11237</v>
      </c>
      <c r="K122" s="26">
        <v>463</v>
      </c>
      <c r="L122" s="48">
        <v>10966</v>
      </c>
      <c r="M122" s="48">
        <v>1318038</v>
      </c>
      <c r="N122" s="48">
        <v>596658</v>
      </c>
      <c r="O122" s="48">
        <v>843665</v>
      </c>
      <c r="P122" s="48">
        <v>96437</v>
      </c>
      <c r="Q122" s="48">
        <v>377936</v>
      </c>
      <c r="R122" s="35">
        <f t="shared" si="10"/>
        <v>474373</v>
      </c>
    </row>
    <row r="123" spans="1:18" ht="17">
      <c r="A123" s="130" t="s">
        <v>95</v>
      </c>
      <c r="B123" s="130" t="s">
        <v>172</v>
      </c>
      <c r="C123" s="130" t="s">
        <v>203</v>
      </c>
      <c r="D123" s="130">
        <v>0</v>
      </c>
      <c r="E123" s="7">
        <v>6</v>
      </c>
      <c r="F123" s="130">
        <f t="shared" si="5"/>
        <v>3.01069117173812E-2</v>
      </c>
      <c r="G123" s="130">
        <f t="shared" si="6"/>
        <v>14.327416997438482</v>
      </c>
      <c r="H123" s="130">
        <f t="shared" si="7"/>
        <v>0.722555828127463</v>
      </c>
      <c r="I123" s="130"/>
      <c r="J123" s="79">
        <v>21050</v>
      </c>
      <c r="K123" s="26">
        <v>940</v>
      </c>
      <c r="L123" s="48">
        <v>0</v>
      </c>
      <c r="M123" s="48">
        <v>1668469</v>
      </c>
      <c r="N123" s="48">
        <v>699175</v>
      </c>
      <c r="O123" s="48">
        <v>462907</v>
      </c>
      <c r="P123" s="48">
        <v>727446</v>
      </c>
      <c r="Q123" s="48">
        <v>478116</v>
      </c>
      <c r="R123" s="35">
        <f t="shared" si="10"/>
        <v>1205562</v>
      </c>
    </row>
    <row r="124" spans="1:18" ht="17">
      <c r="A124" s="130" t="s">
        <v>102</v>
      </c>
      <c r="B124" s="130" t="s">
        <v>172</v>
      </c>
      <c r="C124" s="130" t="s">
        <v>203</v>
      </c>
      <c r="D124" s="130">
        <v>0</v>
      </c>
      <c r="E124" s="7">
        <v>13</v>
      </c>
      <c r="F124" s="130">
        <f t="shared" si="5"/>
        <v>0.19687272838181993</v>
      </c>
      <c r="G124" s="130">
        <f t="shared" si="6"/>
        <v>12.394471531227319</v>
      </c>
      <c r="H124" s="130">
        <f t="shared" si="7"/>
        <v>0.84510256229732916</v>
      </c>
      <c r="I124" s="130"/>
      <c r="J124" s="79">
        <v>38729</v>
      </c>
      <c r="K124" s="26">
        <v>274</v>
      </c>
      <c r="L124" s="48">
        <v>2092</v>
      </c>
      <c r="M124" s="48">
        <v>241463</v>
      </c>
      <c r="N124" s="48">
        <v>196721</v>
      </c>
      <c r="O124" s="48">
        <v>37403</v>
      </c>
      <c r="P124" s="48">
        <v>161592</v>
      </c>
      <c r="Q124" s="48">
        <v>42469</v>
      </c>
      <c r="R124" s="35">
        <f t="shared" si="10"/>
        <v>204061</v>
      </c>
    </row>
    <row r="125" spans="1:18" ht="17">
      <c r="A125" s="130" t="s">
        <v>129</v>
      </c>
      <c r="B125" s="130" t="s">
        <v>172</v>
      </c>
      <c r="C125" s="130" t="s">
        <v>203</v>
      </c>
      <c r="D125" s="130">
        <v>0</v>
      </c>
      <c r="E125" s="7">
        <v>16</v>
      </c>
      <c r="F125" s="130">
        <f t="shared" si="5"/>
        <v>-0.23668528979531095</v>
      </c>
      <c r="G125" s="130">
        <f t="shared" si="6"/>
        <v>12.496534600525615</v>
      </c>
      <c r="H125" s="130">
        <f t="shared" si="7"/>
        <v>0.75113029105228324</v>
      </c>
      <c r="I125" s="130"/>
      <c r="J125" s="79">
        <v>-38170</v>
      </c>
      <c r="K125" s="26">
        <v>385</v>
      </c>
      <c r="L125" s="48">
        <v>48907</v>
      </c>
      <c r="M125" s="48">
        <v>267409</v>
      </c>
      <c r="N125" s="48">
        <v>161269</v>
      </c>
      <c r="O125" s="48">
        <v>66550</v>
      </c>
      <c r="P125" s="48">
        <v>58405</v>
      </c>
      <c r="Q125" s="48">
        <v>142454</v>
      </c>
      <c r="R125" s="35">
        <f t="shared" si="10"/>
        <v>200859</v>
      </c>
    </row>
    <row r="126" spans="1:18" ht="17">
      <c r="A126" s="130" t="s">
        <v>140</v>
      </c>
      <c r="B126" s="130" t="s">
        <v>172</v>
      </c>
      <c r="C126" s="130" t="s">
        <v>203</v>
      </c>
      <c r="D126" s="130">
        <v>0</v>
      </c>
      <c r="E126" s="7">
        <v>4</v>
      </c>
      <c r="F126" s="130">
        <f t="shared" si="5"/>
        <v>0.14880058875409588</v>
      </c>
      <c r="G126" s="130">
        <f t="shared" si="6"/>
        <v>14.451658723744272</v>
      </c>
      <c r="H126" s="130">
        <f t="shared" si="7"/>
        <v>0.76174498065308416</v>
      </c>
      <c r="I126" s="130"/>
      <c r="J126" s="79">
        <v>76428</v>
      </c>
      <c r="K126" s="26">
        <v>561</v>
      </c>
      <c r="L126" s="48">
        <v>796</v>
      </c>
      <c r="M126" s="48">
        <v>1889190</v>
      </c>
      <c r="N126" s="48">
        <v>513627</v>
      </c>
      <c r="O126" s="48">
        <v>450110</v>
      </c>
      <c r="P126" s="48">
        <v>991585</v>
      </c>
      <c r="Q126" s="48">
        <v>447496</v>
      </c>
      <c r="R126" s="35">
        <f t="shared" si="10"/>
        <v>1439081</v>
      </c>
    </row>
    <row r="127" spans="1:18" ht="17">
      <c r="A127" s="130" t="s">
        <v>148</v>
      </c>
      <c r="B127" s="130" t="s">
        <v>172</v>
      </c>
      <c r="C127" s="130" t="s">
        <v>203</v>
      </c>
      <c r="D127" s="130">
        <v>0</v>
      </c>
      <c r="E127" s="7">
        <v>11</v>
      </c>
      <c r="F127" s="130">
        <f t="shared" si="5"/>
        <v>6.6125240695633164E-2</v>
      </c>
      <c r="G127" s="130">
        <f t="shared" si="6"/>
        <v>12.259547059545998</v>
      </c>
      <c r="H127" s="130">
        <f t="shared" si="7"/>
        <v>1.0921577735015593</v>
      </c>
      <c r="I127" s="130"/>
      <c r="J127" s="79">
        <v>10886</v>
      </c>
      <c r="K127" s="26">
        <v>297</v>
      </c>
      <c r="L127" s="48">
        <v>19997</v>
      </c>
      <c r="M127" s="48">
        <v>210986</v>
      </c>
      <c r="N127" s="48">
        <v>164627</v>
      </c>
      <c r="O127" s="48">
        <v>-19444</v>
      </c>
      <c r="P127" s="48">
        <v>114941</v>
      </c>
      <c r="Q127" s="48">
        <v>115489</v>
      </c>
      <c r="R127" s="35">
        <f t="shared" si="10"/>
        <v>230430</v>
      </c>
    </row>
    <row r="128" spans="1:18" ht="17">
      <c r="A128" s="130" t="s">
        <v>150</v>
      </c>
      <c r="B128" s="130" t="s">
        <v>172</v>
      </c>
      <c r="C128" s="130" t="s">
        <v>203</v>
      </c>
      <c r="D128" s="130">
        <v>0</v>
      </c>
      <c r="E128" s="7">
        <v>10</v>
      </c>
      <c r="F128" s="130">
        <f t="shared" si="5"/>
        <v>-0.14292487252546004</v>
      </c>
      <c r="G128" s="130">
        <f t="shared" si="6"/>
        <v>12.3994536538491</v>
      </c>
      <c r="H128" s="130">
        <f t="shared" si="7"/>
        <v>1.3630542014019096</v>
      </c>
      <c r="I128" s="130"/>
      <c r="J128" s="79">
        <v>-30749</v>
      </c>
      <c r="K128" s="26">
        <v>542</v>
      </c>
      <c r="L128" s="48">
        <v>101356</v>
      </c>
      <c r="M128" s="48">
        <v>242669</v>
      </c>
      <c r="N128" s="48">
        <v>215141</v>
      </c>
      <c r="O128" s="48">
        <v>-88102</v>
      </c>
      <c r="P128" s="48">
        <v>115735</v>
      </c>
      <c r="Q128" s="48">
        <v>215036</v>
      </c>
      <c r="R128" s="35">
        <f t="shared" si="10"/>
        <v>330771</v>
      </c>
    </row>
    <row r="129" spans="1:18" ht="17">
      <c r="A129" s="130" t="s">
        <v>151</v>
      </c>
      <c r="B129" s="130" t="s">
        <v>172</v>
      </c>
      <c r="C129" s="130" t="s">
        <v>203</v>
      </c>
      <c r="D129" s="130">
        <v>0</v>
      </c>
      <c r="E129" s="7">
        <v>7</v>
      </c>
      <c r="F129" s="130">
        <f t="shared" si="5"/>
        <v>0.12547026293608535</v>
      </c>
      <c r="G129" s="130">
        <f t="shared" si="6"/>
        <v>12.451705408118247</v>
      </c>
      <c r="H129" s="130">
        <f t="shared" si="7"/>
        <v>1.1797321714915951</v>
      </c>
      <c r="I129" s="130"/>
      <c r="J129" s="79">
        <v>24413</v>
      </c>
      <c r="K129" s="26">
        <v>365</v>
      </c>
      <c r="L129" s="48">
        <v>184525</v>
      </c>
      <c r="M129" s="48">
        <v>255686</v>
      </c>
      <c r="N129" s="48">
        <v>194572</v>
      </c>
      <c r="O129" s="48">
        <v>-45955</v>
      </c>
      <c r="P129" s="48">
        <v>27792</v>
      </c>
      <c r="Q129" s="48">
        <v>273849</v>
      </c>
      <c r="R129" s="35">
        <f t="shared" si="10"/>
        <v>301641</v>
      </c>
    </row>
    <row r="130" spans="1:18" ht="17">
      <c r="A130" s="132" t="s">
        <v>3</v>
      </c>
      <c r="B130" s="132" t="s">
        <v>198</v>
      </c>
      <c r="C130" s="132" t="s">
        <v>203</v>
      </c>
      <c r="D130" s="132">
        <v>1</v>
      </c>
      <c r="E130" s="10">
        <v>5</v>
      </c>
      <c r="F130" s="130">
        <f t="shared" ref="F130:F193" si="11">J130/N130</f>
        <v>-0.64101888565419185</v>
      </c>
      <c r="G130" s="130">
        <f t="shared" ref="G130:G193" si="12">LN(M130)</f>
        <v>13.030147206215094</v>
      </c>
      <c r="H130" s="130">
        <f t="shared" ref="H130:H193" si="13">R130/M130</f>
        <v>0.81733683661071077</v>
      </c>
      <c r="I130" s="130"/>
      <c r="J130" s="99">
        <v>-145985</v>
      </c>
      <c r="K130" s="100">
        <v>382</v>
      </c>
      <c r="L130" s="101">
        <v>95543</v>
      </c>
      <c r="M130" s="101">
        <v>455954</v>
      </c>
      <c r="N130" s="101">
        <v>227739</v>
      </c>
      <c r="O130" s="101">
        <v>83286</v>
      </c>
      <c r="P130" s="101">
        <v>26664</v>
      </c>
      <c r="Q130" s="101">
        <v>346004</v>
      </c>
      <c r="R130" s="102">
        <f t="shared" si="10"/>
        <v>372668</v>
      </c>
    </row>
    <row r="131" spans="1:18" ht="17">
      <c r="A131" s="132" t="s">
        <v>25</v>
      </c>
      <c r="B131" s="132" t="s">
        <v>198</v>
      </c>
      <c r="C131" s="132" t="s">
        <v>203</v>
      </c>
      <c r="D131" s="132">
        <v>0</v>
      </c>
      <c r="E131" s="10">
        <v>3</v>
      </c>
      <c r="F131" s="130">
        <f t="shared" si="11"/>
        <v>0.14139211284986331</v>
      </c>
      <c r="G131" s="130">
        <f t="shared" si="12"/>
        <v>12.241965712821539</v>
      </c>
      <c r="H131" s="130">
        <f t="shared" si="13"/>
        <v>0.62271777877467938</v>
      </c>
      <c r="I131" s="130"/>
      <c r="J131" s="99">
        <v>26582</v>
      </c>
      <c r="K131" s="100">
        <v>176</v>
      </c>
      <c r="L131" s="101">
        <v>740</v>
      </c>
      <c r="M131" s="101">
        <v>207309</v>
      </c>
      <c r="N131" s="101">
        <v>188002</v>
      </c>
      <c r="O131" s="101">
        <v>78214</v>
      </c>
      <c r="P131" s="101">
        <v>48469</v>
      </c>
      <c r="Q131" s="101">
        <v>80626</v>
      </c>
      <c r="R131" s="102">
        <f t="shared" si="10"/>
        <v>129095</v>
      </c>
    </row>
    <row r="132" spans="1:18" ht="17">
      <c r="A132" s="132" t="s">
        <v>32</v>
      </c>
      <c r="B132" s="132" t="s">
        <v>198</v>
      </c>
      <c r="C132" s="132" t="s">
        <v>203</v>
      </c>
      <c r="D132" s="132">
        <v>0</v>
      </c>
      <c r="E132" s="10">
        <v>10</v>
      </c>
      <c r="F132" s="130">
        <f t="shared" si="11"/>
        <v>-0.26763618437268916</v>
      </c>
      <c r="G132" s="130">
        <f t="shared" si="12"/>
        <v>11.880785620547261</v>
      </c>
      <c r="H132" s="130">
        <f t="shared" si="13"/>
        <v>0.81823845387086058</v>
      </c>
      <c r="I132" s="130"/>
      <c r="J132" s="99">
        <v>-21716</v>
      </c>
      <c r="K132" s="100">
        <v>200</v>
      </c>
      <c r="L132" s="101">
        <v>14482</v>
      </c>
      <c r="M132" s="101">
        <v>144464</v>
      </c>
      <c r="N132" s="101">
        <v>81140</v>
      </c>
      <c r="O132" s="101">
        <v>26257</v>
      </c>
      <c r="P132" s="101">
        <v>40899</v>
      </c>
      <c r="Q132" s="101">
        <v>77307</v>
      </c>
      <c r="R132" s="102">
        <f t="shared" si="10"/>
        <v>118206</v>
      </c>
    </row>
    <row r="133" spans="1:18" ht="17">
      <c r="A133" s="132" t="s">
        <v>55</v>
      </c>
      <c r="B133" s="132" t="s">
        <v>198</v>
      </c>
      <c r="C133" s="132" t="s">
        <v>203</v>
      </c>
      <c r="D133" s="132">
        <v>0</v>
      </c>
      <c r="E133" s="10">
        <v>18</v>
      </c>
      <c r="F133" s="130">
        <f t="shared" si="11"/>
        <v>-0.25724917032617078</v>
      </c>
      <c r="G133" s="130">
        <f t="shared" si="12"/>
        <v>11.234322056451651</v>
      </c>
      <c r="H133" s="130">
        <f t="shared" si="13"/>
        <v>0.38491623064320069</v>
      </c>
      <c r="I133" s="130"/>
      <c r="J133" s="103">
        <v>-7674</v>
      </c>
      <c r="K133" s="100">
        <v>102</v>
      </c>
      <c r="L133" s="102">
        <v>453</v>
      </c>
      <c r="M133" s="102">
        <v>75684</v>
      </c>
      <c r="N133" s="102">
        <v>29831</v>
      </c>
      <c r="O133" s="102">
        <f>M133-R133</f>
        <v>46552</v>
      </c>
      <c r="P133" s="102">
        <v>27565</v>
      </c>
      <c r="Q133" s="102">
        <v>1567</v>
      </c>
      <c r="R133" s="102">
        <f t="shared" si="10"/>
        <v>29132</v>
      </c>
    </row>
    <row r="134" spans="1:18" ht="17">
      <c r="A134" s="132" t="s">
        <v>59</v>
      </c>
      <c r="B134" s="132" t="s">
        <v>198</v>
      </c>
      <c r="C134" s="132" t="s">
        <v>203</v>
      </c>
      <c r="D134" s="132">
        <v>0</v>
      </c>
      <c r="E134" s="10">
        <v>16</v>
      </c>
      <c r="F134" s="130">
        <f t="shared" si="11"/>
        <v>-0.2624155157214223</v>
      </c>
      <c r="G134" s="130">
        <f t="shared" si="12"/>
        <v>12.350194634291325</v>
      </c>
      <c r="H134" s="130">
        <f t="shared" si="13"/>
        <v>0.73082833704898165</v>
      </c>
      <c r="I134" s="130"/>
      <c r="J134" s="99">
        <v>-27683</v>
      </c>
      <c r="K134" s="100">
        <v>216</v>
      </c>
      <c r="L134" s="101">
        <v>7500</v>
      </c>
      <c r="M134" s="101">
        <v>231005</v>
      </c>
      <c r="N134" s="101">
        <v>105493</v>
      </c>
      <c r="O134" s="101">
        <v>62179</v>
      </c>
      <c r="P134" s="101">
        <v>36192</v>
      </c>
      <c r="Q134" s="101">
        <v>132633</v>
      </c>
      <c r="R134" s="102">
        <f t="shared" si="10"/>
        <v>168825</v>
      </c>
    </row>
    <row r="135" spans="1:18" ht="17">
      <c r="A135" s="132" t="s">
        <v>65</v>
      </c>
      <c r="B135" s="132" t="s">
        <v>198</v>
      </c>
      <c r="C135" s="132" t="s">
        <v>203</v>
      </c>
      <c r="D135" s="132">
        <v>0</v>
      </c>
      <c r="E135" s="10">
        <v>17</v>
      </c>
      <c r="F135" s="130">
        <f t="shared" si="11"/>
        <v>6.6390229974562634E-2</v>
      </c>
      <c r="G135" s="130">
        <f t="shared" si="12"/>
        <v>12.255762404942441</v>
      </c>
      <c r="H135" s="130">
        <f t="shared" si="13"/>
        <v>1.0260289548929773</v>
      </c>
      <c r="I135" s="130"/>
      <c r="J135" s="99">
        <v>10231</v>
      </c>
      <c r="K135" s="100">
        <v>171</v>
      </c>
      <c r="L135" s="101">
        <v>17749</v>
      </c>
      <c r="M135" s="101">
        <v>210189</v>
      </c>
      <c r="N135" s="101">
        <v>154104</v>
      </c>
      <c r="O135" s="101">
        <v>-5472</v>
      </c>
      <c r="P135" s="101">
        <v>77071</v>
      </c>
      <c r="Q135" s="101">
        <v>138589</v>
      </c>
      <c r="R135" s="102">
        <f t="shared" si="10"/>
        <v>215660</v>
      </c>
    </row>
    <row r="136" spans="1:18" ht="17">
      <c r="A136" s="132" t="s">
        <v>75</v>
      </c>
      <c r="B136" s="132" t="s">
        <v>198</v>
      </c>
      <c r="C136" s="132" t="s">
        <v>203</v>
      </c>
      <c r="D136" s="132">
        <v>1</v>
      </c>
      <c r="E136" s="10">
        <v>4</v>
      </c>
      <c r="F136" s="130">
        <f t="shared" si="11"/>
        <v>-0.12237790535926553</v>
      </c>
      <c r="G136" s="130">
        <f t="shared" si="12"/>
        <v>13.628588032930205</v>
      </c>
      <c r="H136" s="130">
        <f t="shared" si="13"/>
        <v>1.0054912068358592</v>
      </c>
      <c r="I136" s="130"/>
      <c r="J136" s="99">
        <v>-48387</v>
      </c>
      <c r="K136" s="100">
        <v>463</v>
      </c>
      <c r="L136" s="101">
        <v>6717</v>
      </c>
      <c r="M136" s="101">
        <v>829508</v>
      </c>
      <c r="N136" s="101">
        <v>395390</v>
      </c>
      <c r="O136" s="101">
        <v>-4555</v>
      </c>
      <c r="P136" s="101">
        <v>604718</v>
      </c>
      <c r="Q136" s="101">
        <v>229345</v>
      </c>
      <c r="R136" s="102">
        <f t="shared" si="10"/>
        <v>834063</v>
      </c>
    </row>
    <row r="137" spans="1:18" ht="17">
      <c r="A137" s="132" t="s">
        <v>77</v>
      </c>
      <c r="B137" s="132" t="s">
        <v>198</v>
      </c>
      <c r="C137" s="132" t="s">
        <v>203</v>
      </c>
      <c r="D137" s="132">
        <v>0</v>
      </c>
      <c r="E137" s="10">
        <v>1</v>
      </c>
      <c r="F137" s="130">
        <f t="shared" si="11"/>
        <v>-6.4196017095337399E-2</v>
      </c>
      <c r="G137" s="130">
        <f t="shared" si="12"/>
        <v>13.755505744027245</v>
      </c>
      <c r="H137" s="130">
        <f t="shared" si="13"/>
        <v>0.96682594291539248</v>
      </c>
      <c r="I137" s="130"/>
      <c r="J137" s="99">
        <v>-39895</v>
      </c>
      <c r="K137" s="100">
        <v>250</v>
      </c>
      <c r="L137" s="101">
        <v>41832</v>
      </c>
      <c r="M137" s="101">
        <v>941760</v>
      </c>
      <c r="N137" s="101">
        <v>621456</v>
      </c>
      <c r="O137" s="101">
        <v>31242</v>
      </c>
      <c r="P137" s="101">
        <v>519951</v>
      </c>
      <c r="Q137" s="101">
        <v>390567</v>
      </c>
      <c r="R137" s="102">
        <f t="shared" si="10"/>
        <v>910518</v>
      </c>
    </row>
    <row r="138" spans="1:18" ht="17">
      <c r="A138" s="132" t="s">
        <v>83</v>
      </c>
      <c r="B138" s="132" t="s">
        <v>198</v>
      </c>
      <c r="C138" s="132" t="s">
        <v>203</v>
      </c>
      <c r="D138" s="132">
        <v>0</v>
      </c>
      <c r="E138" s="10">
        <v>8</v>
      </c>
      <c r="F138" s="130">
        <f t="shared" si="11"/>
        <v>-8.7693230277185508E-2</v>
      </c>
      <c r="G138" s="130">
        <f t="shared" si="12"/>
        <v>12.444593359928596</v>
      </c>
      <c r="H138" s="130">
        <f t="shared" si="13"/>
        <v>0.83107368222031397</v>
      </c>
      <c r="I138" s="130"/>
      <c r="J138" s="99">
        <v>-13161</v>
      </c>
      <c r="K138" s="100">
        <v>233</v>
      </c>
      <c r="L138" s="101">
        <v>0</v>
      </c>
      <c r="M138" s="101">
        <v>253874</v>
      </c>
      <c r="N138" s="101">
        <v>150080</v>
      </c>
      <c r="O138" s="101">
        <v>42886</v>
      </c>
      <c r="P138" s="101">
        <v>95883</v>
      </c>
      <c r="Q138" s="101">
        <v>115105</v>
      </c>
      <c r="R138" s="102">
        <f t="shared" si="10"/>
        <v>210988</v>
      </c>
    </row>
    <row r="139" spans="1:18" ht="17">
      <c r="A139" s="132" t="s">
        <v>101</v>
      </c>
      <c r="B139" s="132" t="s">
        <v>198</v>
      </c>
      <c r="C139" s="132" t="s">
        <v>203</v>
      </c>
      <c r="D139" s="132">
        <v>0</v>
      </c>
      <c r="E139" s="10">
        <v>2</v>
      </c>
      <c r="F139" s="130">
        <f t="shared" si="11"/>
        <v>9.7258072046474714E-2</v>
      </c>
      <c r="G139" s="130">
        <f t="shared" si="12"/>
        <v>12.73655971015542</v>
      </c>
      <c r="H139" s="130">
        <f t="shared" si="13"/>
        <v>0.5722249023391538</v>
      </c>
      <c r="I139" s="130"/>
      <c r="J139" s="99">
        <v>29164</v>
      </c>
      <c r="K139" s="100">
        <v>110</v>
      </c>
      <c r="L139" s="101">
        <v>0</v>
      </c>
      <c r="M139" s="101">
        <v>339952</v>
      </c>
      <c r="N139" s="101">
        <v>299862</v>
      </c>
      <c r="O139" s="101">
        <v>145423</v>
      </c>
      <c r="P139" s="101">
        <v>95980</v>
      </c>
      <c r="Q139" s="101">
        <v>98549</v>
      </c>
      <c r="R139" s="102">
        <f t="shared" si="10"/>
        <v>194529</v>
      </c>
    </row>
    <row r="140" spans="1:18" ht="17">
      <c r="A140" s="132" t="s">
        <v>121</v>
      </c>
      <c r="B140" s="132" t="s">
        <v>198</v>
      </c>
      <c r="C140" s="132" t="s">
        <v>203</v>
      </c>
      <c r="D140" s="132">
        <v>1</v>
      </c>
      <c r="E140" s="10">
        <v>6</v>
      </c>
      <c r="F140" s="130">
        <f t="shared" si="11"/>
        <v>-6.3991191794461152E-2</v>
      </c>
      <c r="G140" s="130">
        <f t="shared" si="12"/>
        <v>13.001209918246479</v>
      </c>
      <c r="H140" s="130">
        <f t="shared" si="13"/>
        <v>1.2877351568690751</v>
      </c>
      <c r="I140" s="130"/>
      <c r="J140" s="99">
        <v>-24294</v>
      </c>
      <c r="K140" s="100">
        <v>406</v>
      </c>
      <c r="L140" s="101">
        <v>38952</v>
      </c>
      <c r="M140" s="101">
        <v>442949</v>
      </c>
      <c r="N140" s="101">
        <v>379646</v>
      </c>
      <c r="O140" s="101">
        <v>-127452</v>
      </c>
      <c r="P140" s="101">
        <v>317098</v>
      </c>
      <c r="Q140" s="101">
        <v>253303</v>
      </c>
      <c r="R140" s="102">
        <f t="shared" si="10"/>
        <v>570401</v>
      </c>
    </row>
    <row r="141" spans="1:18" ht="17">
      <c r="A141" s="132" t="s">
        <v>123</v>
      </c>
      <c r="B141" s="132" t="s">
        <v>198</v>
      </c>
      <c r="C141" s="132" t="s">
        <v>203</v>
      </c>
      <c r="D141" s="132">
        <v>0</v>
      </c>
      <c r="E141" s="10">
        <v>9</v>
      </c>
      <c r="F141" s="130">
        <f t="shared" si="11"/>
        <v>-0.10490729067124926</v>
      </c>
      <c r="G141" s="130">
        <f t="shared" si="12"/>
        <v>12.457916378149264</v>
      </c>
      <c r="H141" s="130">
        <f t="shared" si="13"/>
        <v>0.87585461697223632</v>
      </c>
      <c r="I141" s="130"/>
      <c r="J141" s="99">
        <v>-13064</v>
      </c>
      <c r="K141" s="100">
        <v>167</v>
      </c>
      <c r="L141" s="101">
        <v>26410</v>
      </c>
      <c r="M141" s="101">
        <v>257279</v>
      </c>
      <c r="N141" s="101">
        <v>124529</v>
      </c>
      <c r="O141" s="101">
        <v>31940</v>
      </c>
      <c r="P141" s="101">
        <v>82621</v>
      </c>
      <c r="Q141" s="101">
        <v>142718</v>
      </c>
      <c r="R141" s="102">
        <f t="shared" si="10"/>
        <v>225339</v>
      </c>
    </row>
    <row r="142" spans="1:18" ht="17">
      <c r="A142" s="132" t="s">
        <v>124</v>
      </c>
      <c r="B142" s="132" t="s">
        <v>198</v>
      </c>
      <c r="C142" s="132" t="s">
        <v>203</v>
      </c>
      <c r="D142" s="132">
        <v>0</v>
      </c>
      <c r="E142" s="10">
        <v>11</v>
      </c>
      <c r="F142" s="130">
        <f t="shared" si="11"/>
        <v>1.222536436806613E-2</v>
      </c>
      <c r="G142" s="130">
        <f t="shared" si="12"/>
        <v>12.456099578678142</v>
      </c>
      <c r="H142" s="130">
        <f t="shared" si="13"/>
        <v>0.89067489058143701</v>
      </c>
      <c r="I142" s="130"/>
      <c r="J142" s="99">
        <v>843</v>
      </c>
      <c r="K142" s="100">
        <v>180</v>
      </c>
      <c r="L142" s="101">
        <v>25930</v>
      </c>
      <c r="M142" s="101">
        <v>256812</v>
      </c>
      <c r="N142" s="101">
        <v>68955</v>
      </c>
      <c r="O142" s="101">
        <v>28076</v>
      </c>
      <c r="P142" s="101">
        <v>106410</v>
      </c>
      <c r="Q142" s="101">
        <v>122326</v>
      </c>
      <c r="R142" s="102">
        <f t="shared" si="10"/>
        <v>228736</v>
      </c>
    </row>
    <row r="143" spans="1:18" ht="17">
      <c r="A143" s="132" t="s">
        <v>139</v>
      </c>
      <c r="B143" s="132" t="s">
        <v>198</v>
      </c>
      <c r="C143" s="132" t="s">
        <v>203</v>
      </c>
      <c r="D143" s="132">
        <v>0</v>
      </c>
      <c r="E143" s="10">
        <v>7</v>
      </c>
      <c r="F143" s="130">
        <f t="shared" si="11"/>
        <v>-0.14502818348852417</v>
      </c>
      <c r="G143" s="130">
        <f t="shared" si="12"/>
        <v>11.857557179470644</v>
      </c>
      <c r="H143" s="130">
        <f t="shared" si="13"/>
        <v>0.75734517913947874</v>
      </c>
      <c r="I143" s="130"/>
      <c r="J143" s="99">
        <v>-13971</v>
      </c>
      <c r="K143" s="100">
        <v>167</v>
      </c>
      <c r="L143" s="101">
        <v>0</v>
      </c>
      <c r="M143" s="101">
        <v>141147</v>
      </c>
      <c r="N143" s="101">
        <v>96333</v>
      </c>
      <c r="O143" s="101">
        <v>34249</v>
      </c>
      <c r="P143" s="101">
        <v>33882</v>
      </c>
      <c r="Q143" s="101">
        <v>73015</v>
      </c>
      <c r="R143" s="102">
        <f t="shared" si="10"/>
        <v>106897</v>
      </c>
    </row>
    <row r="144" spans="1:18" ht="17">
      <c r="A144" s="132" t="s">
        <v>144</v>
      </c>
      <c r="B144" s="132" t="s">
        <v>198</v>
      </c>
      <c r="C144" s="132" t="s">
        <v>203</v>
      </c>
      <c r="D144" s="132">
        <v>0</v>
      </c>
      <c r="E144" s="10">
        <v>12</v>
      </c>
      <c r="F144" s="130">
        <f t="shared" si="11"/>
        <v>1.0442157339105085E-2</v>
      </c>
      <c r="G144" s="130">
        <f t="shared" si="12"/>
        <v>12.102976231525414</v>
      </c>
      <c r="H144" s="130">
        <f t="shared" si="13"/>
        <v>0.90477140703294756</v>
      </c>
      <c r="I144" s="130"/>
      <c r="J144" s="99">
        <v>1182</v>
      </c>
      <c r="K144" s="100">
        <v>158</v>
      </c>
      <c r="L144" s="101">
        <v>9978</v>
      </c>
      <c r="M144" s="101">
        <v>180408</v>
      </c>
      <c r="N144" s="101">
        <v>113195</v>
      </c>
      <c r="O144" s="101">
        <v>17181</v>
      </c>
      <c r="P144" s="101">
        <v>76493</v>
      </c>
      <c r="Q144" s="101">
        <v>86735</v>
      </c>
      <c r="R144" s="102">
        <f t="shared" si="10"/>
        <v>163228</v>
      </c>
    </row>
    <row r="145" spans="1:18" ht="17">
      <c r="A145" s="133" t="s">
        <v>11</v>
      </c>
      <c r="B145" s="133" t="s">
        <v>199</v>
      </c>
      <c r="C145" s="133" t="s">
        <v>203</v>
      </c>
      <c r="D145" s="133">
        <v>0</v>
      </c>
      <c r="E145" s="135">
        <v>18</v>
      </c>
      <c r="F145" s="130">
        <f t="shared" si="11"/>
        <v>-0.5023946700808497</v>
      </c>
      <c r="G145" s="130">
        <f t="shared" si="12"/>
        <v>11.468325509601202</v>
      </c>
      <c r="H145" s="130">
        <f t="shared" si="13"/>
        <v>1.1397457077730608</v>
      </c>
      <c r="I145" s="130"/>
      <c r="J145" s="69">
        <v>-42379</v>
      </c>
      <c r="K145" s="23">
        <v>201</v>
      </c>
      <c r="L145" s="32">
        <v>52374</v>
      </c>
      <c r="M145" s="32">
        <v>95638</v>
      </c>
      <c r="N145" s="32">
        <v>84354</v>
      </c>
      <c r="O145" s="32">
        <f>M145-R145</f>
        <v>-13365</v>
      </c>
      <c r="P145" s="32">
        <v>45547</v>
      </c>
      <c r="Q145" s="32">
        <v>63456</v>
      </c>
      <c r="R145" s="32">
        <f t="shared" si="10"/>
        <v>109003</v>
      </c>
    </row>
    <row r="146" spans="1:18">
      <c r="A146" s="133" t="s">
        <v>13</v>
      </c>
      <c r="B146" s="133" t="s">
        <v>199</v>
      </c>
      <c r="C146" s="133" t="s">
        <v>203</v>
      </c>
      <c r="D146" s="133">
        <v>0</v>
      </c>
      <c r="E146" s="135">
        <v>9</v>
      </c>
      <c r="F146" s="130">
        <f t="shared" si="11"/>
        <v>-0.17663862636467328</v>
      </c>
      <c r="G146" s="130">
        <f t="shared" si="12"/>
        <v>11.403713095996656</v>
      </c>
      <c r="H146" s="130">
        <f t="shared" si="13"/>
        <v>0.96210988912931938</v>
      </c>
      <c r="I146" s="130"/>
      <c r="J146" s="69">
        <v>-34689</v>
      </c>
      <c r="L146" s="32">
        <v>38645</v>
      </c>
      <c r="M146" s="32">
        <v>89654</v>
      </c>
      <c r="N146" s="32">
        <v>196384</v>
      </c>
      <c r="O146" s="32">
        <f>M146-R146</f>
        <v>3397</v>
      </c>
      <c r="P146" s="32"/>
      <c r="Q146" s="32"/>
      <c r="R146" s="32">
        <v>86257</v>
      </c>
    </row>
    <row r="147" spans="1:18">
      <c r="A147" s="133" t="s">
        <v>19</v>
      </c>
      <c r="B147" s="133" t="s">
        <v>199</v>
      </c>
      <c r="C147" s="133" t="s">
        <v>203</v>
      </c>
      <c r="D147" s="133">
        <v>0</v>
      </c>
      <c r="E147" s="135">
        <v>13</v>
      </c>
      <c r="F147" s="130">
        <f t="shared" si="11"/>
        <v>-0.47777420886517891</v>
      </c>
      <c r="G147" s="130">
        <f t="shared" si="12"/>
        <v>11.444871438344773</v>
      </c>
      <c r="H147" s="130">
        <f t="shared" si="13"/>
        <v>0.97220111109921747</v>
      </c>
      <c r="I147" s="130"/>
      <c r="J147" s="69">
        <v>-68423</v>
      </c>
      <c r="L147" s="32">
        <v>77231</v>
      </c>
      <c r="M147" s="32">
        <v>93421</v>
      </c>
      <c r="N147" s="32">
        <v>143212</v>
      </c>
      <c r="O147" s="32">
        <f>M147-R147</f>
        <v>2597</v>
      </c>
      <c r="P147" s="32"/>
      <c r="Q147" s="32"/>
      <c r="R147" s="32">
        <v>90824</v>
      </c>
    </row>
    <row r="148" spans="1:18">
      <c r="A148" s="133" t="s">
        <v>20</v>
      </c>
      <c r="B148" s="133" t="s">
        <v>199</v>
      </c>
      <c r="C148" s="133" t="s">
        <v>203</v>
      </c>
      <c r="D148" s="133">
        <v>0</v>
      </c>
      <c r="E148" s="135">
        <v>7</v>
      </c>
      <c r="F148" s="130">
        <f t="shared" si="11"/>
        <v>-0.39530644195307491</v>
      </c>
      <c r="G148" s="130">
        <f t="shared" si="12"/>
        <v>12.13861787627158</v>
      </c>
      <c r="H148" s="130">
        <f t="shared" si="13"/>
        <v>0.74593215443371097</v>
      </c>
      <c r="I148" s="130"/>
      <c r="J148" s="69">
        <v>-75245</v>
      </c>
      <c r="L148" s="32">
        <v>45679</v>
      </c>
      <c r="M148" s="32">
        <v>186954</v>
      </c>
      <c r="N148" s="32">
        <v>190346</v>
      </c>
      <c r="O148" s="32">
        <f>M148-R148</f>
        <v>47499</v>
      </c>
      <c r="P148" s="32"/>
      <c r="Q148" s="32"/>
      <c r="R148" s="32">
        <v>139455</v>
      </c>
    </row>
    <row r="149" spans="1:18" ht="18">
      <c r="A149" s="133" t="s">
        <v>29</v>
      </c>
      <c r="B149" s="133" t="s">
        <v>199</v>
      </c>
      <c r="C149" s="133" t="s">
        <v>203</v>
      </c>
      <c r="D149" s="133">
        <v>0</v>
      </c>
      <c r="E149" s="135">
        <v>17</v>
      </c>
      <c r="F149" s="130">
        <f t="shared" si="11"/>
        <v>-1.1273348255634454</v>
      </c>
      <c r="G149" s="130">
        <f t="shared" si="12"/>
        <v>11.936505502503564</v>
      </c>
      <c r="H149" s="130">
        <f t="shared" si="13"/>
        <v>0.98397297403464667</v>
      </c>
      <c r="I149" s="130"/>
      <c r="J149" s="87">
        <v>-58423</v>
      </c>
      <c r="K149" s="23"/>
      <c r="L149" s="39">
        <v>51276</v>
      </c>
      <c r="M149" s="39">
        <v>152742</v>
      </c>
      <c r="N149" s="39">
        <v>51824</v>
      </c>
      <c r="O149" s="39">
        <f>M149-R149</f>
        <v>2448</v>
      </c>
      <c r="P149" s="39"/>
      <c r="Q149" s="39"/>
      <c r="R149" s="39">
        <v>150294</v>
      </c>
    </row>
    <row r="150" spans="1:18" ht="17">
      <c r="A150" s="133" t="s">
        <v>31</v>
      </c>
      <c r="B150" s="133" t="s">
        <v>199</v>
      </c>
      <c r="C150" s="133" t="s">
        <v>203</v>
      </c>
      <c r="D150" s="133">
        <v>1</v>
      </c>
      <c r="E150" s="135">
        <v>3</v>
      </c>
      <c r="F150" s="130">
        <f t="shared" si="11"/>
        <v>-0.43393517388937897</v>
      </c>
      <c r="G150" s="130">
        <f t="shared" si="12"/>
        <v>12.067643564500559</v>
      </c>
      <c r="H150" s="130">
        <f t="shared" si="13"/>
        <v>1.7080306641017542</v>
      </c>
      <c r="I150" s="130"/>
      <c r="J150" s="72">
        <v>-46241</v>
      </c>
      <c r="K150" s="24">
        <v>344</v>
      </c>
      <c r="L150" s="38">
        <v>151295</v>
      </c>
      <c r="M150" s="38">
        <v>174145</v>
      </c>
      <c r="N150" s="38">
        <v>106562</v>
      </c>
      <c r="O150" s="38">
        <v>-123300</v>
      </c>
      <c r="P150" s="38">
        <v>54089</v>
      </c>
      <c r="Q150" s="38">
        <v>243356</v>
      </c>
      <c r="R150" s="32">
        <f>P150+Q150</f>
        <v>297445</v>
      </c>
    </row>
    <row r="151" spans="1:18" ht="17">
      <c r="A151" s="133" t="s">
        <v>38</v>
      </c>
      <c r="B151" s="133" t="s">
        <v>199</v>
      </c>
      <c r="C151" s="133" t="s">
        <v>203</v>
      </c>
      <c r="D151" s="133">
        <v>0</v>
      </c>
      <c r="E151" s="135">
        <v>16</v>
      </c>
      <c r="F151" s="130">
        <f t="shared" si="11"/>
        <v>-0.18454544474044673</v>
      </c>
      <c r="G151" s="130">
        <f t="shared" si="12"/>
        <v>11.402474235812649</v>
      </c>
      <c r="H151" s="130">
        <f t="shared" si="13"/>
        <v>0.97100834236065359</v>
      </c>
      <c r="I151" s="130"/>
      <c r="J151" s="76">
        <v>-34221</v>
      </c>
      <c r="K151" s="23"/>
      <c r="L151" s="39">
        <v>79324</v>
      </c>
      <c r="M151" s="39">
        <v>89543</v>
      </c>
      <c r="N151" s="39">
        <v>185434</v>
      </c>
      <c r="O151" s="39">
        <f>M151-R151</f>
        <v>2596</v>
      </c>
      <c r="P151" s="39"/>
      <c r="Q151" s="39"/>
      <c r="R151" s="32">
        <v>86947</v>
      </c>
    </row>
    <row r="152" spans="1:18" ht="17">
      <c r="A152" s="133" t="s">
        <v>58</v>
      </c>
      <c r="B152" s="133" t="s">
        <v>199</v>
      </c>
      <c r="C152" s="133" t="s">
        <v>203</v>
      </c>
      <c r="D152" s="133">
        <v>1</v>
      </c>
      <c r="E152" s="135">
        <v>6</v>
      </c>
      <c r="F152" s="130">
        <f t="shared" si="11"/>
        <v>-0.23019127196968017</v>
      </c>
      <c r="G152" s="130">
        <f t="shared" si="12"/>
        <v>12.610026612439386</v>
      </c>
      <c r="H152" s="130">
        <f t="shared" si="13"/>
        <v>1.327557945831539</v>
      </c>
      <c r="I152" s="130"/>
      <c r="J152" s="72">
        <v>-31158</v>
      </c>
      <c r="K152" s="24">
        <v>564</v>
      </c>
      <c r="L152" s="38">
        <v>145967</v>
      </c>
      <c r="M152" s="38">
        <v>299547</v>
      </c>
      <c r="N152" s="38">
        <v>135357</v>
      </c>
      <c r="O152" s="38">
        <v>-98119</v>
      </c>
      <c r="P152" s="38">
        <v>180174</v>
      </c>
      <c r="Q152" s="38">
        <v>217492</v>
      </c>
      <c r="R152" s="32">
        <f>P152+Q152</f>
        <v>397666</v>
      </c>
    </row>
    <row r="153" spans="1:18" ht="17">
      <c r="A153" s="133" t="s">
        <v>62</v>
      </c>
      <c r="B153" s="133" t="s">
        <v>199</v>
      </c>
      <c r="C153" s="133" t="s">
        <v>203</v>
      </c>
      <c r="D153" s="133">
        <v>1</v>
      </c>
      <c r="E153" s="135">
        <v>1</v>
      </c>
      <c r="F153" s="130">
        <f t="shared" si="11"/>
        <v>2.7842758953334136E-2</v>
      </c>
      <c r="G153" s="130">
        <f t="shared" si="12"/>
        <v>12.287417581858879</v>
      </c>
      <c r="H153" s="130">
        <f t="shared" si="13"/>
        <v>1.1905102120774929</v>
      </c>
      <c r="I153" s="130"/>
      <c r="J153" s="72">
        <v>4618</v>
      </c>
      <c r="K153" s="24">
        <v>534</v>
      </c>
      <c r="L153" s="38">
        <v>93734</v>
      </c>
      <c r="M153" s="38">
        <v>216949</v>
      </c>
      <c r="N153" s="38">
        <v>165860</v>
      </c>
      <c r="O153" s="38">
        <v>-41331</v>
      </c>
      <c r="P153" s="38">
        <v>63205</v>
      </c>
      <c r="Q153" s="38">
        <v>195075</v>
      </c>
      <c r="R153" s="32">
        <f>P153+Q153</f>
        <v>258280</v>
      </c>
    </row>
    <row r="154" spans="1:18" ht="17">
      <c r="A154" s="133" t="s">
        <v>76</v>
      </c>
      <c r="B154" s="133" t="s">
        <v>199</v>
      </c>
      <c r="C154" s="133" t="s">
        <v>203</v>
      </c>
      <c r="D154" s="133">
        <v>0</v>
      </c>
      <c r="E154" s="135">
        <v>2</v>
      </c>
      <c r="F154" s="130">
        <f t="shared" si="11"/>
        <v>0.18581696379838325</v>
      </c>
      <c r="G154" s="130">
        <f t="shared" si="12"/>
        <v>12.156593494063495</v>
      </c>
      <c r="H154" s="130">
        <f t="shared" si="13"/>
        <v>0.75436707031968264</v>
      </c>
      <c r="I154" s="130"/>
      <c r="J154" s="76">
        <v>32342</v>
      </c>
      <c r="K154" s="23"/>
      <c r="L154" s="39">
        <v>62839</v>
      </c>
      <c r="M154" s="39">
        <v>190345</v>
      </c>
      <c r="N154" s="39">
        <v>174053</v>
      </c>
      <c r="O154" s="39">
        <f>M154-R154</f>
        <v>46755</v>
      </c>
      <c r="P154" s="39"/>
      <c r="Q154" s="39"/>
      <c r="R154" s="32">
        <v>143590</v>
      </c>
    </row>
    <row r="155" spans="1:18" ht="18">
      <c r="A155" s="133" t="s">
        <v>79</v>
      </c>
      <c r="B155" s="133" t="s">
        <v>199</v>
      </c>
      <c r="C155" s="133" t="s">
        <v>203</v>
      </c>
      <c r="D155" s="133">
        <v>0</v>
      </c>
      <c r="E155" s="135">
        <v>14</v>
      </c>
      <c r="F155" s="130">
        <f t="shared" si="11"/>
        <v>-0.17429126801807487</v>
      </c>
      <c r="G155" s="130">
        <f t="shared" si="12"/>
        <v>11.971830229049701</v>
      </c>
      <c r="H155" s="130">
        <f t="shared" si="13"/>
        <v>1.2559563684163959</v>
      </c>
      <c r="I155" s="130"/>
      <c r="J155" s="76">
        <v>-34521</v>
      </c>
      <c r="K155" s="23"/>
      <c r="L155" s="45">
        <v>54376</v>
      </c>
      <c r="M155" s="32">
        <v>158234</v>
      </c>
      <c r="N155" s="51">
        <v>198065</v>
      </c>
      <c r="O155" s="39">
        <f>M155-R155</f>
        <v>-40501</v>
      </c>
      <c r="P155" s="39"/>
      <c r="Q155" s="39"/>
      <c r="R155" s="32">
        <v>198735</v>
      </c>
    </row>
    <row r="156" spans="1:18" ht="18">
      <c r="A156" s="133" t="s">
        <v>80</v>
      </c>
      <c r="B156" s="133" t="s">
        <v>199</v>
      </c>
      <c r="C156" s="133" t="s">
        <v>203</v>
      </c>
      <c r="D156" s="133">
        <v>0</v>
      </c>
      <c r="E156" s="135">
        <v>12</v>
      </c>
      <c r="F156" s="130">
        <f t="shared" si="11"/>
        <v>0.11011253722689297</v>
      </c>
      <c r="G156" s="130">
        <f t="shared" si="12"/>
        <v>11.809572234182591</v>
      </c>
      <c r="H156" s="130">
        <f t="shared" si="13"/>
        <v>1.3776591790922741</v>
      </c>
      <c r="I156" s="130"/>
      <c r="J156" s="88">
        <v>12534</v>
      </c>
      <c r="K156" s="22"/>
      <c r="L156" s="45">
        <v>98072</v>
      </c>
      <c r="M156" s="32">
        <v>134534</v>
      </c>
      <c r="N156" s="51">
        <v>113829</v>
      </c>
      <c r="O156" s="39">
        <f>M156-R156</f>
        <v>-50808</v>
      </c>
      <c r="P156" s="40"/>
      <c r="Q156" s="40"/>
      <c r="R156" s="32">
        <v>185342</v>
      </c>
    </row>
    <row r="157" spans="1:18" ht="18">
      <c r="A157" s="133" t="s">
        <v>81</v>
      </c>
      <c r="B157" s="133" t="s">
        <v>199</v>
      </c>
      <c r="C157" s="133" t="s">
        <v>203</v>
      </c>
      <c r="D157" s="133">
        <v>0</v>
      </c>
      <c r="E157" s="135">
        <v>8</v>
      </c>
      <c r="F157" s="130">
        <f t="shared" si="11"/>
        <v>-0.39419867646827661</v>
      </c>
      <c r="G157" s="130">
        <f t="shared" si="12"/>
        <v>11.938774730599494</v>
      </c>
      <c r="H157" s="130">
        <f t="shared" si="13"/>
        <v>1.166987830608339</v>
      </c>
      <c r="I157" s="130"/>
      <c r="J157" s="88">
        <v>-75234</v>
      </c>
      <c r="K157" s="22"/>
      <c r="L157" s="45">
        <v>98523</v>
      </c>
      <c r="M157" s="32">
        <v>153089</v>
      </c>
      <c r="N157" s="51">
        <v>190853</v>
      </c>
      <c r="O157" s="39">
        <f>M157-R157</f>
        <v>-25564</v>
      </c>
      <c r="P157" s="40"/>
      <c r="Q157" s="40"/>
      <c r="R157" s="32">
        <v>178653</v>
      </c>
    </row>
    <row r="158" spans="1:18" ht="17">
      <c r="A158" s="133" t="s">
        <v>142</v>
      </c>
      <c r="B158" s="133" t="s">
        <v>199</v>
      </c>
      <c r="C158" s="133" t="s">
        <v>203</v>
      </c>
      <c r="D158" s="133">
        <v>1</v>
      </c>
      <c r="E158" s="135">
        <v>4</v>
      </c>
      <c r="F158" s="130">
        <f t="shared" si="11"/>
        <v>-0.15988022993290954</v>
      </c>
      <c r="G158" s="130">
        <f t="shared" si="12"/>
        <v>11.382372489597046</v>
      </c>
      <c r="H158" s="130">
        <f t="shared" si="13"/>
        <v>1.89677647246499</v>
      </c>
      <c r="I158" s="130"/>
      <c r="J158" s="72">
        <v>-9985</v>
      </c>
      <c r="K158" s="24">
        <v>86</v>
      </c>
      <c r="L158" s="38">
        <v>43034</v>
      </c>
      <c r="M158" s="38">
        <v>87761</v>
      </c>
      <c r="N158" s="38">
        <v>62453</v>
      </c>
      <c r="O158" s="38">
        <v>-78702</v>
      </c>
      <c r="P158" s="38">
        <v>71931</v>
      </c>
      <c r="Q158" s="38">
        <v>94532</v>
      </c>
      <c r="R158" s="32">
        <f t="shared" ref="R158:R171" si="14">P158+Q158</f>
        <v>166463</v>
      </c>
    </row>
    <row r="159" spans="1:18" ht="17">
      <c r="A159" s="131" t="s">
        <v>26</v>
      </c>
      <c r="B159" s="131" t="s">
        <v>193</v>
      </c>
      <c r="C159" s="131" t="s">
        <v>202</v>
      </c>
      <c r="D159" s="131">
        <v>0</v>
      </c>
      <c r="E159" s="131">
        <v>11</v>
      </c>
      <c r="F159" s="130">
        <f t="shared" si="11"/>
        <v>-0.20078592273686036</v>
      </c>
      <c r="G159" s="130">
        <f t="shared" si="12"/>
        <v>12.639253434426379</v>
      </c>
      <c r="H159" s="130">
        <f t="shared" si="13"/>
        <v>0.55533976805184948</v>
      </c>
      <c r="I159" s="130"/>
      <c r="J159" s="94">
        <v>-20847</v>
      </c>
      <c r="K159" s="98">
        <v>337</v>
      </c>
      <c r="L159" s="96">
        <v>0</v>
      </c>
      <c r="M159" s="96">
        <v>308431</v>
      </c>
      <c r="N159" s="96">
        <v>103827</v>
      </c>
      <c r="O159" s="96">
        <v>137147</v>
      </c>
      <c r="P159" s="96">
        <v>102195</v>
      </c>
      <c r="Q159" s="96">
        <v>69089</v>
      </c>
      <c r="R159" s="42">
        <f t="shared" si="14"/>
        <v>171284</v>
      </c>
    </row>
    <row r="160" spans="1:18" ht="17">
      <c r="A160" s="131" t="s">
        <v>27</v>
      </c>
      <c r="B160" s="131" t="s">
        <v>193</v>
      </c>
      <c r="C160" s="131" t="s">
        <v>202</v>
      </c>
      <c r="D160" s="131">
        <v>1</v>
      </c>
      <c r="E160" s="131">
        <v>3</v>
      </c>
      <c r="F160" s="130">
        <f t="shared" si="11"/>
        <v>5.0156966044816514E-3</v>
      </c>
      <c r="G160" s="130">
        <f t="shared" si="12"/>
        <v>13.907356562618329</v>
      </c>
      <c r="H160" s="130">
        <f t="shared" si="13"/>
        <v>0.925788818787881</v>
      </c>
      <c r="I160" s="130"/>
      <c r="J160" s="94">
        <v>1807</v>
      </c>
      <c r="K160" s="95">
        <v>1061</v>
      </c>
      <c r="L160" s="96">
        <v>56005</v>
      </c>
      <c r="M160" s="96">
        <v>1096196</v>
      </c>
      <c r="N160" s="96">
        <v>360269</v>
      </c>
      <c r="O160" s="96">
        <v>81349</v>
      </c>
      <c r="P160" s="96">
        <v>517275</v>
      </c>
      <c r="Q160" s="96">
        <v>497571</v>
      </c>
      <c r="R160" s="42">
        <f t="shared" si="14"/>
        <v>1014846</v>
      </c>
    </row>
    <row r="161" spans="1:18" ht="17">
      <c r="A161" s="131" t="s">
        <v>28</v>
      </c>
      <c r="B161" s="131" t="s">
        <v>193</v>
      </c>
      <c r="C161" s="131" t="s">
        <v>202</v>
      </c>
      <c r="D161" s="131">
        <v>0</v>
      </c>
      <c r="E161" s="131">
        <v>2</v>
      </c>
      <c r="F161" s="130">
        <f t="shared" si="11"/>
        <v>-0.1335637631503479</v>
      </c>
      <c r="G161" s="130">
        <f t="shared" si="12"/>
        <v>14.203508669067048</v>
      </c>
      <c r="H161" s="130">
        <f t="shared" si="13"/>
        <v>0.97612865978710028</v>
      </c>
      <c r="I161" s="130"/>
      <c r="J161" s="94">
        <v>-97339</v>
      </c>
      <c r="K161" s="95">
        <v>1412</v>
      </c>
      <c r="L161" s="96">
        <v>268474</v>
      </c>
      <c r="M161" s="96">
        <v>1474027</v>
      </c>
      <c r="N161" s="96">
        <v>728783</v>
      </c>
      <c r="O161" s="96">
        <v>35187</v>
      </c>
      <c r="P161" s="96">
        <v>468491</v>
      </c>
      <c r="Q161" s="96">
        <v>970349</v>
      </c>
      <c r="R161" s="42">
        <f t="shared" si="14"/>
        <v>1438840</v>
      </c>
    </row>
    <row r="162" spans="1:18">
      <c r="A162" s="131" t="s">
        <v>43</v>
      </c>
      <c r="B162" s="131" t="s">
        <v>193</v>
      </c>
      <c r="C162" s="131" t="s">
        <v>202</v>
      </c>
      <c r="D162" s="131">
        <v>0</v>
      </c>
      <c r="E162" s="131">
        <v>17</v>
      </c>
      <c r="F162" s="130">
        <f t="shared" si="11"/>
        <v>3.7115738773197335E-2</v>
      </c>
      <c r="G162" s="130">
        <f t="shared" si="12"/>
        <v>11.902863990458304</v>
      </c>
      <c r="H162" s="130">
        <f t="shared" si="13"/>
        <v>0.88945012831016523</v>
      </c>
      <c r="I162" s="130"/>
      <c r="J162" s="75">
        <v>2620</v>
      </c>
      <c r="K162" s="12">
        <v>235</v>
      </c>
      <c r="L162" s="42">
        <v>38565</v>
      </c>
      <c r="M162" s="42">
        <v>147689</v>
      </c>
      <c r="N162" s="97">
        <v>70590</v>
      </c>
      <c r="O162" s="42">
        <f>M162-R162</f>
        <v>16327</v>
      </c>
      <c r="P162" s="42">
        <v>84575</v>
      </c>
      <c r="Q162" s="42">
        <v>46787</v>
      </c>
      <c r="R162" s="42">
        <f t="shared" si="14"/>
        <v>131362</v>
      </c>
    </row>
    <row r="163" spans="1:18" ht="17">
      <c r="A163" s="131" t="s">
        <v>56</v>
      </c>
      <c r="B163" s="131" t="s">
        <v>193</v>
      </c>
      <c r="C163" s="131" t="s">
        <v>202</v>
      </c>
      <c r="D163" s="131">
        <v>0</v>
      </c>
      <c r="E163" s="131">
        <v>20</v>
      </c>
      <c r="F163" s="130">
        <f t="shared" si="11"/>
        <v>8.9397842931732016E-2</v>
      </c>
      <c r="G163" s="130">
        <f t="shared" si="12"/>
        <v>12.281463009353811</v>
      </c>
      <c r="H163" s="130">
        <f t="shared" si="13"/>
        <v>0.52563977724298783</v>
      </c>
      <c r="I163" s="130"/>
      <c r="J163" s="94">
        <v>9126</v>
      </c>
      <c r="K163" s="98">
        <v>289</v>
      </c>
      <c r="L163" s="96">
        <v>9669</v>
      </c>
      <c r="M163" s="96">
        <v>215661</v>
      </c>
      <c r="N163" s="96">
        <v>102083</v>
      </c>
      <c r="O163" s="96">
        <v>102301</v>
      </c>
      <c r="P163" s="96">
        <v>25882</v>
      </c>
      <c r="Q163" s="96">
        <v>87478</v>
      </c>
      <c r="R163" s="42">
        <f t="shared" si="14"/>
        <v>113360</v>
      </c>
    </row>
    <row r="164" spans="1:18">
      <c r="A164" s="131" t="s">
        <v>66</v>
      </c>
      <c r="B164" s="131" t="s">
        <v>193</v>
      </c>
      <c r="C164" s="131" t="s">
        <v>202</v>
      </c>
      <c r="D164" s="131">
        <v>0</v>
      </c>
      <c r="E164" s="131">
        <v>8</v>
      </c>
      <c r="F164" s="130">
        <f t="shared" si="11"/>
        <v>0.18894061541955262</v>
      </c>
      <c r="G164" s="130">
        <f t="shared" si="12"/>
        <v>12.815748539217079</v>
      </c>
      <c r="H164" s="130">
        <f t="shared" si="13"/>
        <v>0.66158650096340166</v>
      </c>
      <c r="I164" s="130"/>
      <c r="J164" s="75">
        <v>16640</v>
      </c>
      <c r="K164" s="12">
        <v>284</v>
      </c>
      <c r="L164" s="42">
        <v>76548</v>
      </c>
      <c r="M164" s="42">
        <v>367967</v>
      </c>
      <c r="N164" s="42">
        <v>88070</v>
      </c>
      <c r="O164" s="42">
        <f>M164-R164</f>
        <v>124525</v>
      </c>
      <c r="P164" s="42">
        <v>164567</v>
      </c>
      <c r="Q164" s="42">
        <v>78875</v>
      </c>
      <c r="R164" s="42">
        <f t="shared" si="14"/>
        <v>243442</v>
      </c>
    </row>
    <row r="165" spans="1:18">
      <c r="A165" s="131" t="s">
        <v>93</v>
      </c>
      <c r="B165" s="131" t="s">
        <v>193</v>
      </c>
      <c r="C165" s="131" t="s">
        <v>202</v>
      </c>
      <c r="D165" s="131">
        <v>0</v>
      </c>
      <c r="E165" s="131">
        <v>19</v>
      </c>
      <c r="F165" s="130">
        <f t="shared" si="11"/>
        <v>0.28605002518045997</v>
      </c>
      <c r="G165" s="130">
        <f t="shared" si="12"/>
        <v>11.605978554006001</v>
      </c>
      <c r="H165" s="130">
        <f t="shared" si="13"/>
        <v>1.4241289452584007</v>
      </c>
      <c r="I165" s="130"/>
      <c r="J165" s="75">
        <v>17040</v>
      </c>
      <c r="K165" s="12">
        <v>134</v>
      </c>
      <c r="L165" s="42">
        <v>67488</v>
      </c>
      <c r="M165" s="42">
        <v>109752</v>
      </c>
      <c r="N165" s="42">
        <v>59570</v>
      </c>
      <c r="O165" s="42">
        <f>M165-R165</f>
        <v>-46549</v>
      </c>
      <c r="P165" s="42">
        <v>88766</v>
      </c>
      <c r="Q165" s="42">
        <v>67535</v>
      </c>
      <c r="R165" s="42">
        <f t="shared" si="14"/>
        <v>156301</v>
      </c>
    </row>
    <row r="166" spans="1:18">
      <c r="A166" s="131" t="s">
        <v>108</v>
      </c>
      <c r="B166" s="131" t="s">
        <v>193</v>
      </c>
      <c r="C166" s="131" t="s">
        <v>202</v>
      </c>
      <c r="D166" s="131">
        <v>0</v>
      </c>
      <c r="E166" s="131">
        <v>10</v>
      </c>
      <c r="F166" s="130">
        <f t="shared" si="11"/>
        <v>3.7712895377128956E-2</v>
      </c>
      <c r="G166" s="130">
        <f t="shared" si="12"/>
        <v>12.578890587306093</v>
      </c>
      <c r="H166" s="130">
        <f t="shared" si="13"/>
        <v>0.84593820170544554</v>
      </c>
      <c r="I166" s="130"/>
      <c r="J166" s="75">
        <v>2170</v>
      </c>
      <c r="K166" s="12">
        <v>185</v>
      </c>
      <c r="L166" s="42">
        <v>83467</v>
      </c>
      <c r="M166" s="42">
        <v>290364</v>
      </c>
      <c r="N166" s="42">
        <v>57540</v>
      </c>
      <c r="O166" s="42">
        <f>M166-R166</f>
        <v>44734</v>
      </c>
      <c r="P166" s="42">
        <v>98753</v>
      </c>
      <c r="Q166" s="42">
        <v>146877</v>
      </c>
      <c r="R166" s="42">
        <f t="shared" si="14"/>
        <v>245630</v>
      </c>
    </row>
    <row r="167" spans="1:18" ht="17">
      <c r="A167" s="131" t="s">
        <v>117</v>
      </c>
      <c r="B167" s="131" t="s">
        <v>193</v>
      </c>
      <c r="C167" s="131" t="s">
        <v>202</v>
      </c>
      <c r="D167" s="131">
        <v>0</v>
      </c>
      <c r="E167" s="131">
        <v>15</v>
      </c>
      <c r="F167" s="130">
        <f t="shared" si="11"/>
        <v>1.3847926717318697E-2</v>
      </c>
      <c r="G167" s="130">
        <f t="shared" si="12"/>
        <v>12.079465794263994</v>
      </c>
      <c r="H167" s="130">
        <f t="shared" si="13"/>
        <v>0.92546647296499751</v>
      </c>
      <c r="I167" s="130"/>
      <c r="J167" s="94">
        <v>1418</v>
      </c>
      <c r="K167" s="98">
        <v>400</v>
      </c>
      <c r="L167" s="96">
        <v>13452</v>
      </c>
      <c r="M167" s="96">
        <v>176216</v>
      </c>
      <c r="N167" s="96">
        <v>102398</v>
      </c>
      <c r="O167" s="96">
        <v>13134</v>
      </c>
      <c r="P167" s="96">
        <v>35768</v>
      </c>
      <c r="Q167" s="96">
        <v>127314</v>
      </c>
      <c r="R167" s="42">
        <f t="shared" si="14"/>
        <v>163082</v>
      </c>
    </row>
    <row r="168" spans="1:18" ht="17">
      <c r="A168" s="131" t="s">
        <v>118</v>
      </c>
      <c r="B168" s="131" t="s">
        <v>193</v>
      </c>
      <c r="C168" s="131" t="s">
        <v>202</v>
      </c>
      <c r="D168" s="131">
        <v>0</v>
      </c>
      <c r="E168" s="131">
        <v>1</v>
      </c>
      <c r="F168" s="130">
        <f t="shared" si="11"/>
        <v>4.5244290257299795E-4</v>
      </c>
      <c r="G168" s="130">
        <f t="shared" si="12"/>
        <v>14.095001928008301</v>
      </c>
      <c r="H168" s="130">
        <f t="shared" si="13"/>
        <v>0.67963873305521461</v>
      </c>
      <c r="I168" s="130"/>
      <c r="J168" s="94">
        <v>313</v>
      </c>
      <c r="K168" s="108">
        <v>777</v>
      </c>
      <c r="L168" s="96">
        <v>511433</v>
      </c>
      <c r="M168" s="96">
        <v>1322457</v>
      </c>
      <c r="N168" s="96">
        <v>691800</v>
      </c>
      <c r="O168" s="96">
        <f>M168-R168</f>
        <v>423664</v>
      </c>
      <c r="P168" s="96">
        <v>397465</v>
      </c>
      <c r="Q168" s="96">
        <v>501328</v>
      </c>
      <c r="R168" s="42">
        <f t="shared" si="14"/>
        <v>898793</v>
      </c>
    </row>
    <row r="169" spans="1:18" ht="17">
      <c r="A169" s="131" t="s">
        <v>126</v>
      </c>
      <c r="B169" s="131" t="s">
        <v>193</v>
      </c>
      <c r="C169" s="131" t="s">
        <v>202</v>
      </c>
      <c r="D169" s="131">
        <v>0</v>
      </c>
      <c r="E169" s="131">
        <v>4</v>
      </c>
      <c r="F169" s="130">
        <f t="shared" si="11"/>
        <v>7.7655244847052649E-3</v>
      </c>
      <c r="G169" s="130">
        <f t="shared" si="12"/>
        <v>12.739051073937297</v>
      </c>
      <c r="H169" s="130">
        <f t="shared" si="13"/>
        <v>0.71140551643192484</v>
      </c>
      <c r="I169" s="130"/>
      <c r="J169" s="94">
        <v>1183</v>
      </c>
      <c r="K169" s="98">
        <v>423</v>
      </c>
      <c r="L169" s="96">
        <v>12815</v>
      </c>
      <c r="M169" s="96">
        <v>340800</v>
      </c>
      <c r="N169" s="96">
        <v>152340</v>
      </c>
      <c r="O169" s="96">
        <v>98353</v>
      </c>
      <c r="P169" s="96">
        <v>78752</v>
      </c>
      <c r="Q169" s="96">
        <v>163695</v>
      </c>
      <c r="R169" s="42">
        <f t="shared" si="14"/>
        <v>242447</v>
      </c>
    </row>
    <row r="170" spans="1:18" ht="17">
      <c r="A170" s="131" t="s">
        <v>145</v>
      </c>
      <c r="B170" s="131" t="s">
        <v>193</v>
      </c>
      <c r="C170" s="131" t="s">
        <v>202</v>
      </c>
      <c r="D170" s="131">
        <v>0</v>
      </c>
      <c r="E170" s="131">
        <v>9</v>
      </c>
      <c r="F170" s="130">
        <f t="shared" si="11"/>
        <v>-4.6303832100988762E-2</v>
      </c>
      <c r="G170" s="130">
        <f t="shared" si="12"/>
        <v>13.120076765097899</v>
      </c>
      <c r="H170" s="130">
        <f t="shared" si="13"/>
        <v>0.91923352938110647</v>
      </c>
      <c r="I170" s="130"/>
      <c r="J170" s="94">
        <v>-8022</v>
      </c>
      <c r="K170" s="98">
        <v>432</v>
      </c>
      <c r="L170" s="96">
        <v>31095</v>
      </c>
      <c r="M170" s="96">
        <v>498858</v>
      </c>
      <c r="N170" s="96">
        <v>173247</v>
      </c>
      <c r="O170" s="96">
        <v>40291</v>
      </c>
      <c r="P170" s="96">
        <v>246179</v>
      </c>
      <c r="Q170" s="96">
        <v>212388</v>
      </c>
      <c r="R170" s="42">
        <f t="shared" si="14"/>
        <v>458567</v>
      </c>
    </row>
    <row r="171" spans="1:18" ht="17">
      <c r="A171" s="131" t="s">
        <v>147</v>
      </c>
      <c r="B171" s="131" t="s">
        <v>193</v>
      </c>
      <c r="C171" s="131" t="s">
        <v>202</v>
      </c>
      <c r="D171" s="131">
        <v>0</v>
      </c>
      <c r="E171" s="131">
        <v>5</v>
      </c>
      <c r="F171" s="130">
        <f t="shared" si="11"/>
        <v>-1.0168589900973893E-2</v>
      </c>
      <c r="G171" s="130">
        <f t="shared" si="12"/>
        <v>12.288081112140665</v>
      </c>
      <c r="H171" s="130">
        <f t="shared" si="13"/>
        <v>0.56175003339582574</v>
      </c>
      <c r="I171" s="130"/>
      <c r="J171" s="94">
        <v>-994</v>
      </c>
      <c r="K171" s="98">
        <v>304</v>
      </c>
      <c r="L171" s="96">
        <v>0</v>
      </c>
      <c r="M171" s="96">
        <v>217093</v>
      </c>
      <c r="N171" s="96">
        <v>97752</v>
      </c>
      <c r="O171" s="96">
        <v>95141</v>
      </c>
      <c r="P171" s="96">
        <v>39987</v>
      </c>
      <c r="Q171" s="96">
        <v>81965</v>
      </c>
      <c r="R171" s="42">
        <f t="shared" si="14"/>
        <v>121952</v>
      </c>
    </row>
    <row r="172" spans="1:18">
      <c r="A172" s="134" t="s">
        <v>17</v>
      </c>
      <c r="B172" s="134" t="s">
        <v>200</v>
      </c>
      <c r="C172" s="134" t="s">
        <v>202</v>
      </c>
      <c r="D172" s="134">
        <v>0</v>
      </c>
      <c r="E172" s="15">
        <v>19</v>
      </c>
      <c r="F172" s="130">
        <f t="shared" si="11"/>
        <v>0.15619158878504674</v>
      </c>
      <c r="G172" s="130">
        <f t="shared" si="12"/>
        <v>10.891112413014609</v>
      </c>
      <c r="H172" s="130">
        <f t="shared" si="13"/>
        <v>0.73041324468778512</v>
      </c>
      <c r="I172" s="130"/>
      <c r="J172" s="69">
        <v>4011</v>
      </c>
      <c r="L172" s="32"/>
      <c r="M172" s="32">
        <v>53697</v>
      </c>
      <c r="N172" s="32">
        <v>25680</v>
      </c>
      <c r="O172" s="32">
        <v>14476</v>
      </c>
      <c r="P172" s="32"/>
      <c r="Q172" s="32"/>
      <c r="R172" s="32">
        <v>39221</v>
      </c>
    </row>
    <row r="173" spans="1:18">
      <c r="A173" s="134" t="s">
        <v>18</v>
      </c>
      <c r="B173" s="134" t="s">
        <v>200</v>
      </c>
      <c r="C173" s="134" t="s">
        <v>202</v>
      </c>
      <c r="D173" s="134">
        <v>0</v>
      </c>
      <c r="E173" s="15">
        <v>11</v>
      </c>
      <c r="F173" s="130">
        <f t="shared" si="11"/>
        <v>0.29177002772508392</v>
      </c>
      <c r="G173" s="130">
        <f t="shared" si="12"/>
        <v>11.0483152650012</v>
      </c>
      <c r="H173" s="130">
        <f t="shared" si="13"/>
        <v>0.78665775486170786</v>
      </c>
      <c r="I173" s="130"/>
      <c r="J173" s="69">
        <v>7998</v>
      </c>
      <c r="L173" s="32"/>
      <c r="M173" s="32">
        <v>62838</v>
      </c>
      <c r="N173" s="32">
        <v>27412</v>
      </c>
      <c r="O173" s="32">
        <v>13406</v>
      </c>
      <c r="P173" s="32"/>
      <c r="Q173" s="32"/>
      <c r="R173" s="32">
        <v>49432</v>
      </c>
    </row>
    <row r="174" spans="1:18">
      <c r="A174" s="134" t="s">
        <v>22</v>
      </c>
      <c r="B174" s="134" t="s">
        <v>200</v>
      </c>
      <c r="C174" s="134" t="s">
        <v>202</v>
      </c>
      <c r="D174" s="134">
        <v>0</v>
      </c>
      <c r="E174" s="15">
        <v>9</v>
      </c>
      <c r="F174" s="130">
        <f t="shared" si="11"/>
        <v>-3.2086247834178273E-5</v>
      </c>
      <c r="G174" s="130">
        <f t="shared" si="12"/>
        <v>12.82657386160524</v>
      </c>
      <c r="H174" s="130">
        <f t="shared" si="13"/>
        <v>0.99589754067510461</v>
      </c>
      <c r="I174" s="130"/>
      <c r="J174" s="69">
        <v>-2</v>
      </c>
      <c r="L174" s="32"/>
      <c r="M174" s="32">
        <v>371972</v>
      </c>
      <c r="N174" s="32">
        <v>62332</v>
      </c>
      <c r="O174" s="32">
        <v>1526</v>
      </c>
      <c r="P174" s="32"/>
      <c r="Q174" s="32"/>
      <c r="R174" s="32">
        <v>370446</v>
      </c>
    </row>
    <row r="175" spans="1:18">
      <c r="A175" s="134" t="s">
        <v>23</v>
      </c>
      <c r="B175" s="134" t="s">
        <v>200</v>
      </c>
      <c r="C175" s="134" t="s">
        <v>202</v>
      </c>
      <c r="D175" s="134">
        <v>0</v>
      </c>
      <c r="E175" s="15">
        <v>17</v>
      </c>
      <c r="F175" s="130">
        <f t="shared" si="11"/>
        <v>3.9097107199260427E-3</v>
      </c>
      <c r="G175" s="130">
        <f t="shared" si="12"/>
        <v>11.445609757685361</v>
      </c>
      <c r="H175" s="130">
        <f t="shared" si="13"/>
        <v>0.8650764787677826</v>
      </c>
      <c r="I175" s="130"/>
      <c r="J175" s="69">
        <v>406</v>
      </c>
      <c r="L175" s="32"/>
      <c r="M175" s="32">
        <v>93490</v>
      </c>
      <c r="N175" s="32">
        <v>103844</v>
      </c>
      <c r="O175" s="32">
        <v>12614</v>
      </c>
      <c r="P175" s="32"/>
      <c r="Q175" s="32"/>
      <c r="R175" s="32">
        <v>80876</v>
      </c>
    </row>
    <row r="176" spans="1:18">
      <c r="A176" s="134" t="s">
        <v>51</v>
      </c>
      <c r="B176" s="134" t="s">
        <v>200</v>
      </c>
      <c r="C176" s="134" t="s">
        <v>202</v>
      </c>
      <c r="D176" s="134">
        <v>0</v>
      </c>
      <c r="E176" s="15">
        <v>16</v>
      </c>
      <c r="F176" s="130">
        <f t="shared" si="11"/>
        <v>0.1284693248195044</v>
      </c>
      <c r="G176" s="130">
        <f t="shared" si="12"/>
        <v>10.632050138317028</v>
      </c>
      <c r="H176" s="130">
        <f t="shared" si="13"/>
        <v>0.61367694609333523</v>
      </c>
      <c r="I176" s="130"/>
      <c r="J176" s="69">
        <v>3541</v>
      </c>
      <c r="L176" s="32"/>
      <c r="M176" s="32">
        <v>41442</v>
      </c>
      <c r="N176" s="32">
        <v>27563</v>
      </c>
      <c r="O176" s="32">
        <v>16010</v>
      </c>
      <c r="P176" s="32"/>
      <c r="Q176" s="32"/>
      <c r="R176" s="32">
        <v>25432</v>
      </c>
    </row>
    <row r="177" spans="1:18" ht="17">
      <c r="A177" s="134" t="s">
        <v>68</v>
      </c>
      <c r="B177" s="134" t="s">
        <v>200</v>
      </c>
      <c r="C177" s="134" t="s">
        <v>202</v>
      </c>
      <c r="D177" s="134">
        <v>0</v>
      </c>
      <c r="E177" s="15">
        <v>12</v>
      </c>
      <c r="F177" s="130">
        <f t="shared" si="11"/>
        <v>-8.3922011867759258E-2</v>
      </c>
      <c r="G177" s="130">
        <f t="shared" si="12"/>
        <v>12.718554896331538</v>
      </c>
      <c r="H177" s="130">
        <f t="shared" si="13"/>
        <v>0.84067316389426328</v>
      </c>
      <c r="I177" s="130"/>
      <c r="J177" s="72">
        <v>-1188</v>
      </c>
      <c r="K177" s="24">
        <v>12</v>
      </c>
      <c r="L177" s="38">
        <v>3237</v>
      </c>
      <c r="M177" s="38">
        <v>333886</v>
      </c>
      <c r="N177" s="38">
        <v>14156</v>
      </c>
      <c r="O177" s="38">
        <v>53197</v>
      </c>
      <c r="P177" s="38">
        <v>263207</v>
      </c>
      <c r="Q177" s="38">
        <v>17482</v>
      </c>
      <c r="R177" s="32">
        <v>280689</v>
      </c>
    </row>
    <row r="178" spans="1:18" ht="17">
      <c r="A178" s="134" t="s">
        <v>89</v>
      </c>
      <c r="B178" s="134" t="s">
        <v>200</v>
      </c>
      <c r="C178" s="134" t="s">
        <v>202</v>
      </c>
      <c r="D178" s="134">
        <v>1</v>
      </c>
      <c r="E178" s="15">
        <v>4</v>
      </c>
      <c r="F178" s="130">
        <f t="shared" si="11"/>
        <v>0.23306971141255958</v>
      </c>
      <c r="G178" s="130">
        <f t="shared" si="12"/>
        <v>12.122935571907316</v>
      </c>
      <c r="H178" s="130">
        <f t="shared" si="13"/>
        <v>1.2543508381102448</v>
      </c>
      <c r="I178" s="130"/>
      <c r="J178" s="72">
        <v>22250</v>
      </c>
      <c r="K178" s="24" t="s">
        <v>197</v>
      </c>
      <c r="L178" s="38" t="s">
        <v>197</v>
      </c>
      <c r="M178" s="38">
        <v>184045</v>
      </c>
      <c r="N178" s="38">
        <v>95465</v>
      </c>
      <c r="O178" s="38">
        <v>-46812</v>
      </c>
      <c r="P178" s="38" t="s">
        <v>197</v>
      </c>
      <c r="Q178" s="38" t="s">
        <v>197</v>
      </c>
      <c r="R178" s="32">
        <v>230857</v>
      </c>
    </row>
    <row r="179" spans="1:18">
      <c r="A179" s="134" t="s">
        <v>96</v>
      </c>
      <c r="B179" s="134" t="s">
        <v>200</v>
      </c>
      <c r="C179" s="134" t="s">
        <v>202</v>
      </c>
      <c r="D179" s="134">
        <v>0</v>
      </c>
      <c r="E179" s="15">
        <v>15</v>
      </c>
      <c r="F179" s="130">
        <f t="shared" si="11"/>
        <v>-0.37080476362324072</v>
      </c>
      <c r="G179" s="130">
        <f t="shared" si="12"/>
        <v>10.782263315647524</v>
      </c>
      <c r="H179" s="130">
        <f t="shared" si="13"/>
        <v>0.5451940447268423</v>
      </c>
      <c r="I179" s="130"/>
      <c r="J179" s="78">
        <v>-10275</v>
      </c>
      <c r="K179" s="16"/>
      <c r="L179" s="47"/>
      <c r="M179" s="32">
        <v>48159</v>
      </c>
      <c r="N179" s="32">
        <v>27710</v>
      </c>
      <c r="O179" s="32">
        <v>21903</v>
      </c>
      <c r="P179" s="32"/>
      <c r="Q179" s="32"/>
      <c r="R179" s="32">
        <v>26256</v>
      </c>
    </row>
    <row r="180" spans="1:18">
      <c r="A180" s="134" t="s">
        <v>98</v>
      </c>
      <c r="B180" s="134" t="s">
        <v>200</v>
      </c>
      <c r="C180" s="134" t="s">
        <v>202</v>
      </c>
      <c r="D180" s="134">
        <v>0</v>
      </c>
      <c r="E180" s="15">
        <v>8</v>
      </c>
      <c r="F180" s="130">
        <f t="shared" si="11"/>
        <v>7.7129143877664924E-2</v>
      </c>
      <c r="G180" s="130">
        <f t="shared" si="12"/>
        <v>11.053188948080271</v>
      </c>
      <c r="H180" s="130">
        <f t="shared" si="13"/>
        <v>0.58074273497505746</v>
      </c>
      <c r="I180" s="130"/>
      <c r="J180" s="78">
        <v>2764</v>
      </c>
      <c r="K180" s="16"/>
      <c r="L180" s="47"/>
      <c r="M180" s="32">
        <v>63145</v>
      </c>
      <c r="N180" s="32">
        <v>35836</v>
      </c>
      <c r="O180" s="32">
        <v>26474</v>
      </c>
      <c r="P180" s="32"/>
      <c r="Q180" s="32"/>
      <c r="R180" s="32">
        <v>36671</v>
      </c>
    </row>
    <row r="181" spans="1:18">
      <c r="A181" s="134" t="s">
        <v>100</v>
      </c>
      <c r="B181" s="134" t="s">
        <v>200</v>
      </c>
      <c r="C181" s="134" t="s">
        <v>202</v>
      </c>
      <c r="D181" s="134">
        <v>0</v>
      </c>
      <c r="E181" s="15">
        <v>13</v>
      </c>
      <c r="F181" s="130">
        <f t="shared" si="11"/>
        <v>-3.1511289048669552E-2</v>
      </c>
      <c r="G181" s="130">
        <f t="shared" si="12"/>
        <v>11.170857601991855</v>
      </c>
      <c r="H181" s="130">
        <f t="shared" si="13"/>
        <v>0.98013515416021402</v>
      </c>
      <c r="I181" s="130"/>
      <c r="J181" s="78">
        <v>-1157</v>
      </c>
      <c r="K181" s="16"/>
      <c r="L181" s="47"/>
      <c r="M181" s="32">
        <v>71030</v>
      </c>
      <c r="N181" s="32">
        <v>36717</v>
      </c>
      <c r="O181" s="32">
        <v>1411</v>
      </c>
      <c r="P181" s="32"/>
      <c r="Q181" s="32"/>
      <c r="R181" s="32">
        <v>69619</v>
      </c>
    </row>
    <row r="182" spans="1:18">
      <c r="A182" s="134" t="s">
        <v>103</v>
      </c>
      <c r="B182" s="134" t="s">
        <v>200</v>
      </c>
      <c r="C182" s="134" t="s">
        <v>202</v>
      </c>
      <c r="D182" s="134">
        <v>0</v>
      </c>
      <c r="E182" s="15">
        <v>18</v>
      </c>
      <c r="F182" s="130">
        <f t="shared" si="11"/>
        <v>0.40488038277511962</v>
      </c>
      <c r="G182" s="130">
        <f t="shared" si="12"/>
        <v>10.656647403002244</v>
      </c>
      <c r="H182" s="130">
        <f t="shared" si="13"/>
        <v>0.78165465932099643</v>
      </c>
      <c r="I182" s="130"/>
      <c r="J182" s="78">
        <v>8462</v>
      </c>
      <c r="K182" s="15"/>
      <c r="L182" s="47"/>
      <c r="M182" s="32">
        <v>42474</v>
      </c>
      <c r="N182" s="32">
        <v>20900</v>
      </c>
      <c r="O182" s="32">
        <v>9274</v>
      </c>
      <c r="P182" s="32"/>
      <c r="Q182" s="32"/>
      <c r="R182" s="32">
        <v>33200</v>
      </c>
    </row>
    <row r="183" spans="1:18" ht="17">
      <c r="A183" s="134" t="s">
        <v>105</v>
      </c>
      <c r="B183" s="134" t="s">
        <v>200</v>
      </c>
      <c r="C183" s="134" t="s">
        <v>202</v>
      </c>
      <c r="D183" s="134">
        <v>0</v>
      </c>
      <c r="E183" s="15">
        <v>5</v>
      </c>
      <c r="F183" s="130">
        <f t="shared" si="11"/>
        <v>-0.12510628649169547</v>
      </c>
      <c r="G183" s="130">
        <f t="shared" si="12"/>
        <v>12.730141193411955</v>
      </c>
      <c r="H183" s="130">
        <f t="shared" si="13"/>
        <v>0.92356791611033318</v>
      </c>
      <c r="I183" s="130"/>
      <c r="J183" s="72">
        <v>-2207</v>
      </c>
      <c r="K183" s="24" t="s">
        <v>197</v>
      </c>
      <c r="L183" s="38">
        <v>0</v>
      </c>
      <c r="M183" s="38">
        <v>337777</v>
      </c>
      <c r="N183" s="38">
        <v>17641</v>
      </c>
      <c r="O183" s="38">
        <v>25817</v>
      </c>
      <c r="P183" s="38">
        <v>122129</v>
      </c>
      <c r="Q183" s="38">
        <v>189831</v>
      </c>
      <c r="R183" s="32">
        <v>311960</v>
      </c>
    </row>
    <row r="184" spans="1:18" ht="17">
      <c r="A184" s="134" t="s">
        <v>106</v>
      </c>
      <c r="B184" s="134" t="s">
        <v>200</v>
      </c>
      <c r="C184" s="134" t="s">
        <v>202</v>
      </c>
      <c r="D184" s="134">
        <v>1</v>
      </c>
      <c r="E184" s="15">
        <v>2</v>
      </c>
      <c r="F184" s="130">
        <f t="shared" si="11"/>
        <v>-0.82302619404115007</v>
      </c>
      <c r="G184" s="130">
        <f t="shared" si="12"/>
        <v>12.327741455112179</v>
      </c>
      <c r="H184" s="130">
        <f t="shared" si="13"/>
        <v>1.2440852503143318</v>
      </c>
      <c r="I184" s="130"/>
      <c r="J184" s="72">
        <v>-97843</v>
      </c>
      <c r="K184" s="24" t="s">
        <v>197</v>
      </c>
      <c r="L184" s="38" t="s">
        <v>197</v>
      </c>
      <c r="M184" s="38">
        <v>225876</v>
      </c>
      <c r="N184" s="38">
        <v>118882</v>
      </c>
      <c r="O184" s="38">
        <v>-55133</v>
      </c>
      <c r="P184" s="38" t="s">
        <v>197</v>
      </c>
      <c r="Q184" s="38" t="s">
        <v>197</v>
      </c>
      <c r="R184" s="32">
        <v>281009</v>
      </c>
    </row>
    <row r="185" spans="1:18" ht="17">
      <c r="A185" s="134" t="s">
        <v>107</v>
      </c>
      <c r="B185" s="134" t="s">
        <v>200</v>
      </c>
      <c r="C185" s="134" t="s">
        <v>202</v>
      </c>
      <c r="D185" s="134">
        <v>0</v>
      </c>
      <c r="E185" s="15">
        <v>7</v>
      </c>
      <c r="F185" s="130">
        <f t="shared" si="11"/>
        <v>-0.18714613327750765</v>
      </c>
      <c r="G185" s="130">
        <f t="shared" si="12"/>
        <v>13.410446369477096</v>
      </c>
      <c r="H185" s="130">
        <f t="shared" si="13"/>
        <v>0.77690746010849654</v>
      </c>
      <c r="I185" s="130"/>
      <c r="J185" s="72">
        <v>-39334</v>
      </c>
      <c r="K185" s="24" t="s">
        <v>197</v>
      </c>
      <c r="L185" s="38">
        <v>16689</v>
      </c>
      <c r="M185" s="38">
        <v>666934</v>
      </c>
      <c r="N185" s="38">
        <v>210178</v>
      </c>
      <c r="O185" s="38">
        <v>148788</v>
      </c>
      <c r="P185" s="38">
        <v>346812</v>
      </c>
      <c r="Q185" s="38">
        <v>171334</v>
      </c>
      <c r="R185" s="32">
        <v>518146</v>
      </c>
    </row>
    <row r="186" spans="1:18" ht="17">
      <c r="A186" s="134" t="s">
        <v>111</v>
      </c>
      <c r="B186" s="134" t="s">
        <v>200</v>
      </c>
      <c r="C186" s="134" t="s">
        <v>202</v>
      </c>
      <c r="D186" s="134">
        <v>0</v>
      </c>
      <c r="E186" s="15">
        <v>1</v>
      </c>
      <c r="F186" s="130">
        <f t="shared" si="11"/>
        <v>-0.33729219357226575</v>
      </c>
      <c r="G186" s="130">
        <f t="shared" si="12"/>
        <v>13.89929088740374</v>
      </c>
      <c r="H186" s="130">
        <f t="shared" si="13"/>
        <v>0.70216665593761207</v>
      </c>
      <c r="I186" s="130"/>
      <c r="J186" s="72">
        <v>-174971</v>
      </c>
      <c r="K186" s="24" t="s">
        <v>197</v>
      </c>
      <c r="L186" s="38">
        <v>197494</v>
      </c>
      <c r="M186" s="38">
        <v>1087390</v>
      </c>
      <c r="N186" s="38">
        <v>518752</v>
      </c>
      <c r="O186" s="38">
        <v>323861</v>
      </c>
      <c r="P186" s="38">
        <v>97947</v>
      </c>
      <c r="Q186" s="38">
        <v>665582</v>
      </c>
      <c r="R186" s="32">
        <v>763529</v>
      </c>
    </row>
    <row r="187" spans="1:18">
      <c r="A187" s="134" t="s">
        <v>116</v>
      </c>
      <c r="B187" s="134" t="s">
        <v>200</v>
      </c>
      <c r="C187" s="134" t="s">
        <v>202</v>
      </c>
      <c r="D187" s="134">
        <v>0</v>
      </c>
      <c r="E187" s="15">
        <v>10</v>
      </c>
      <c r="F187" s="130">
        <f t="shared" si="11"/>
        <v>6.1518532226510866E-2</v>
      </c>
      <c r="G187" s="130">
        <f t="shared" si="12"/>
        <v>11.291642681353503</v>
      </c>
      <c r="H187" s="130">
        <f t="shared" si="13"/>
        <v>0.80733384072165593</v>
      </c>
      <c r="I187" s="130"/>
      <c r="J187" s="78">
        <v>2327</v>
      </c>
      <c r="K187" s="16"/>
      <c r="L187" s="47"/>
      <c r="M187" s="32">
        <v>80149</v>
      </c>
      <c r="N187" s="32">
        <v>37826</v>
      </c>
      <c r="O187" s="32">
        <v>15442</v>
      </c>
      <c r="P187" s="32"/>
      <c r="Q187" s="32"/>
      <c r="R187" s="32">
        <v>64707</v>
      </c>
    </row>
    <row r="188" spans="1:18">
      <c r="A188" s="134" t="s">
        <v>133</v>
      </c>
      <c r="B188" s="134" t="s">
        <v>200</v>
      </c>
      <c r="C188" s="134" t="s">
        <v>202</v>
      </c>
      <c r="D188" s="134">
        <v>0</v>
      </c>
      <c r="E188" s="15">
        <v>14</v>
      </c>
      <c r="F188" s="130">
        <f t="shared" si="11"/>
        <v>0.10260095344924285</v>
      </c>
      <c r="G188" s="130">
        <f t="shared" si="12"/>
        <v>9.7737204944770628</v>
      </c>
      <c r="H188" s="130">
        <f t="shared" si="13"/>
        <v>0.77923260844813846</v>
      </c>
      <c r="I188" s="130"/>
      <c r="J188" s="78">
        <v>2927</v>
      </c>
      <c r="K188" s="16"/>
      <c r="L188" s="47"/>
      <c r="M188" s="32">
        <v>17566</v>
      </c>
      <c r="N188" s="32">
        <v>28528</v>
      </c>
      <c r="O188" s="32">
        <v>3878</v>
      </c>
      <c r="P188" s="32"/>
      <c r="Q188" s="32"/>
      <c r="R188" s="32">
        <v>13688</v>
      </c>
    </row>
    <row r="189" spans="1:18">
      <c r="A189" s="134" t="s">
        <v>134</v>
      </c>
      <c r="B189" s="134" t="s">
        <v>200</v>
      </c>
      <c r="C189" s="134" t="s">
        <v>202</v>
      </c>
      <c r="D189" s="134">
        <v>0</v>
      </c>
      <c r="E189" s="15">
        <v>6</v>
      </c>
      <c r="F189" s="130">
        <f t="shared" si="11"/>
        <v>5.7468910021945867E-2</v>
      </c>
      <c r="G189" s="130">
        <f t="shared" si="12"/>
        <v>11.094451102268424</v>
      </c>
      <c r="H189" s="130">
        <f t="shared" si="13"/>
        <v>0</v>
      </c>
      <c r="I189" s="130"/>
      <c r="J189" s="78">
        <v>1964</v>
      </c>
      <c r="K189" s="16"/>
      <c r="L189" s="47"/>
      <c r="M189" s="32">
        <v>65805</v>
      </c>
      <c r="N189" s="32">
        <v>34175</v>
      </c>
      <c r="O189" s="32">
        <v>65805</v>
      </c>
      <c r="P189" s="32"/>
      <c r="Q189" s="32"/>
      <c r="R189" s="32">
        <v>0</v>
      </c>
    </row>
    <row r="190" spans="1:18" ht="17">
      <c r="A190" s="134" t="s">
        <v>135</v>
      </c>
      <c r="B190" s="134" t="s">
        <v>200</v>
      </c>
      <c r="C190" s="134" t="s">
        <v>202</v>
      </c>
      <c r="D190" s="134">
        <v>0</v>
      </c>
      <c r="E190" s="15">
        <v>3</v>
      </c>
      <c r="F190" s="130">
        <f t="shared" si="11"/>
        <v>-3.1616097250134798E-2</v>
      </c>
      <c r="G190" s="130">
        <f t="shared" si="12"/>
        <v>11.775674270876797</v>
      </c>
      <c r="H190" s="130">
        <f t="shared" si="13"/>
        <v>0.88771241830065362</v>
      </c>
      <c r="I190" s="130"/>
      <c r="J190" s="72">
        <v>-1935</v>
      </c>
      <c r="K190" s="24" t="s">
        <v>197</v>
      </c>
      <c r="L190" s="38" t="s">
        <v>197</v>
      </c>
      <c r="M190" s="38">
        <v>130050</v>
      </c>
      <c r="N190" s="38">
        <v>61203</v>
      </c>
      <c r="O190" s="38">
        <v>14603</v>
      </c>
      <c r="P190" s="38" t="s">
        <v>197</v>
      </c>
      <c r="Q190" s="38" t="s">
        <v>197</v>
      </c>
      <c r="R190" s="32">
        <v>115447</v>
      </c>
    </row>
    <row r="191" spans="1:18">
      <c r="A191" s="134" t="s">
        <v>141</v>
      </c>
      <c r="B191" s="134" t="s">
        <v>200</v>
      </c>
      <c r="C191" s="134" t="s">
        <v>202</v>
      </c>
      <c r="D191" s="134">
        <v>0</v>
      </c>
      <c r="E191" s="15">
        <v>20</v>
      </c>
      <c r="F191" s="130">
        <f t="shared" si="11"/>
        <v>-0.13484110286789946</v>
      </c>
      <c r="G191" s="130">
        <f t="shared" si="12"/>
        <v>10.842869615633681</v>
      </c>
      <c r="H191" s="130">
        <f t="shared" si="13"/>
        <v>0.88866088180112568</v>
      </c>
      <c r="I191" s="130"/>
      <c r="J191" s="69">
        <v>-4871</v>
      </c>
      <c r="K191" s="14"/>
      <c r="L191" s="53"/>
      <c r="M191" s="47">
        <v>51168</v>
      </c>
      <c r="N191" s="32">
        <v>36124</v>
      </c>
      <c r="O191" s="32">
        <v>5697</v>
      </c>
      <c r="P191" s="32"/>
      <c r="Q191" s="32"/>
      <c r="R191" s="32">
        <v>45471</v>
      </c>
    </row>
    <row r="192" spans="1:18" ht="17">
      <c r="A192" s="130" t="s">
        <v>21</v>
      </c>
      <c r="B192" s="130" t="s">
        <v>172</v>
      </c>
      <c r="C192" s="130" t="s">
        <v>202</v>
      </c>
      <c r="D192" s="130">
        <v>0</v>
      </c>
      <c r="E192" s="7">
        <v>8</v>
      </c>
      <c r="F192" s="130">
        <f t="shared" si="11"/>
        <v>-3.3521617071984054E-2</v>
      </c>
      <c r="G192" s="130">
        <f t="shared" si="12"/>
        <v>13.993186339838335</v>
      </c>
      <c r="H192" s="130">
        <f t="shared" si="13"/>
        <v>0.53695629241534515</v>
      </c>
      <c r="I192" s="130"/>
      <c r="J192" s="111">
        <v>-12884</v>
      </c>
      <c r="K192" s="112">
        <v>394</v>
      </c>
      <c r="L192" s="113">
        <v>274396</v>
      </c>
      <c r="M192" s="113">
        <v>1194438</v>
      </c>
      <c r="N192" s="113">
        <v>384349</v>
      </c>
      <c r="O192" s="113">
        <v>553077</v>
      </c>
      <c r="P192" s="113">
        <v>154444</v>
      </c>
      <c r="Q192" s="113">
        <v>486917</v>
      </c>
      <c r="R192" s="48">
        <f t="shared" ref="R192:R226" si="15">P192+Q192</f>
        <v>641361</v>
      </c>
    </row>
    <row r="193" spans="1:18" ht="17">
      <c r="A193" s="130" t="s">
        <v>24</v>
      </c>
      <c r="B193" s="130" t="s">
        <v>172</v>
      </c>
      <c r="C193" s="130" t="s">
        <v>202</v>
      </c>
      <c r="D193" s="130">
        <v>0</v>
      </c>
      <c r="E193" s="7">
        <v>17</v>
      </c>
      <c r="F193" s="130">
        <f t="shared" si="11"/>
        <v>-0.84266697941711133</v>
      </c>
      <c r="G193" s="130">
        <f t="shared" si="12"/>
        <v>12.143287253430135</v>
      </c>
      <c r="H193" s="130">
        <f t="shared" si="13"/>
        <v>1.5518050993190615</v>
      </c>
      <c r="I193" s="130"/>
      <c r="J193" s="79">
        <v>-100590</v>
      </c>
      <c r="K193" s="26">
        <v>658</v>
      </c>
      <c r="L193" s="48">
        <v>238020</v>
      </c>
      <c r="M193" s="48">
        <v>187829</v>
      </c>
      <c r="N193" s="48">
        <v>119371</v>
      </c>
      <c r="O193" s="48">
        <v>-103645</v>
      </c>
      <c r="P193" s="48">
        <v>0</v>
      </c>
      <c r="Q193" s="48">
        <v>291474</v>
      </c>
      <c r="R193" s="48">
        <f t="shared" si="15"/>
        <v>291474</v>
      </c>
    </row>
    <row r="194" spans="1:18">
      <c r="A194" s="130" t="s">
        <v>33</v>
      </c>
      <c r="B194" s="130" t="s">
        <v>172</v>
      </c>
      <c r="C194" s="130" t="s">
        <v>202</v>
      </c>
      <c r="D194" s="130">
        <v>0</v>
      </c>
      <c r="E194" s="7">
        <v>18</v>
      </c>
      <c r="F194" s="130">
        <f t="shared" ref="F194:F257" si="16">J194/N194</f>
        <v>-0.63000629062696578</v>
      </c>
      <c r="G194" s="130">
        <f t="shared" ref="G194:G257" si="17">LN(M194)</f>
        <v>12.022858690667483</v>
      </c>
      <c r="H194" s="130">
        <f t="shared" ref="H194:H257" si="18">R194/M194</f>
        <v>1.7078453980951007</v>
      </c>
      <c r="I194" s="130"/>
      <c r="J194" s="83">
        <v>-60090</v>
      </c>
      <c r="K194" s="6">
        <v>622</v>
      </c>
      <c r="L194" s="35">
        <v>36625</v>
      </c>
      <c r="M194" s="35">
        <v>166518</v>
      </c>
      <c r="N194" s="6">
        <v>95380</v>
      </c>
      <c r="O194" s="35">
        <v>-117964</v>
      </c>
      <c r="P194" s="35">
        <v>72634</v>
      </c>
      <c r="Q194" s="35">
        <v>211753</v>
      </c>
      <c r="R194" s="35">
        <f t="shared" si="15"/>
        <v>284387</v>
      </c>
    </row>
    <row r="195" spans="1:18" ht="17">
      <c r="A195" s="130" t="s">
        <v>36</v>
      </c>
      <c r="B195" s="130" t="s">
        <v>172</v>
      </c>
      <c r="C195" s="130" t="s">
        <v>202</v>
      </c>
      <c r="D195" s="130">
        <v>0</v>
      </c>
      <c r="E195" s="7">
        <v>15</v>
      </c>
      <c r="F195" s="130">
        <f t="shared" si="16"/>
        <v>-0.50859739894447775</v>
      </c>
      <c r="G195" s="130">
        <f t="shared" si="17"/>
        <v>12.128062454228429</v>
      </c>
      <c r="H195" s="130">
        <f t="shared" si="18"/>
        <v>2.1201301684946836</v>
      </c>
      <c r="I195" s="130"/>
      <c r="J195" s="79">
        <v>-68711</v>
      </c>
      <c r="K195" s="26">
        <v>979</v>
      </c>
      <c r="L195" s="48">
        <v>269058</v>
      </c>
      <c r="M195" s="48">
        <v>184991</v>
      </c>
      <c r="N195" s="48">
        <v>135099</v>
      </c>
      <c r="O195" s="48">
        <v>-207215</v>
      </c>
      <c r="P195" s="48">
        <v>14635</v>
      </c>
      <c r="Q195" s="48">
        <v>377570</v>
      </c>
      <c r="R195" s="48">
        <f t="shared" si="15"/>
        <v>392205</v>
      </c>
    </row>
    <row r="196" spans="1:18" ht="17">
      <c r="A196" s="130" t="s">
        <v>37</v>
      </c>
      <c r="B196" s="130" t="s">
        <v>172</v>
      </c>
      <c r="C196" s="130" t="s">
        <v>202</v>
      </c>
      <c r="D196" s="130">
        <v>0</v>
      </c>
      <c r="E196" s="7">
        <v>10</v>
      </c>
      <c r="F196" s="130">
        <f t="shared" si="16"/>
        <v>4.1851437505896942E-3</v>
      </c>
      <c r="G196" s="130">
        <f t="shared" si="17"/>
        <v>12.049529940423525</v>
      </c>
      <c r="H196" s="130">
        <f t="shared" si="18"/>
        <v>0.50168109976084529</v>
      </c>
      <c r="I196" s="130"/>
      <c r="J196" s="79">
        <v>621</v>
      </c>
      <c r="K196" s="26">
        <v>225</v>
      </c>
      <c r="L196" s="48">
        <v>573</v>
      </c>
      <c r="M196" s="48">
        <v>171019</v>
      </c>
      <c r="N196" s="48">
        <v>148382</v>
      </c>
      <c r="O196" s="48">
        <v>85222</v>
      </c>
      <c r="P196" s="48">
        <v>1532</v>
      </c>
      <c r="Q196" s="48">
        <v>84265</v>
      </c>
      <c r="R196" s="48">
        <f t="shared" si="15"/>
        <v>85797</v>
      </c>
    </row>
    <row r="197" spans="1:18" ht="17">
      <c r="A197" s="130" t="s">
        <v>44</v>
      </c>
      <c r="B197" s="130" t="s">
        <v>172</v>
      </c>
      <c r="C197" s="130" t="s">
        <v>202</v>
      </c>
      <c r="D197" s="130">
        <v>0</v>
      </c>
      <c r="E197" s="7">
        <v>4</v>
      </c>
      <c r="F197" s="130">
        <f t="shared" si="16"/>
        <v>7.9707271835330329E-2</v>
      </c>
      <c r="G197" s="130">
        <f t="shared" si="17"/>
        <v>13.779921721555001</v>
      </c>
      <c r="H197" s="130">
        <f t="shared" si="18"/>
        <v>0.41948236181617909</v>
      </c>
      <c r="I197" s="130"/>
      <c r="J197" s="79">
        <v>35583</v>
      </c>
      <c r="K197" s="26">
        <v>808</v>
      </c>
      <c r="L197" s="48">
        <v>51039</v>
      </c>
      <c r="M197" s="48">
        <v>965037</v>
      </c>
      <c r="N197" s="48">
        <v>446421</v>
      </c>
      <c r="O197" s="48">
        <v>560221</v>
      </c>
      <c r="P197" s="48">
        <v>44961</v>
      </c>
      <c r="Q197" s="48">
        <v>359855</v>
      </c>
      <c r="R197" s="48">
        <f t="shared" si="15"/>
        <v>404816</v>
      </c>
    </row>
    <row r="198" spans="1:18" ht="17">
      <c r="A198" s="130" t="s">
        <v>47</v>
      </c>
      <c r="B198" s="130" t="s">
        <v>172</v>
      </c>
      <c r="C198" s="130" t="s">
        <v>202</v>
      </c>
      <c r="D198" s="130">
        <v>0</v>
      </c>
      <c r="E198" s="7">
        <v>14</v>
      </c>
      <c r="F198" s="130">
        <f t="shared" si="16"/>
        <v>-0.42668970895066283</v>
      </c>
      <c r="G198" s="130">
        <f t="shared" si="17"/>
        <v>12.037056182115251</v>
      </c>
      <c r="H198" s="130">
        <f t="shared" si="18"/>
        <v>0.60683603810561337</v>
      </c>
      <c r="I198" s="130"/>
      <c r="J198" s="79">
        <v>-60738</v>
      </c>
      <c r="K198" s="26">
        <v>279</v>
      </c>
      <c r="L198" s="48">
        <v>37437</v>
      </c>
      <c r="M198" s="35">
        <v>168899</v>
      </c>
      <c r="N198" s="48">
        <v>142347</v>
      </c>
      <c r="O198" s="48">
        <v>-6966</v>
      </c>
      <c r="P198" s="48">
        <v>15947</v>
      </c>
      <c r="Q198" s="48">
        <v>86547</v>
      </c>
      <c r="R198" s="35">
        <f t="shared" si="15"/>
        <v>102494</v>
      </c>
    </row>
    <row r="199" spans="1:18" ht="17">
      <c r="A199" s="130" t="s">
        <v>57</v>
      </c>
      <c r="B199" s="130" t="s">
        <v>172</v>
      </c>
      <c r="C199" s="130" t="s">
        <v>202</v>
      </c>
      <c r="D199" s="130">
        <v>0</v>
      </c>
      <c r="E199" s="7">
        <v>12</v>
      </c>
      <c r="F199" s="130">
        <f t="shared" si="16"/>
        <v>-0.75246090777425922</v>
      </c>
      <c r="G199" s="130">
        <f t="shared" si="17"/>
        <v>12.926409318879077</v>
      </c>
      <c r="H199" s="130">
        <f t="shared" si="18"/>
        <v>0.81089714737546381</v>
      </c>
      <c r="I199" s="130"/>
      <c r="J199" s="79">
        <v>-153265</v>
      </c>
      <c r="K199" s="26">
        <v>452</v>
      </c>
      <c r="L199" s="48">
        <v>64330</v>
      </c>
      <c r="M199" s="48">
        <v>411025</v>
      </c>
      <c r="N199" s="48">
        <v>203685</v>
      </c>
      <c r="O199" s="48">
        <v>77726</v>
      </c>
      <c r="P199" s="48">
        <v>59039</v>
      </c>
      <c r="Q199" s="48">
        <v>274260</v>
      </c>
      <c r="R199" s="48">
        <f t="shared" si="15"/>
        <v>333299</v>
      </c>
    </row>
    <row r="200" spans="1:18" ht="17">
      <c r="A200" s="130" t="s">
        <v>87</v>
      </c>
      <c r="B200" s="130" t="s">
        <v>172</v>
      </c>
      <c r="C200" s="130" t="s">
        <v>202</v>
      </c>
      <c r="D200" s="130">
        <v>0</v>
      </c>
      <c r="E200" s="7">
        <v>5</v>
      </c>
      <c r="F200" s="130">
        <f t="shared" si="16"/>
        <v>-0.15709969788519637</v>
      </c>
      <c r="G200" s="130">
        <f t="shared" si="17"/>
        <v>11.234771191873529</v>
      </c>
      <c r="H200" s="130">
        <f t="shared" si="18"/>
        <v>0.36202752317810827</v>
      </c>
      <c r="I200" s="130"/>
      <c r="J200" s="79">
        <v>-2704</v>
      </c>
      <c r="K200" s="26">
        <v>178</v>
      </c>
      <c r="L200" s="48">
        <v>1327</v>
      </c>
      <c r="M200" s="48">
        <v>75718</v>
      </c>
      <c r="N200" s="48">
        <v>17212</v>
      </c>
      <c r="O200" s="48">
        <v>41817</v>
      </c>
      <c r="P200" s="48">
        <v>13802</v>
      </c>
      <c r="Q200" s="48">
        <v>13610</v>
      </c>
      <c r="R200" s="48">
        <f t="shared" si="15"/>
        <v>27412</v>
      </c>
    </row>
    <row r="201" spans="1:18" ht="17">
      <c r="A201" s="130" t="s">
        <v>90</v>
      </c>
      <c r="B201" s="130" t="s">
        <v>172</v>
      </c>
      <c r="C201" s="130" t="s">
        <v>202</v>
      </c>
      <c r="D201" s="130">
        <v>0</v>
      </c>
      <c r="E201" s="7">
        <v>1</v>
      </c>
      <c r="F201" s="130">
        <f t="shared" si="16"/>
        <v>-8.0537667928997136E-2</v>
      </c>
      <c r="G201" s="130">
        <f t="shared" si="17"/>
        <v>13.627821019301024</v>
      </c>
      <c r="H201" s="130">
        <f t="shared" si="18"/>
        <v>0.80720424866565643</v>
      </c>
      <c r="I201" s="130"/>
      <c r="J201" s="79">
        <v>-43661</v>
      </c>
      <c r="K201" s="26">
        <v>880</v>
      </c>
      <c r="L201" s="48">
        <v>79017</v>
      </c>
      <c r="M201" s="48">
        <v>828872</v>
      </c>
      <c r="N201" s="48">
        <v>542119</v>
      </c>
      <c r="O201" s="48">
        <v>231047</v>
      </c>
      <c r="P201" s="48">
        <v>249593</v>
      </c>
      <c r="Q201" s="48">
        <v>419476</v>
      </c>
      <c r="R201" s="48">
        <f t="shared" si="15"/>
        <v>669069</v>
      </c>
    </row>
    <row r="202" spans="1:18" ht="17">
      <c r="A202" s="130" t="s">
        <v>94</v>
      </c>
      <c r="B202" s="130" t="s">
        <v>172</v>
      </c>
      <c r="C202" s="130" t="s">
        <v>202</v>
      </c>
      <c r="D202" s="130">
        <v>0</v>
      </c>
      <c r="E202" s="7">
        <v>2</v>
      </c>
      <c r="F202" s="130">
        <f t="shared" si="16"/>
        <v>-0.26342970082453537</v>
      </c>
      <c r="G202" s="130">
        <f t="shared" si="17"/>
        <v>14.001924562591755</v>
      </c>
      <c r="H202" s="130">
        <f t="shared" si="18"/>
        <v>0.4405492144298257</v>
      </c>
      <c r="I202" s="130"/>
      <c r="J202" s="79">
        <v>-138083</v>
      </c>
      <c r="K202" s="26">
        <v>477</v>
      </c>
      <c r="L202" s="48">
        <v>33643</v>
      </c>
      <c r="M202" s="48">
        <v>1204921</v>
      </c>
      <c r="N202" s="48">
        <v>524174</v>
      </c>
      <c r="O202" s="48">
        <v>691114</v>
      </c>
      <c r="P202" s="48">
        <v>94331</v>
      </c>
      <c r="Q202" s="48">
        <v>436496</v>
      </c>
      <c r="R202" s="48">
        <f t="shared" si="15"/>
        <v>530827</v>
      </c>
    </row>
    <row r="203" spans="1:18" ht="17">
      <c r="A203" s="130" t="s">
        <v>95</v>
      </c>
      <c r="B203" s="130" t="s">
        <v>172</v>
      </c>
      <c r="C203" s="130" t="s">
        <v>202</v>
      </c>
      <c r="D203" s="130">
        <v>0</v>
      </c>
      <c r="E203" s="7">
        <v>3</v>
      </c>
      <c r="F203" s="130">
        <f t="shared" si="16"/>
        <v>-4.5640423453060713E-2</v>
      </c>
      <c r="G203" s="130">
        <f t="shared" si="17"/>
        <v>14.231565396426568</v>
      </c>
      <c r="H203" s="130">
        <f t="shared" si="18"/>
        <v>0.61190763135657789</v>
      </c>
      <c r="I203" s="130"/>
      <c r="J203" s="79">
        <v>-25458</v>
      </c>
      <c r="K203" s="26">
        <v>992</v>
      </c>
      <c r="L203" s="48">
        <v>0</v>
      </c>
      <c r="M203" s="48">
        <v>1515969</v>
      </c>
      <c r="N203" s="48">
        <v>557795</v>
      </c>
      <c r="O203" s="48">
        <v>384872</v>
      </c>
      <c r="P203" s="48">
        <v>694602</v>
      </c>
      <c r="Q203" s="48">
        <v>233031</v>
      </c>
      <c r="R203" s="48">
        <f t="shared" si="15"/>
        <v>927633</v>
      </c>
    </row>
    <row r="204" spans="1:18" ht="17">
      <c r="A204" s="130" t="s">
        <v>102</v>
      </c>
      <c r="B204" s="130" t="s">
        <v>172</v>
      </c>
      <c r="C204" s="130" t="s">
        <v>202</v>
      </c>
      <c r="D204" s="130">
        <v>0</v>
      </c>
      <c r="E204" s="7">
        <v>13</v>
      </c>
      <c r="F204" s="130">
        <f t="shared" si="16"/>
        <v>-0.14772754130131643</v>
      </c>
      <c r="G204" s="130">
        <f t="shared" si="17"/>
        <v>12.472551510330852</v>
      </c>
      <c r="H204" s="130">
        <f t="shared" si="18"/>
        <v>0.45955521848378994</v>
      </c>
      <c r="I204" s="130"/>
      <c r="J204" s="79">
        <v>-25002</v>
      </c>
      <c r="K204" s="26">
        <v>292</v>
      </c>
      <c r="L204" s="48">
        <v>125233</v>
      </c>
      <c r="M204" s="48">
        <v>261072</v>
      </c>
      <c r="N204" s="48">
        <v>169244</v>
      </c>
      <c r="O204" s="48">
        <v>12199</v>
      </c>
      <c r="P204" s="48">
        <v>15843</v>
      </c>
      <c r="Q204" s="48">
        <v>104134</v>
      </c>
      <c r="R204" s="48">
        <f t="shared" si="15"/>
        <v>119977</v>
      </c>
    </row>
    <row r="205" spans="1:18" ht="17">
      <c r="A205" s="130" t="s">
        <v>104</v>
      </c>
      <c r="B205" s="130" t="s">
        <v>172</v>
      </c>
      <c r="C205" s="130" t="s">
        <v>202</v>
      </c>
      <c r="D205" s="130">
        <v>0</v>
      </c>
      <c r="E205" s="7">
        <v>20</v>
      </c>
      <c r="F205" s="130">
        <f t="shared" si="16"/>
        <v>1.6471850514178637E-2</v>
      </c>
      <c r="G205" s="130">
        <f t="shared" si="17"/>
        <v>11.750878807937918</v>
      </c>
      <c r="H205" s="130">
        <f t="shared" si="18"/>
        <v>1.8442596460804792</v>
      </c>
      <c r="I205" s="130"/>
      <c r="J205" s="79">
        <v>2180</v>
      </c>
      <c r="K205" s="26">
        <v>327</v>
      </c>
      <c r="L205" s="48">
        <v>12187</v>
      </c>
      <c r="M205" s="48">
        <v>126865</v>
      </c>
      <c r="N205" s="48">
        <v>132347</v>
      </c>
      <c r="O205" s="48">
        <v>5368</v>
      </c>
      <c r="P205" s="48">
        <v>17363</v>
      </c>
      <c r="Q205" s="48">
        <v>216609</v>
      </c>
      <c r="R205" s="48">
        <f t="shared" si="15"/>
        <v>233972</v>
      </c>
    </row>
    <row r="206" spans="1:18" ht="17">
      <c r="A206" s="130" t="s">
        <v>129</v>
      </c>
      <c r="B206" s="130" t="s">
        <v>172</v>
      </c>
      <c r="C206" s="130" t="s">
        <v>202</v>
      </c>
      <c r="D206" s="130">
        <v>0</v>
      </c>
      <c r="E206" s="7">
        <v>11</v>
      </c>
      <c r="F206" s="130">
        <f t="shared" si="16"/>
        <v>-0.49050477647262547</v>
      </c>
      <c r="G206" s="130">
        <f t="shared" si="17"/>
        <v>12.48410581669433</v>
      </c>
      <c r="H206" s="130">
        <f t="shared" si="18"/>
        <v>1.4455445919441436</v>
      </c>
      <c r="I206" s="130"/>
      <c r="J206" s="79">
        <v>-67982</v>
      </c>
      <c r="K206" s="26">
        <v>431</v>
      </c>
      <c r="L206" s="48">
        <v>106340</v>
      </c>
      <c r="M206" s="48">
        <v>264106</v>
      </c>
      <c r="N206" s="48">
        <v>138596</v>
      </c>
      <c r="O206" s="48">
        <v>13953</v>
      </c>
      <c r="P206" s="48">
        <v>33545</v>
      </c>
      <c r="Q206" s="48">
        <v>348232</v>
      </c>
      <c r="R206" s="48">
        <f t="shared" si="15"/>
        <v>381777</v>
      </c>
    </row>
    <row r="207" spans="1:18" ht="17">
      <c r="A207" s="130" t="s">
        <v>140</v>
      </c>
      <c r="B207" s="130" t="s">
        <v>172</v>
      </c>
      <c r="C207" s="130" t="s">
        <v>202</v>
      </c>
      <c r="D207" s="130">
        <v>0</v>
      </c>
      <c r="E207" s="7">
        <v>6</v>
      </c>
      <c r="F207" s="130">
        <f t="shared" si="16"/>
        <v>-0.1631093194346438</v>
      </c>
      <c r="G207" s="130">
        <f t="shared" si="17"/>
        <v>14.534530629921203</v>
      </c>
      <c r="H207" s="130">
        <f t="shared" si="18"/>
        <v>0.81857815721043592</v>
      </c>
      <c r="I207" s="130"/>
      <c r="J207" s="79">
        <v>-70038</v>
      </c>
      <c r="K207" s="26">
        <v>647</v>
      </c>
      <c r="L207" s="48">
        <v>193252</v>
      </c>
      <c r="M207" s="48">
        <v>2052421</v>
      </c>
      <c r="N207" s="48">
        <v>429393</v>
      </c>
      <c r="O207" s="48">
        <v>372354</v>
      </c>
      <c r="P207" s="48">
        <v>1075416</v>
      </c>
      <c r="Q207" s="48">
        <v>604651</v>
      </c>
      <c r="R207" s="48">
        <f t="shared" si="15"/>
        <v>1680067</v>
      </c>
    </row>
    <row r="208" spans="1:18" ht="17">
      <c r="A208" s="130" t="s">
        <v>148</v>
      </c>
      <c r="B208" s="130" t="s">
        <v>172</v>
      </c>
      <c r="C208" s="130" t="s">
        <v>202</v>
      </c>
      <c r="D208" s="130">
        <v>0</v>
      </c>
      <c r="E208" s="7">
        <v>19</v>
      </c>
      <c r="F208" s="130">
        <f t="shared" si="16"/>
        <v>-0.26332362314321134</v>
      </c>
      <c r="G208" s="130">
        <f t="shared" si="17"/>
        <v>12.488737151020157</v>
      </c>
      <c r="H208" s="130">
        <f t="shared" si="18"/>
        <v>0.96157644008261345</v>
      </c>
      <c r="I208" s="130"/>
      <c r="J208" s="79">
        <v>-34621</v>
      </c>
      <c r="K208" s="26">
        <v>328</v>
      </c>
      <c r="L208" s="48">
        <v>24296</v>
      </c>
      <c r="M208" s="48">
        <v>265332</v>
      </c>
      <c r="N208" s="48">
        <v>131477</v>
      </c>
      <c r="O208" s="48">
        <v>10195</v>
      </c>
      <c r="P208" s="48">
        <v>133327</v>
      </c>
      <c r="Q208" s="48">
        <v>121810</v>
      </c>
      <c r="R208" s="48">
        <f t="shared" si="15"/>
        <v>255137</v>
      </c>
    </row>
    <row r="209" spans="1:18" ht="17">
      <c r="A209" s="130" t="s">
        <v>150</v>
      </c>
      <c r="B209" s="130" t="s">
        <v>172</v>
      </c>
      <c r="C209" s="130" t="s">
        <v>202</v>
      </c>
      <c r="D209" s="130">
        <v>0</v>
      </c>
      <c r="E209" s="7">
        <v>16</v>
      </c>
      <c r="F209" s="130">
        <f t="shared" si="16"/>
        <v>-0.46705560263346585</v>
      </c>
      <c r="G209" s="130">
        <f t="shared" si="17"/>
        <v>12.418345322420965</v>
      </c>
      <c r="H209" s="130">
        <f t="shared" si="18"/>
        <v>1.6392030635228085</v>
      </c>
      <c r="I209" s="130"/>
      <c r="J209" s="79">
        <v>-71651</v>
      </c>
      <c r="K209" s="26">
        <v>582</v>
      </c>
      <c r="L209" s="48">
        <v>146844</v>
      </c>
      <c r="M209" s="48">
        <v>247297</v>
      </c>
      <c r="N209" s="48">
        <v>153410</v>
      </c>
      <c r="O209" s="48">
        <v>-158073</v>
      </c>
      <c r="P209" s="48">
        <v>119329</v>
      </c>
      <c r="Q209" s="48">
        <v>286041</v>
      </c>
      <c r="R209" s="48">
        <f t="shared" si="15"/>
        <v>405370</v>
      </c>
    </row>
    <row r="210" spans="1:18" ht="17">
      <c r="A210" s="130" t="s">
        <v>151</v>
      </c>
      <c r="B210" s="130" t="s">
        <v>172</v>
      </c>
      <c r="C210" s="130" t="s">
        <v>202</v>
      </c>
      <c r="D210" s="130">
        <v>1</v>
      </c>
      <c r="E210" s="7">
        <v>7</v>
      </c>
      <c r="F210" s="130">
        <f t="shared" si="16"/>
        <v>-0.27653383848019841</v>
      </c>
      <c r="G210" s="130">
        <f t="shared" si="17"/>
        <v>12.644456600395447</v>
      </c>
      <c r="H210" s="130">
        <f t="shared" si="18"/>
        <v>1.2762933814991615</v>
      </c>
      <c r="I210" s="130"/>
      <c r="J210" s="79">
        <v>-40583</v>
      </c>
      <c r="K210" s="26">
        <v>380</v>
      </c>
      <c r="L210" s="48">
        <v>178425</v>
      </c>
      <c r="M210" s="48">
        <v>310040</v>
      </c>
      <c r="N210" s="48">
        <v>146756</v>
      </c>
      <c r="O210" s="48">
        <v>-85662</v>
      </c>
      <c r="P210" s="48">
        <v>80459</v>
      </c>
      <c r="Q210" s="48">
        <v>315243</v>
      </c>
      <c r="R210" s="48">
        <f t="shared" si="15"/>
        <v>395702</v>
      </c>
    </row>
    <row r="211" spans="1:18" ht="17">
      <c r="A211" s="132" t="s">
        <v>3</v>
      </c>
      <c r="B211" s="132" t="s">
        <v>198</v>
      </c>
      <c r="C211" s="132" t="s">
        <v>202</v>
      </c>
      <c r="D211" s="132">
        <v>0</v>
      </c>
      <c r="E211" s="10">
        <v>6</v>
      </c>
      <c r="F211" s="130">
        <f t="shared" si="16"/>
        <v>-1.0303739431064332</v>
      </c>
      <c r="G211" s="130">
        <f t="shared" si="17"/>
        <v>12.849472704182654</v>
      </c>
      <c r="H211" s="130">
        <f t="shared" si="18"/>
        <v>0.9103387390038572</v>
      </c>
      <c r="I211" s="130"/>
      <c r="J211" s="99">
        <v>-194616</v>
      </c>
      <c r="K211" s="100">
        <v>407</v>
      </c>
      <c r="L211" s="101">
        <v>96517</v>
      </c>
      <c r="M211" s="101">
        <v>380588</v>
      </c>
      <c r="N211" s="101">
        <v>188879</v>
      </c>
      <c r="O211" s="101">
        <v>34124</v>
      </c>
      <c r="P211" s="101">
        <v>45702</v>
      </c>
      <c r="Q211" s="101">
        <v>300762</v>
      </c>
      <c r="R211" s="102">
        <f t="shared" si="15"/>
        <v>346464</v>
      </c>
    </row>
    <row r="212" spans="1:18" ht="17">
      <c r="A212" s="132" t="s">
        <v>25</v>
      </c>
      <c r="B212" s="132" t="s">
        <v>198</v>
      </c>
      <c r="C212" s="132" t="s">
        <v>202</v>
      </c>
      <c r="D212" s="132">
        <v>0</v>
      </c>
      <c r="E212" s="10">
        <v>3</v>
      </c>
      <c r="F212" s="130">
        <f t="shared" si="16"/>
        <v>0.21855340692173625</v>
      </c>
      <c r="G212" s="130">
        <f t="shared" si="17"/>
        <v>12.694646525360701</v>
      </c>
      <c r="H212" s="130">
        <f t="shared" si="18"/>
        <v>0.5985220768225572</v>
      </c>
      <c r="I212" s="130"/>
      <c r="J212" s="99">
        <v>52667</v>
      </c>
      <c r="K212" s="100">
        <v>175</v>
      </c>
      <c r="L212" s="101">
        <v>830</v>
      </c>
      <c r="M212" s="101">
        <v>325998</v>
      </c>
      <c r="N212" s="101">
        <v>240980</v>
      </c>
      <c r="O212" s="101">
        <v>130882</v>
      </c>
      <c r="P212" s="101">
        <v>76340</v>
      </c>
      <c r="Q212" s="101">
        <v>118777</v>
      </c>
      <c r="R212" s="102">
        <f t="shared" si="15"/>
        <v>195117</v>
      </c>
    </row>
    <row r="213" spans="1:18" ht="17">
      <c r="A213" s="132" t="s">
        <v>32</v>
      </c>
      <c r="B213" s="132" t="s">
        <v>198</v>
      </c>
      <c r="C213" s="132" t="s">
        <v>202</v>
      </c>
      <c r="D213" s="132">
        <v>0</v>
      </c>
      <c r="E213" s="10">
        <v>12</v>
      </c>
      <c r="F213" s="130">
        <f t="shared" si="16"/>
        <v>-0.54892972732702694</v>
      </c>
      <c r="G213" s="130">
        <f t="shared" si="17"/>
        <v>11.830629824470885</v>
      </c>
      <c r="H213" s="130">
        <f t="shared" si="18"/>
        <v>0.78142171954263917</v>
      </c>
      <c r="I213" s="130"/>
      <c r="J213" s="99">
        <v>-39518</v>
      </c>
      <c r="K213" s="100">
        <v>198</v>
      </c>
      <c r="L213" s="101">
        <v>8416</v>
      </c>
      <c r="M213" s="101">
        <v>137397</v>
      </c>
      <c r="N213" s="101">
        <v>71991</v>
      </c>
      <c r="O213" s="101">
        <v>30032</v>
      </c>
      <c r="P213" s="101">
        <v>25010</v>
      </c>
      <c r="Q213" s="101">
        <v>82355</v>
      </c>
      <c r="R213" s="102">
        <f t="shared" si="15"/>
        <v>107365</v>
      </c>
    </row>
    <row r="214" spans="1:18" ht="17">
      <c r="A214" s="132" t="s">
        <v>59</v>
      </c>
      <c r="B214" s="132" t="s">
        <v>198</v>
      </c>
      <c r="C214" s="132" t="s">
        <v>202</v>
      </c>
      <c r="D214" s="132">
        <v>0</v>
      </c>
      <c r="E214" s="10">
        <v>10</v>
      </c>
      <c r="F214" s="130">
        <f t="shared" si="16"/>
        <v>-0.85904822261911618</v>
      </c>
      <c r="G214" s="130">
        <f t="shared" si="17"/>
        <v>12.383812890790518</v>
      </c>
      <c r="H214" s="130">
        <f t="shared" si="18"/>
        <v>0.63359187620080115</v>
      </c>
      <c r="I214" s="130"/>
      <c r="J214" s="99">
        <v>-29821</v>
      </c>
      <c r="K214" s="100">
        <v>282</v>
      </c>
      <c r="L214" s="101">
        <v>0</v>
      </c>
      <c r="M214" s="101">
        <v>238903</v>
      </c>
      <c r="N214" s="101">
        <v>34714</v>
      </c>
      <c r="O214" s="101">
        <v>87536</v>
      </c>
      <c r="P214" s="101">
        <v>49246</v>
      </c>
      <c r="Q214" s="101">
        <v>102121</v>
      </c>
      <c r="R214" s="102">
        <f t="shared" si="15"/>
        <v>151367</v>
      </c>
    </row>
    <row r="215" spans="1:18" ht="17">
      <c r="A215" s="132" t="s">
        <v>65</v>
      </c>
      <c r="B215" s="132" t="s">
        <v>198</v>
      </c>
      <c r="C215" s="132" t="s">
        <v>202</v>
      </c>
      <c r="D215" s="132">
        <v>0</v>
      </c>
      <c r="E215" s="10">
        <v>17</v>
      </c>
      <c r="F215" s="130">
        <f t="shared" si="16"/>
        <v>-0.51364181030509726</v>
      </c>
      <c r="G215" s="130">
        <f t="shared" si="17"/>
        <v>12.54809019274273</v>
      </c>
      <c r="H215" s="130">
        <f t="shared" si="18"/>
        <v>0.94889489517220316</v>
      </c>
      <c r="I215" s="130"/>
      <c r="J215" s="99">
        <v>-33435</v>
      </c>
      <c r="K215" s="100">
        <v>195</v>
      </c>
      <c r="L215" s="101">
        <v>23868</v>
      </c>
      <c r="M215" s="101">
        <v>281557</v>
      </c>
      <c r="N215" s="101">
        <v>65094</v>
      </c>
      <c r="O215" s="101">
        <v>14389</v>
      </c>
      <c r="P215" s="101">
        <v>136346</v>
      </c>
      <c r="Q215" s="101">
        <v>130822</v>
      </c>
      <c r="R215" s="102">
        <f t="shared" si="15"/>
        <v>267168</v>
      </c>
    </row>
    <row r="216" spans="1:18" ht="17">
      <c r="A216" s="132" t="s">
        <v>75</v>
      </c>
      <c r="B216" s="132" t="s">
        <v>198</v>
      </c>
      <c r="C216" s="132" t="s">
        <v>202</v>
      </c>
      <c r="D216" s="132">
        <v>0</v>
      </c>
      <c r="E216" s="10">
        <v>2</v>
      </c>
      <c r="F216" s="130">
        <f t="shared" si="16"/>
        <v>-0.2749791873674034</v>
      </c>
      <c r="G216" s="130">
        <f t="shared" si="17"/>
        <v>13.726924123040057</v>
      </c>
      <c r="H216" s="130">
        <f t="shared" si="18"/>
        <v>1.0403704448309923</v>
      </c>
      <c r="I216" s="130"/>
      <c r="J216" s="99">
        <v>-102394</v>
      </c>
      <c r="K216" s="100">
        <v>483</v>
      </c>
      <c r="L216" s="101">
        <v>32278</v>
      </c>
      <c r="M216" s="101">
        <v>915224</v>
      </c>
      <c r="N216" s="101">
        <v>372370</v>
      </c>
      <c r="O216" s="101">
        <v>-36949</v>
      </c>
      <c r="P216" s="101">
        <v>594912</v>
      </c>
      <c r="Q216" s="101">
        <v>357260</v>
      </c>
      <c r="R216" s="102">
        <f t="shared" si="15"/>
        <v>952172</v>
      </c>
    </row>
    <row r="217" spans="1:18" ht="17">
      <c r="A217" s="132" t="s">
        <v>77</v>
      </c>
      <c r="B217" s="132" t="s">
        <v>198</v>
      </c>
      <c r="C217" s="132" t="s">
        <v>202</v>
      </c>
      <c r="D217" s="132">
        <v>0</v>
      </c>
      <c r="E217" s="10">
        <v>1</v>
      </c>
      <c r="F217" s="130">
        <f t="shared" si="16"/>
        <v>-0.15639736041742236</v>
      </c>
      <c r="G217" s="130">
        <f t="shared" si="17"/>
        <v>13.978374028101106</v>
      </c>
      <c r="H217" s="130">
        <f t="shared" si="18"/>
        <v>0.79674579140028345</v>
      </c>
      <c r="I217" s="130"/>
      <c r="J217" s="99">
        <v>-89682</v>
      </c>
      <c r="K217" s="100">
        <v>270</v>
      </c>
      <c r="L217" s="101">
        <v>127598</v>
      </c>
      <c r="M217" s="101">
        <v>1176876</v>
      </c>
      <c r="N217" s="101">
        <v>573424</v>
      </c>
      <c r="O217" s="101">
        <v>239205</v>
      </c>
      <c r="P217" s="101">
        <v>502738</v>
      </c>
      <c r="Q217" s="101">
        <v>434933</v>
      </c>
      <c r="R217" s="102">
        <f t="shared" si="15"/>
        <v>937671</v>
      </c>
    </row>
    <row r="218" spans="1:18" ht="17">
      <c r="A218" s="132" t="s">
        <v>83</v>
      </c>
      <c r="B218" s="132" t="s">
        <v>198</v>
      </c>
      <c r="C218" s="132" t="s">
        <v>202</v>
      </c>
      <c r="D218" s="132">
        <v>0</v>
      </c>
      <c r="E218" s="10">
        <v>4</v>
      </c>
      <c r="F218" s="130">
        <f t="shared" si="16"/>
        <v>-0.14940852069001215</v>
      </c>
      <c r="G218" s="130">
        <f t="shared" si="17"/>
        <v>12.573129510342019</v>
      </c>
      <c r="H218" s="130">
        <f t="shared" si="18"/>
        <v>0.90662842574888469</v>
      </c>
      <c r="I218" s="130"/>
      <c r="J218" s="99">
        <v>-15876</v>
      </c>
      <c r="K218" s="100">
        <v>245</v>
      </c>
      <c r="L218" s="101">
        <v>36535</v>
      </c>
      <c r="M218" s="101">
        <v>288696</v>
      </c>
      <c r="N218" s="101">
        <v>106259</v>
      </c>
      <c r="O218" s="101">
        <v>26956</v>
      </c>
      <c r="P218" s="101">
        <v>99204</v>
      </c>
      <c r="Q218" s="101">
        <v>162536</v>
      </c>
      <c r="R218" s="102">
        <f t="shared" si="15"/>
        <v>261740</v>
      </c>
    </row>
    <row r="219" spans="1:18" ht="17">
      <c r="A219" s="132" t="s">
        <v>84</v>
      </c>
      <c r="B219" s="132" t="s">
        <v>198</v>
      </c>
      <c r="C219" s="132" t="s">
        <v>202</v>
      </c>
      <c r="D219" s="132">
        <v>0</v>
      </c>
      <c r="E219" s="10">
        <v>18</v>
      </c>
      <c r="F219" s="130">
        <f t="shared" si="16"/>
        <v>-2.7746975806451614E-2</v>
      </c>
      <c r="G219" s="130">
        <f t="shared" si="17"/>
        <v>12.606407952008809</v>
      </c>
      <c r="H219" s="130">
        <f t="shared" si="18"/>
        <v>0.60782001239676342</v>
      </c>
      <c r="I219" s="130"/>
      <c r="J219" s="103">
        <v>-1101</v>
      </c>
      <c r="K219" s="100">
        <v>154</v>
      </c>
      <c r="L219" s="102">
        <v>4535</v>
      </c>
      <c r="M219" s="102">
        <v>298465</v>
      </c>
      <c r="N219" s="102">
        <v>39680</v>
      </c>
      <c r="O219" s="102">
        <f>M219-R219</f>
        <v>117052</v>
      </c>
      <c r="P219" s="102">
        <v>78979</v>
      </c>
      <c r="Q219" s="102">
        <v>102434</v>
      </c>
      <c r="R219" s="102">
        <f t="shared" si="15"/>
        <v>181413</v>
      </c>
    </row>
    <row r="220" spans="1:18" ht="17">
      <c r="A220" s="132" t="s">
        <v>101</v>
      </c>
      <c r="B220" s="132" t="s">
        <v>198</v>
      </c>
      <c r="C220" s="132" t="s">
        <v>202</v>
      </c>
      <c r="D220" s="132">
        <v>0</v>
      </c>
      <c r="E220" s="10">
        <v>7</v>
      </c>
      <c r="F220" s="130">
        <f t="shared" si="16"/>
        <v>-6.9764363251257608E-2</v>
      </c>
      <c r="G220" s="130">
        <f t="shared" si="17"/>
        <v>12.987482503210433</v>
      </c>
      <c r="H220" s="130">
        <f t="shared" si="18"/>
        <v>0.71057883774690445</v>
      </c>
      <c r="I220" s="130"/>
      <c r="J220" s="99">
        <v>-18972</v>
      </c>
      <c r="K220" s="100">
        <v>112</v>
      </c>
      <c r="L220" s="101">
        <v>0</v>
      </c>
      <c r="M220" s="101">
        <v>436910</v>
      </c>
      <c r="N220" s="101">
        <v>271944</v>
      </c>
      <c r="O220" s="101">
        <v>126451</v>
      </c>
      <c r="P220" s="101">
        <v>106054</v>
      </c>
      <c r="Q220" s="101">
        <v>204405</v>
      </c>
      <c r="R220" s="102">
        <f t="shared" si="15"/>
        <v>310459</v>
      </c>
    </row>
    <row r="221" spans="1:18" ht="17">
      <c r="A221" s="132" t="s">
        <v>121</v>
      </c>
      <c r="B221" s="132" t="s">
        <v>198</v>
      </c>
      <c r="C221" s="132" t="s">
        <v>202</v>
      </c>
      <c r="D221" s="132">
        <v>0</v>
      </c>
      <c r="E221" s="10">
        <v>5</v>
      </c>
      <c r="F221" s="130">
        <f t="shared" si="16"/>
        <v>-1.1738497563445351</v>
      </c>
      <c r="G221" s="130">
        <f t="shared" si="17"/>
        <v>13.051874387289839</v>
      </c>
      <c r="H221" s="130">
        <f t="shared" si="18"/>
        <v>1.5203135830924375</v>
      </c>
      <c r="I221" s="130"/>
      <c r="J221" s="99">
        <v>-204028</v>
      </c>
      <c r="K221" s="100">
        <v>424</v>
      </c>
      <c r="L221" s="101">
        <v>22886</v>
      </c>
      <c r="M221" s="101">
        <v>465969</v>
      </c>
      <c r="N221" s="101">
        <v>173811</v>
      </c>
      <c r="O221" s="101">
        <v>-242450</v>
      </c>
      <c r="P221" s="101">
        <v>386910</v>
      </c>
      <c r="Q221" s="101">
        <v>321509</v>
      </c>
      <c r="R221" s="102">
        <f t="shared" si="15"/>
        <v>708419</v>
      </c>
    </row>
    <row r="222" spans="1:18" ht="17">
      <c r="A222" s="132" t="s">
        <v>123</v>
      </c>
      <c r="B222" s="132" t="s">
        <v>198</v>
      </c>
      <c r="C222" s="132" t="s">
        <v>202</v>
      </c>
      <c r="D222" s="132">
        <v>0</v>
      </c>
      <c r="E222" s="10">
        <v>15</v>
      </c>
      <c r="F222" s="130">
        <f t="shared" si="16"/>
        <v>-0.20926492563865368</v>
      </c>
      <c r="G222" s="130">
        <f t="shared" si="17"/>
        <v>12.628745513909234</v>
      </c>
      <c r="H222" s="130">
        <f t="shared" si="18"/>
        <v>0.75780699656298844</v>
      </c>
      <c r="I222" s="130"/>
      <c r="J222" s="99">
        <v>-14704</v>
      </c>
      <c r="K222" s="100">
        <v>169</v>
      </c>
      <c r="L222" s="101">
        <v>21520</v>
      </c>
      <c r="M222" s="101">
        <v>305207</v>
      </c>
      <c r="N222" s="101">
        <v>70265</v>
      </c>
      <c r="O222" s="101">
        <v>73919</v>
      </c>
      <c r="P222" s="101">
        <v>109859</v>
      </c>
      <c r="Q222" s="101">
        <v>121429</v>
      </c>
      <c r="R222" s="102">
        <f t="shared" si="15"/>
        <v>231288</v>
      </c>
    </row>
    <row r="223" spans="1:18" ht="17">
      <c r="A223" s="132" t="s">
        <v>124</v>
      </c>
      <c r="B223" s="132" t="s">
        <v>198</v>
      </c>
      <c r="C223" s="132" t="s">
        <v>202</v>
      </c>
      <c r="D223" s="132">
        <v>0</v>
      </c>
      <c r="E223" s="10">
        <v>8</v>
      </c>
      <c r="F223" s="130">
        <f t="shared" si="16"/>
        <v>-1.4395369736744469E-2</v>
      </c>
      <c r="G223" s="130">
        <f t="shared" si="17"/>
        <v>12.404197831202247</v>
      </c>
      <c r="H223" s="130">
        <f t="shared" si="18"/>
        <v>0.89201182825246184</v>
      </c>
      <c r="I223" s="130"/>
      <c r="J223" s="99">
        <v>-1746</v>
      </c>
      <c r="K223" s="100">
        <v>182</v>
      </c>
      <c r="L223" s="101">
        <v>5893</v>
      </c>
      <c r="M223" s="101">
        <v>243823</v>
      </c>
      <c r="N223" s="101">
        <v>121289</v>
      </c>
      <c r="O223" s="101">
        <v>26330</v>
      </c>
      <c r="P223" s="101">
        <v>91905</v>
      </c>
      <c r="Q223" s="101">
        <v>125588</v>
      </c>
      <c r="R223" s="102">
        <f t="shared" si="15"/>
        <v>217493</v>
      </c>
    </row>
    <row r="224" spans="1:18" ht="17">
      <c r="A224" s="132" t="s">
        <v>139</v>
      </c>
      <c r="B224" s="132" t="s">
        <v>198</v>
      </c>
      <c r="C224" s="132" t="s">
        <v>202</v>
      </c>
      <c r="D224" s="132">
        <v>0</v>
      </c>
      <c r="E224" s="10">
        <v>16</v>
      </c>
      <c r="F224" s="130">
        <f t="shared" si="16"/>
        <v>-0.23671503581137274</v>
      </c>
      <c r="G224" s="130">
        <f t="shared" si="17"/>
        <v>12.253714531632998</v>
      </c>
      <c r="H224" s="130">
        <f t="shared" si="18"/>
        <v>0.65204830305255079</v>
      </c>
      <c r="I224" s="130"/>
      <c r="J224" s="99">
        <v>-19070</v>
      </c>
      <c r="K224" s="100">
        <v>166</v>
      </c>
      <c r="L224" s="101">
        <v>0</v>
      </c>
      <c r="M224" s="101">
        <v>209759</v>
      </c>
      <c r="N224" s="101">
        <v>80561</v>
      </c>
      <c r="O224" s="101">
        <v>72987</v>
      </c>
      <c r="P224" s="101">
        <v>61677</v>
      </c>
      <c r="Q224" s="101">
        <v>75096</v>
      </c>
      <c r="R224" s="102">
        <f t="shared" si="15"/>
        <v>136773</v>
      </c>
    </row>
    <row r="225" spans="1:18" ht="17">
      <c r="A225" s="132" t="s">
        <v>144</v>
      </c>
      <c r="B225" s="132" t="s">
        <v>198</v>
      </c>
      <c r="C225" s="132" t="s">
        <v>202</v>
      </c>
      <c r="D225" s="132">
        <v>0</v>
      </c>
      <c r="E225" s="10">
        <v>13</v>
      </c>
      <c r="F225" s="130">
        <f t="shared" si="16"/>
        <v>-0.14848085717245563</v>
      </c>
      <c r="G225" s="130">
        <f t="shared" si="17"/>
        <v>12.801204490649384</v>
      </c>
      <c r="H225" s="130">
        <f t="shared" si="18"/>
        <v>0.35705383092424187</v>
      </c>
      <c r="I225" s="130"/>
      <c r="J225" s="99">
        <v>-10033</v>
      </c>
      <c r="K225" s="100">
        <v>194</v>
      </c>
      <c r="L225" s="101">
        <v>3106</v>
      </c>
      <c r="M225" s="101">
        <v>362654</v>
      </c>
      <c r="N225" s="101">
        <v>67571</v>
      </c>
      <c r="O225" s="101">
        <v>233167</v>
      </c>
      <c r="P225" s="101">
        <v>51700</v>
      </c>
      <c r="Q225" s="101">
        <v>77787</v>
      </c>
      <c r="R225" s="102">
        <f t="shared" si="15"/>
        <v>129487</v>
      </c>
    </row>
    <row r="226" spans="1:18">
      <c r="A226" s="132" t="s">
        <v>155</v>
      </c>
      <c r="B226" s="132" t="s">
        <v>198</v>
      </c>
      <c r="C226" s="132" t="s">
        <v>202</v>
      </c>
      <c r="D226" s="132">
        <v>0</v>
      </c>
      <c r="E226" s="10">
        <v>9</v>
      </c>
      <c r="F226" s="130">
        <f t="shared" si="16"/>
        <v>-0.2217258728464705</v>
      </c>
      <c r="G226" s="130">
        <f t="shared" si="17"/>
        <v>12.41133324579015</v>
      </c>
      <c r="H226" s="130">
        <f t="shared" si="18"/>
        <v>0.62439884513110366</v>
      </c>
      <c r="I226" s="130"/>
      <c r="J226" s="103">
        <v>-14543</v>
      </c>
      <c r="K226" s="9">
        <v>172</v>
      </c>
      <c r="L226" s="102">
        <v>2655</v>
      </c>
      <c r="M226" s="102">
        <v>245569</v>
      </c>
      <c r="N226" s="102">
        <v>65590</v>
      </c>
      <c r="O226" s="102">
        <f>M226-R226</f>
        <v>92236</v>
      </c>
      <c r="P226" s="102">
        <v>85686</v>
      </c>
      <c r="Q226" s="102">
        <v>67647</v>
      </c>
      <c r="R226" s="102">
        <f t="shared" si="15"/>
        <v>153333</v>
      </c>
    </row>
    <row r="227" spans="1:18">
      <c r="A227" s="133" t="s">
        <v>13</v>
      </c>
      <c r="B227" s="133" t="s">
        <v>199</v>
      </c>
      <c r="C227" s="133" t="s">
        <v>202</v>
      </c>
      <c r="D227" s="133">
        <v>0</v>
      </c>
      <c r="E227" s="135">
        <v>5</v>
      </c>
      <c r="F227" s="130">
        <f t="shared" si="16"/>
        <v>0.56164371787599054</v>
      </c>
      <c r="G227" s="130">
        <f t="shared" si="17"/>
        <v>11.817803830000262</v>
      </c>
      <c r="H227" s="130">
        <f t="shared" si="18"/>
        <v>1.2086165460094658</v>
      </c>
      <c r="I227" s="130"/>
      <c r="J227" s="69">
        <v>65345</v>
      </c>
      <c r="L227" s="32">
        <v>53472</v>
      </c>
      <c r="M227" s="32">
        <v>135646</v>
      </c>
      <c r="N227" s="32">
        <v>116346</v>
      </c>
      <c r="O227" s="32">
        <f>M227-R227</f>
        <v>-28298</v>
      </c>
      <c r="P227" s="32"/>
      <c r="Q227" s="32"/>
      <c r="R227" s="32">
        <v>163944</v>
      </c>
    </row>
    <row r="228" spans="1:18">
      <c r="A228" s="133" t="s">
        <v>19</v>
      </c>
      <c r="B228" s="133" t="s">
        <v>199</v>
      </c>
      <c r="C228" s="133" t="s">
        <v>202</v>
      </c>
      <c r="D228" s="133">
        <v>0</v>
      </c>
      <c r="E228" s="135">
        <v>18</v>
      </c>
      <c r="F228" s="130">
        <f t="shared" si="16"/>
        <v>-4.2057434474114197E-2</v>
      </c>
      <c r="G228" s="130">
        <f t="shared" si="17"/>
        <v>10.938147814711721</v>
      </c>
      <c r="H228" s="130">
        <f t="shared" si="18"/>
        <v>1.2852904074054332</v>
      </c>
      <c r="I228" s="130"/>
      <c r="J228" s="69">
        <v>-3758</v>
      </c>
      <c r="L228" s="32">
        <v>8791</v>
      </c>
      <c r="M228" s="32">
        <v>56283</v>
      </c>
      <c r="N228" s="32">
        <v>89354</v>
      </c>
      <c r="O228" s="32">
        <f>M228-R228</f>
        <v>-16057</v>
      </c>
      <c r="P228" s="32"/>
      <c r="Q228" s="32"/>
      <c r="R228" s="32">
        <v>72340</v>
      </c>
    </row>
    <row r="229" spans="1:18">
      <c r="A229" s="133" t="s">
        <v>20</v>
      </c>
      <c r="B229" s="133" t="s">
        <v>199</v>
      </c>
      <c r="C229" s="133" t="s">
        <v>202</v>
      </c>
      <c r="D229" s="133">
        <v>0</v>
      </c>
      <c r="E229" s="135">
        <v>9</v>
      </c>
      <c r="F229" s="130">
        <f t="shared" si="16"/>
        <v>1.3678044934962554</v>
      </c>
      <c r="G229" s="130">
        <f t="shared" si="17"/>
        <v>11.998716317616294</v>
      </c>
      <c r="H229" s="130">
        <f t="shared" si="18"/>
        <v>1.0391089291646671</v>
      </c>
      <c r="I229" s="130"/>
      <c r="J229" s="69">
        <v>86753</v>
      </c>
      <c r="L229" s="32">
        <v>65824</v>
      </c>
      <c r="M229" s="32">
        <v>162546</v>
      </c>
      <c r="N229" s="32">
        <v>63425</v>
      </c>
      <c r="O229" s="32">
        <f>M229-R229</f>
        <v>-6357</v>
      </c>
      <c r="P229" s="32"/>
      <c r="Q229" s="32"/>
      <c r="R229" s="32">
        <v>168903</v>
      </c>
    </row>
    <row r="230" spans="1:18" ht="17">
      <c r="A230" s="133" t="s">
        <v>31</v>
      </c>
      <c r="B230" s="133" t="s">
        <v>199</v>
      </c>
      <c r="C230" s="133" t="s">
        <v>202</v>
      </c>
      <c r="D230" s="133">
        <v>1</v>
      </c>
      <c r="E230" s="135">
        <v>3</v>
      </c>
      <c r="F230" s="130">
        <f t="shared" si="16"/>
        <v>-0.95754235869019166</v>
      </c>
      <c r="G230" s="130">
        <f t="shared" si="17"/>
        <v>12.131349099334237</v>
      </c>
      <c r="H230" s="130">
        <f t="shared" si="18"/>
        <v>1.9171821120689656</v>
      </c>
      <c r="I230" s="130"/>
      <c r="J230" s="72">
        <v>-62900</v>
      </c>
      <c r="K230" s="24">
        <v>286</v>
      </c>
      <c r="L230" s="38">
        <v>42062</v>
      </c>
      <c r="M230" s="38">
        <v>185600</v>
      </c>
      <c r="N230" s="38">
        <v>65689</v>
      </c>
      <c r="O230" s="38">
        <v>-170229</v>
      </c>
      <c r="P230" s="38">
        <v>200417</v>
      </c>
      <c r="Q230" s="38">
        <v>155412</v>
      </c>
      <c r="R230" s="38">
        <f>P230+Q230</f>
        <v>355829</v>
      </c>
    </row>
    <row r="231" spans="1:18" ht="18">
      <c r="A231" s="133" t="s">
        <v>48</v>
      </c>
      <c r="B231" s="133" t="s">
        <v>199</v>
      </c>
      <c r="C231" s="133" t="s">
        <v>202</v>
      </c>
      <c r="D231" s="133">
        <v>0</v>
      </c>
      <c r="E231" s="135">
        <v>14</v>
      </c>
      <c r="F231" s="130">
        <f t="shared" si="16"/>
        <v>-1.6649873501264987</v>
      </c>
      <c r="G231" s="130">
        <f t="shared" si="17"/>
        <v>11.332038878114268</v>
      </c>
      <c r="H231" s="130">
        <f t="shared" si="18"/>
        <v>0.8788779312906666</v>
      </c>
      <c r="I231" s="130"/>
      <c r="J231" s="77">
        <v>-75682</v>
      </c>
      <c r="K231" s="21"/>
      <c r="L231" s="32">
        <v>34523</v>
      </c>
      <c r="M231" s="40">
        <v>83453</v>
      </c>
      <c r="N231" s="51">
        <v>45455</v>
      </c>
      <c r="O231" s="40">
        <f>M231-R231</f>
        <v>10108</v>
      </c>
      <c r="P231" s="40"/>
      <c r="Q231" s="40"/>
      <c r="R231" s="40">
        <v>73345</v>
      </c>
    </row>
    <row r="232" spans="1:18" ht="18">
      <c r="A232" s="133" t="s">
        <v>58</v>
      </c>
      <c r="B232" s="133" t="s">
        <v>199</v>
      </c>
      <c r="C232" s="133" t="s">
        <v>202</v>
      </c>
      <c r="D232" s="133">
        <v>0</v>
      </c>
      <c r="E232" s="135">
        <v>7</v>
      </c>
      <c r="F232" s="130">
        <f t="shared" si="16"/>
        <v>-0.28269281444600086</v>
      </c>
      <c r="G232" s="130">
        <f t="shared" si="17"/>
        <v>12.525729289222825</v>
      </c>
      <c r="H232" s="130">
        <f t="shared" si="18"/>
        <v>1.3834330315147949</v>
      </c>
      <c r="I232" s="130"/>
      <c r="J232" s="72">
        <v>-20383</v>
      </c>
      <c r="K232" s="24">
        <v>515</v>
      </c>
      <c r="L232" s="38">
        <v>178779</v>
      </c>
      <c r="M232" s="38">
        <v>275331</v>
      </c>
      <c r="N232" s="38">
        <v>72103</v>
      </c>
      <c r="O232" s="38">
        <v>-105571</v>
      </c>
      <c r="P232" s="38">
        <v>129305</v>
      </c>
      <c r="Q232" s="38">
        <v>251597</v>
      </c>
      <c r="R232" s="40">
        <f>P232+Q232</f>
        <v>380902</v>
      </c>
    </row>
    <row r="233" spans="1:18" ht="17">
      <c r="A233" s="133" t="s">
        <v>62</v>
      </c>
      <c r="B233" s="133" t="s">
        <v>199</v>
      </c>
      <c r="C233" s="133" t="s">
        <v>202</v>
      </c>
      <c r="D233" s="133">
        <v>1</v>
      </c>
      <c r="E233" s="135">
        <v>6</v>
      </c>
      <c r="F233" s="130">
        <f t="shared" si="16"/>
        <v>-5.0955097167871589E-2</v>
      </c>
      <c r="G233" s="130">
        <f t="shared" si="17"/>
        <v>12.372387610958157</v>
      </c>
      <c r="H233" s="130">
        <f t="shared" si="18"/>
        <v>1.1782640173759151</v>
      </c>
      <c r="I233" s="130"/>
      <c r="J233" s="72">
        <v>-6146</v>
      </c>
      <c r="K233" s="24">
        <v>679</v>
      </c>
      <c r="L233" s="38">
        <v>44200</v>
      </c>
      <c r="M233" s="38">
        <v>236189</v>
      </c>
      <c r="N233" s="38">
        <v>120616</v>
      </c>
      <c r="O233" s="38">
        <v>-42104</v>
      </c>
      <c r="P233" s="38">
        <v>158415</v>
      </c>
      <c r="Q233" s="38">
        <v>119878</v>
      </c>
      <c r="R233" s="38">
        <f>P233+Q233</f>
        <v>278293</v>
      </c>
    </row>
    <row r="234" spans="1:18" ht="18">
      <c r="A234" s="133" t="s">
        <v>76</v>
      </c>
      <c r="B234" s="133" t="s">
        <v>199</v>
      </c>
      <c r="C234" s="133" t="s">
        <v>202</v>
      </c>
      <c r="D234" s="133">
        <v>1</v>
      </c>
      <c r="E234" s="133">
        <v>1</v>
      </c>
      <c r="F234" s="130">
        <f t="shared" si="16"/>
        <v>-0.37870588972692892</v>
      </c>
      <c r="G234" s="130">
        <f t="shared" si="17"/>
        <v>12.565647381006521</v>
      </c>
      <c r="H234" s="130">
        <f t="shared" si="18"/>
        <v>0.58781897370037406</v>
      </c>
      <c r="I234" s="130"/>
      <c r="J234" s="77">
        <v>-54378</v>
      </c>
      <c r="K234" s="5"/>
      <c r="L234" s="32">
        <v>53791</v>
      </c>
      <c r="M234" s="40">
        <v>286544</v>
      </c>
      <c r="N234" s="51">
        <v>143589</v>
      </c>
      <c r="O234" s="40">
        <f>M234-R234</f>
        <v>118108</v>
      </c>
      <c r="P234" s="40"/>
      <c r="Q234" s="40"/>
      <c r="R234" s="40">
        <v>168436</v>
      </c>
    </row>
    <row r="235" spans="1:18" ht="17">
      <c r="A235" s="133" t="s">
        <v>142</v>
      </c>
      <c r="B235" s="133" t="s">
        <v>199</v>
      </c>
      <c r="C235" s="133" t="s">
        <v>202</v>
      </c>
      <c r="D235" s="133">
        <v>1</v>
      </c>
      <c r="E235" s="135">
        <v>2</v>
      </c>
      <c r="F235" s="130">
        <f t="shared" si="16"/>
        <v>-2.8309695932895534E-2</v>
      </c>
      <c r="G235" s="130">
        <f t="shared" si="17"/>
        <v>11.381403480703243</v>
      </c>
      <c r="H235" s="130">
        <f t="shared" si="18"/>
        <v>1.8090355399425155</v>
      </c>
      <c r="I235" s="130"/>
      <c r="J235" s="72">
        <v>-1539</v>
      </c>
      <c r="K235" s="24">
        <v>108</v>
      </c>
      <c r="L235" s="38">
        <v>11185</v>
      </c>
      <c r="M235" s="38">
        <v>87676</v>
      </c>
      <c r="N235" s="38">
        <v>54363</v>
      </c>
      <c r="O235" s="38">
        <v>-70933</v>
      </c>
      <c r="P235" s="38">
        <v>116331</v>
      </c>
      <c r="Q235" s="38">
        <v>42278</v>
      </c>
      <c r="R235" s="38">
        <f t="shared" ref="R235:R249" si="19">P235+Q235</f>
        <v>158609</v>
      </c>
    </row>
    <row r="236" spans="1:18" ht="17">
      <c r="A236" s="131" t="s">
        <v>26</v>
      </c>
      <c r="B236" s="131" t="s">
        <v>193</v>
      </c>
      <c r="C236" s="131" t="s">
        <v>201</v>
      </c>
      <c r="D236" s="131">
        <v>0</v>
      </c>
      <c r="E236" s="131">
        <v>10</v>
      </c>
      <c r="F236" s="130">
        <f t="shared" si="16"/>
        <v>-0.24959008748073166</v>
      </c>
      <c r="G236" s="130">
        <f t="shared" si="17"/>
        <v>12.410974830146356</v>
      </c>
      <c r="H236" s="130">
        <f t="shared" si="18"/>
        <v>0.54189937306756941</v>
      </c>
      <c r="I236" s="130"/>
      <c r="J236" s="94">
        <v>-25421</v>
      </c>
      <c r="K236" s="98">
        <v>341</v>
      </c>
      <c r="L236" s="96">
        <v>0</v>
      </c>
      <c r="M236" s="96">
        <v>245481</v>
      </c>
      <c r="N236" s="96">
        <v>101851</v>
      </c>
      <c r="O236" s="96">
        <v>112455</v>
      </c>
      <c r="P236" s="96">
        <v>82173</v>
      </c>
      <c r="Q236" s="96">
        <v>50853</v>
      </c>
      <c r="R236" s="42">
        <f t="shared" si="19"/>
        <v>133026</v>
      </c>
    </row>
    <row r="237" spans="1:18" ht="17">
      <c r="A237" s="131" t="s">
        <v>27</v>
      </c>
      <c r="B237" s="131" t="s">
        <v>193</v>
      </c>
      <c r="C237" s="131" t="s">
        <v>201</v>
      </c>
      <c r="D237" s="131">
        <v>1</v>
      </c>
      <c r="E237" s="131">
        <v>1</v>
      </c>
      <c r="F237" s="130">
        <f t="shared" si="16"/>
        <v>-0.29589730446261497</v>
      </c>
      <c r="G237" s="130">
        <f t="shared" si="17"/>
        <v>13.78564498867453</v>
      </c>
      <c r="H237" s="130">
        <f t="shared" si="18"/>
        <v>1.0285819966700187</v>
      </c>
      <c r="I237" s="130"/>
      <c r="J237" s="94">
        <v>-107369</v>
      </c>
      <c r="K237" s="95">
        <v>1020</v>
      </c>
      <c r="L237" s="96">
        <v>82010</v>
      </c>
      <c r="M237" s="96">
        <v>970576</v>
      </c>
      <c r="N237" s="96">
        <v>362859</v>
      </c>
      <c r="O237" s="96">
        <v>-27741</v>
      </c>
      <c r="P237" s="96">
        <v>415150</v>
      </c>
      <c r="Q237" s="96">
        <v>583167</v>
      </c>
      <c r="R237" s="42">
        <f t="shared" si="19"/>
        <v>998317</v>
      </c>
    </row>
    <row r="238" spans="1:18" ht="17">
      <c r="A238" s="131" t="s">
        <v>28</v>
      </c>
      <c r="B238" s="131" t="s">
        <v>193</v>
      </c>
      <c r="C238" s="131" t="s">
        <v>201</v>
      </c>
      <c r="D238" s="131">
        <v>0</v>
      </c>
      <c r="E238" s="131">
        <v>3</v>
      </c>
      <c r="F238" s="130">
        <f t="shared" si="16"/>
        <v>-0.81554855577225138</v>
      </c>
      <c r="G238" s="130">
        <f t="shared" si="17"/>
        <v>13.845989325257689</v>
      </c>
      <c r="H238" s="130">
        <f t="shared" si="18"/>
        <v>1.4372014883388882</v>
      </c>
      <c r="I238" s="130"/>
      <c r="J238" s="94">
        <v>-481318</v>
      </c>
      <c r="K238" s="95">
        <v>1289</v>
      </c>
      <c r="L238" s="96">
        <v>188172</v>
      </c>
      <c r="M238" s="96">
        <v>1030948</v>
      </c>
      <c r="N238" s="96">
        <v>590177</v>
      </c>
      <c r="O238" s="96">
        <v>-450732</v>
      </c>
      <c r="P238" s="96">
        <v>669060</v>
      </c>
      <c r="Q238" s="96">
        <v>812620</v>
      </c>
      <c r="R238" s="42">
        <f t="shared" si="19"/>
        <v>1481680</v>
      </c>
    </row>
    <row r="239" spans="1:18">
      <c r="A239" s="131" t="s">
        <v>39</v>
      </c>
      <c r="B239" s="131" t="s">
        <v>193</v>
      </c>
      <c r="C239" s="131" t="s">
        <v>201</v>
      </c>
      <c r="D239" s="131">
        <v>0</v>
      </c>
      <c r="E239" s="131">
        <v>12</v>
      </c>
      <c r="F239" s="130">
        <f t="shared" si="16"/>
        <v>-4.6316964285714288E-2</v>
      </c>
      <c r="G239" s="130">
        <f t="shared" si="17"/>
        <v>7.3434262291473669</v>
      </c>
      <c r="H239" s="130">
        <f t="shared" si="18"/>
        <v>18.751617076326003</v>
      </c>
      <c r="I239" s="130"/>
      <c r="J239" s="75">
        <v>-2490</v>
      </c>
      <c r="K239" s="12">
        <v>254</v>
      </c>
      <c r="L239" s="42">
        <v>876</v>
      </c>
      <c r="M239" s="42">
        <v>1546</v>
      </c>
      <c r="N239" s="42">
        <v>53760</v>
      </c>
      <c r="O239" s="42">
        <f>M239-R239</f>
        <v>-27444</v>
      </c>
      <c r="P239" s="42">
        <v>26456</v>
      </c>
      <c r="Q239" s="42">
        <v>2534</v>
      </c>
      <c r="R239" s="42">
        <f t="shared" si="19"/>
        <v>28990</v>
      </c>
    </row>
    <row r="240" spans="1:18">
      <c r="A240" s="131" t="s">
        <v>43</v>
      </c>
      <c r="B240" s="131" t="s">
        <v>193</v>
      </c>
      <c r="C240" s="131" t="s">
        <v>201</v>
      </c>
      <c r="D240" s="131">
        <v>0</v>
      </c>
      <c r="E240" s="131">
        <v>8</v>
      </c>
      <c r="F240" s="130">
        <f t="shared" si="16"/>
        <v>-0.14332734889287851</v>
      </c>
      <c r="G240" s="130">
        <f t="shared" si="17"/>
        <v>8.8877907641953264</v>
      </c>
      <c r="H240" s="130">
        <f t="shared" si="18"/>
        <v>1.5184315891205302</v>
      </c>
      <c r="I240" s="130"/>
      <c r="J240" s="75">
        <v>-9580</v>
      </c>
      <c r="K240" s="12">
        <v>285</v>
      </c>
      <c r="L240" s="42">
        <v>1742</v>
      </c>
      <c r="M240" s="42">
        <v>7243</v>
      </c>
      <c r="N240" s="97">
        <v>66840</v>
      </c>
      <c r="O240" s="42">
        <f>M240-R240</f>
        <v>-3755</v>
      </c>
      <c r="P240" s="42">
        <v>4566</v>
      </c>
      <c r="Q240" s="42">
        <v>6432</v>
      </c>
      <c r="R240" s="42">
        <f t="shared" si="19"/>
        <v>10998</v>
      </c>
    </row>
    <row r="241" spans="1:18" ht="17">
      <c r="A241" s="131" t="s">
        <v>53</v>
      </c>
      <c r="B241" s="131" t="s">
        <v>193</v>
      </c>
      <c r="C241" s="131" t="s">
        <v>201</v>
      </c>
      <c r="D241" s="131">
        <v>0</v>
      </c>
      <c r="E241" s="131">
        <v>20</v>
      </c>
      <c r="F241" s="130">
        <f t="shared" si="16"/>
        <v>-0.22921271550858016</v>
      </c>
      <c r="G241" s="130">
        <f t="shared" si="17"/>
        <v>12.234465720031391</v>
      </c>
      <c r="H241" s="130">
        <f t="shared" si="18"/>
        <v>0.3843701399688958</v>
      </c>
      <c r="I241" s="130"/>
      <c r="J241" s="94">
        <v>-11407</v>
      </c>
      <c r="K241" s="98">
        <v>269</v>
      </c>
      <c r="L241" s="96">
        <v>5940</v>
      </c>
      <c r="M241" s="96">
        <v>205760</v>
      </c>
      <c r="N241" s="96">
        <v>49766</v>
      </c>
      <c r="O241" s="96">
        <v>126672</v>
      </c>
      <c r="P241" s="96">
        <v>6729</v>
      </c>
      <c r="Q241" s="96">
        <v>72359</v>
      </c>
      <c r="R241" s="42">
        <f t="shared" si="19"/>
        <v>79088</v>
      </c>
    </row>
    <row r="242" spans="1:18">
      <c r="A242" s="131" t="s">
        <v>54</v>
      </c>
      <c r="B242" s="131" t="s">
        <v>193</v>
      </c>
      <c r="C242" s="131" t="s">
        <v>201</v>
      </c>
      <c r="D242" s="131">
        <v>0</v>
      </c>
      <c r="E242" s="131">
        <v>17</v>
      </c>
      <c r="F242" s="130">
        <f t="shared" si="16"/>
        <v>0.22191323692992213</v>
      </c>
      <c r="G242" s="130">
        <f t="shared" si="17"/>
        <v>9.2453213408714277</v>
      </c>
      <c r="H242" s="130">
        <f t="shared" si="18"/>
        <v>3.5055040556199306</v>
      </c>
      <c r="I242" s="130"/>
      <c r="J242" s="75">
        <v>11970</v>
      </c>
      <c r="K242" s="12">
        <v>275</v>
      </c>
      <c r="L242" s="42">
        <v>1714</v>
      </c>
      <c r="M242" s="42">
        <v>10356</v>
      </c>
      <c r="N242" s="42">
        <v>53940</v>
      </c>
      <c r="O242" s="42">
        <f>M242-R242</f>
        <v>-25947</v>
      </c>
      <c r="P242" s="42">
        <v>8467</v>
      </c>
      <c r="Q242" s="42">
        <v>27836</v>
      </c>
      <c r="R242" s="42">
        <f t="shared" si="19"/>
        <v>36303</v>
      </c>
    </row>
    <row r="243" spans="1:18" ht="17">
      <c r="A243" s="131" t="s">
        <v>66</v>
      </c>
      <c r="B243" s="131" t="s">
        <v>193</v>
      </c>
      <c r="C243" s="131" t="s">
        <v>201</v>
      </c>
      <c r="D243" s="131">
        <v>0</v>
      </c>
      <c r="E243" s="131">
        <v>15</v>
      </c>
      <c r="F243" s="130">
        <f t="shared" si="16"/>
        <v>-0.11059122121358392</v>
      </c>
      <c r="G243" s="130">
        <f t="shared" si="17"/>
        <v>12.196168763598237</v>
      </c>
      <c r="H243" s="130">
        <f t="shared" si="18"/>
        <v>0.591292184478031</v>
      </c>
      <c r="I243" s="130"/>
      <c r="J243" s="94">
        <v>-14205</v>
      </c>
      <c r="K243" s="98">
        <v>334</v>
      </c>
      <c r="L243" s="96">
        <v>0</v>
      </c>
      <c r="M243" s="96">
        <v>198029</v>
      </c>
      <c r="N243" s="96">
        <v>128446</v>
      </c>
      <c r="O243" s="96">
        <v>80936</v>
      </c>
      <c r="P243" s="96">
        <v>29431</v>
      </c>
      <c r="Q243" s="96">
        <v>87662</v>
      </c>
      <c r="R243" s="42">
        <f t="shared" si="19"/>
        <v>117093</v>
      </c>
    </row>
    <row r="244" spans="1:18">
      <c r="A244" s="131" t="s">
        <v>108</v>
      </c>
      <c r="B244" s="131" t="s">
        <v>193</v>
      </c>
      <c r="C244" s="131" t="s">
        <v>201</v>
      </c>
      <c r="D244" s="131">
        <v>0</v>
      </c>
      <c r="E244" s="131">
        <v>11</v>
      </c>
      <c r="F244" s="130">
        <f t="shared" si="16"/>
        <v>-1.6452522720150423E-2</v>
      </c>
      <c r="G244" s="130">
        <f t="shared" si="17"/>
        <v>11.468733214177846</v>
      </c>
      <c r="H244" s="130">
        <f t="shared" si="18"/>
        <v>0.98468806505220685</v>
      </c>
      <c r="I244" s="130"/>
      <c r="J244" s="75">
        <v>-1050</v>
      </c>
      <c r="K244" s="12">
        <v>354</v>
      </c>
      <c r="L244" s="75">
        <v>54761</v>
      </c>
      <c r="M244" s="42">
        <v>95677</v>
      </c>
      <c r="N244" s="42">
        <v>63820</v>
      </c>
      <c r="O244" s="42">
        <f>M244-R244</f>
        <v>1465</v>
      </c>
      <c r="P244" s="42">
        <v>56644</v>
      </c>
      <c r="Q244" s="42">
        <v>37568</v>
      </c>
      <c r="R244" s="42">
        <f t="shared" si="19"/>
        <v>94212</v>
      </c>
    </row>
    <row r="245" spans="1:18" ht="17">
      <c r="A245" s="131" t="s">
        <v>117</v>
      </c>
      <c r="B245" s="131" t="s">
        <v>193</v>
      </c>
      <c r="C245" s="131" t="s">
        <v>201</v>
      </c>
      <c r="D245" s="131">
        <v>0</v>
      </c>
      <c r="E245" s="131">
        <v>6</v>
      </c>
      <c r="F245" s="130">
        <f t="shared" si="16"/>
        <v>-0.41838026482362201</v>
      </c>
      <c r="G245" s="130">
        <f t="shared" si="17"/>
        <v>11.809007161600341</v>
      </c>
      <c r="H245" s="130">
        <f t="shared" si="18"/>
        <v>1.2328905680584272</v>
      </c>
      <c r="I245" s="130"/>
      <c r="J245" s="94">
        <v>-36684</v>
      </c>
      <c r="K245" s="98">
        <v>384</v>
      </c>
      <c r="L245" s="96">
        <v>37024</v>
      </c>
      <c r="M245" s="96">
        <v>134458</v>
      </c>
      <c r="N245" s="96">
        <v>87681</v>
      </c>
      <c r="O245" s="96">
        <v>-31314</v>
      </c>
      <c r="P245" s="96">
        <v>31067</v>
      </c>
      <c r="Q245" s="96">
        <v>134705</v>
      </c>
      <c r="R245" s="42">
        <f t="shared" si="19"/>
        <v>165772</v>
      </c>
    </row>
    <row r="246" spans="1:18" ht="17">
      <c r="A246" s="131" t="s">
        <v>118</v>
      </c>
      <c r="B246" s="131" t="s">
        <v>193</v>
      </c>
      <c r="C246" s="131" t="s">
        <v>201</v>
      </c>
      <c r="D246" s="131">
        <v>0</v>
      </c>
      <c r="E246" s="131">
        <v>2</v>
      </c>
      <c r="F246" s="130">
        <f t="shared" si="16"/>
        <v>1.3641329795536132E-3</v>
      </c>
      <c r="G246" s="130">
        <f t="shared" si="17"/>
        <v>14.276452630030484</v>
      </c>
      <c r="H246" s="130">
        <f t="shared" si="18"/>
        <v>0.71165015417197763</v>
      </c>
      <c r="I246" s="130"/>
      <c r="J246" s="75">
        <v>874</v>
      </c>
      <c r="K246" s="108">
        <v>861</v>
      </c>
      <c r="L246" s="96">
        <v>237237</v>
      </c>
      <c r="M246" s="96">
        <v>1585567</v>
      </c>
      <c r="N246" s="96">
        <v>640700</v>
      </c>
      <c r="O246" s="96">
        <v>533655</v>
      </c>
      <c r="P246" s="96">
        <v>456682</v>
      </c>
      <c r="Q246" s="96">
        <v>671687</v>
      </c>
      <c r="R246" s="42">
        <f t="shared" si="19"/>
        <v>1128369</v>
      </c>
    </row>
    <row r="247" spans="1:18" ht="17">
      <c r="A247" s="131" t="s">
        <v>126</v>
      </c>
      <c r="B247" s="131" t="s">
        <v>193</v>
      </c>
      <c r="C247" s="131" t="s">
        <v>201</v>
      </c>
      <c r="D247" s="131">
        <v>0</v>
      </c>
      <c r="E247" s="131">
        <v>4</v>
      </c>
      <c r="F247" s="130">
        <f t="shared" si="16"/>
        <v>-0.23846424391284543</v>
      </c>
      <c r="G247" s="130">
        <f t="shared" si="17"/>
        <v>12.482582540978704</v>
      </c>
      <c r="H247" s="130">
        <f t="shared" si="18"/>
        <v>0.78573703849770959</v>
      </c>
      <c r="I247" s="130"/>
      <c r="J247" s="94">
        <v>-41359</v>
      </c>
      <c r="K247" s="98">
        <v>397</v>
      </c>
      <c r="L247" s="96">
        <v>12949</v>
      </c>
      <c r="M247" s="96">
        <v>263704</v>
      </c>
      <c r="N247" s="96">
        <v>173439</v>
      </c>
      <c r="O247" s="96">
        <v>56502</v>
      </c>
      <c r="P247" s="96">
        <v>61193</v>
      </c>
      <c r="Q247" s="96">
        <v>146009</v>
      </c>
      <c r="R247" s="42">
        <f t="shared" si="19"/>
        <v>207202</v>
      </c>
    </row>
    <row r="248" spans="1:18" ht="17">
      <c r="A248" s="131" t="s">
        <v>145</v>
      </c>
      <c r="B248" s="131" t="s">
        <v>193</v>
      </c>
      <c r="C248" s="131" t="s">
        <v>201</v>
      </c>
      <c r="D248" s="131">
        <v>0</v>
      </c>
      <c r="E248" s="131">
        <v>13</v>
      </c>
      <c r="F248" s="130">
        <f t="shared" si="16"/>
        <v>-0.284706826869566</v>
      </c>
      <c r="G248" s="130">
        <f t="shared" si="17"/>
        <v>12.899904591584704</v>
      </c>
      <c r="H248" s="130">
        <f t="shared" si="18"/>
        <v>0.97752289681568127</v>
      </c>
      <c r="I248" s="130"/>
      <c r="J248" s="94">
        <v>-31207</v>
      </c>
      <c r="K248" s="98">
        <v>407</v>
      </c>
      <c r="L248" s="96">
        <v>14609</v>
      </c>
      <c r="M248" s="96">
        <v>400274</v>
      </c>
      <c r="N248" s="96">
        <v>109611</v>
      </c>
      <c r="O248" s="96">
        <v>8997</v>
      </c>
      <c r="P248" s="96">
        <v>174727</v>
      </c>
      <c r="Q248" s="96">
        <v>216550</v>
      </c>
      <c r="R248" s="42">
        <f t="shared" si="19"/>
        <v>391277</v>
      </c>
    </row>
    <row r="249" spans="1:18">
      <c r="A249" s="131" t="s">
        <v>147</v>
      </c>
      <c r="B249" s="131" t="s">
        <v>193</v>
      </c>
      <c r="C249" s="131" t="s">
        <v>201</v>
      </c>
      <c r="D249" s="131">
        <v>0</v>
      </c>
      <c r="E249" s="131">
        <v>7</v>
      </c>
      <c r="F249" s="130">
        <f t="shared" si="16"/>
        <v>-3.0690537084398974E-4</v>
      </c>
      <c r="G249" s="130">
        <f t="shared" si="17"/>
        <v>13.428344005426821</v>
      </c>
      <c r="H249" s="130">
        <f t="shared" si="18"/>
        <v>0.90065362942540117</v>
      </c>
      <c r="I249" s="130"/>
      <c r="J249" s="75">
        <v>-30</v>
      </c>
      <c r="K249" s="12">
        <v>385</v>
      </c>
      <c r="L249" s="42">
        <v>87678</v>
      </c>
      <c r="M249" s="42">
        <v>678978</v>
      </c>
      <c r="N249" s="42">
        <v>97750</v>
      </c>
      <c r="O249" s="42">
        <f>M249-R249</f>
        <v>67454</v>
      </c>
      <c r="P249" s="42">
        <v>467846</v>
      </c>
      <c r="Q249" s="42">
        <v>143678</v>
      </c>
      <c r="R249" s="42">
        <f t="shared" si="19"/>
        <v>611524</v>
      </c>
    </row>
    <row r="250" spans="1:18">
      <c r="A250" s="134" t="s">
        <v>18</v>
      </c>
      <c r="B250" s="134" t="s">
        <v>200</v>
      </c>
      <c r="C250" s="134" t="s">
        <v>201</v>
      </c>
      <c r="D250" s="134">
        <v>0</v>
      </c>
      <c r="E250" s="15">
        <v>13</v>
      </c>
      <c r="F250" s="130">
        <f t="shared" si="16"/>
        <v>0</v>
      </c>
      <c r="G250" s="130">
        <f t="shared" si="17"/>
        <v>10.503120439721929</v>
      </c>
      <c r="H250" s="130">
        <f t="shared" si="18"/>
        <v>1.1715117077053996</v>
      </c>
      <c r="I250" s="130"/>
      <c r="J250" s="69"/>
      <c r="L250" s="32">
        <v>7969</v>
      </c>
      <c r="M250" s="32">
        <v>36429</v>
      </c>
      <c r="N250" s="32">
        <v>12397</v>
      </c>
      <c r="O250" s="32">
        <v>-6248</v>
      </c>
      <c r="P250" s="32"/>
      <c r="Q250" s="32"/>
      <c r="R250" s="32">
        <v>42677</v>
      </c>
    </row>
    <row r="251" spans="1:18">
      <c r="A251" s="134" t="s">
        <v>22</v>
      </c>
      <c r="B251" s="134" t="s">
        <v>200</v>
      </c>
      <c r="C251" s="134" t="s">
        <v>201</v>
      </c>
      <c r="D251" s="134">
        <v>0</v>
      </c>
      <c r="E251" s="15">
        <v>3</v>
      </c>
      <c r="F251" s="130">
        <f t="shared" si="16"/>
        <v>-1.8285570162993789E-3</v>
      </c>
      <c r="G251" s="130">
        <f t="shared" si="17"/>
        <v>12.66130204636505</v>
      </c>
      <c r="H251" s="130">
        <f t="shared" si="18"/>
        <v>0.99552816778568187</v>
      </c>
      <c r="I251" s="130"/>
      <c r="J251" s="69">
        <v>-116</v>
      </c>
      <c r="L251" s="32"/>
      <c r="M251" s="32">
        <v>315307</v>
      </c>
      <c r="N251" s="32">
        <v>63438</v>
      </c>
      <c r="O251" s="32">
        <v>1410</v>
      </c>
      <c r="P251" s="32"/>
      <c r="Q251" s="32"/>
      <c r="R251" s="32">
        <v>313897</v>
      </c>
    </row>
    <row r="252" spans="1:18">
      <c r="A252" s="134" t="s">
        <v>23</v>
      </c>
      <c r="B252" s="134" t="s">
        <v>200</v>
      </c>
      <c r="C252" s="134" t="s">
        <v>201</v>
      </c>
      <c r="D252" s="134">
        <v>0</v>
      </c>
      <c r="E252" s="15">
        <v>11</v>
      </c>
      <c r="F252" s="130">
        <f t="shared" si="16"/>
        <v>6.1148205497420932E-4</v>
      </c>
      <c r="G252" s="130">
        <f t="shared" si="17"/>
        <v>11.542299784176407</v>
      </c>
      <c r="H252" s="130">
        <f t="shared" si="18"/>
        <v>0.77473514531806842</v>
      </c>
      <c r="I252" s="130"/>
      <c r="J252" s="69">
        <v>62</v>
      </c>
      <c r="L252" s="32"/>
      <c r="M252" s="32">
        <v>102981</v>
      </c>
      <c r="N252" s="32">
        <v>101393</v>
      </c>
      <c r="O252" s="32">
        <v>23198</v>
      </c>
      <c r="P252" s="32"/>
      <c r="Q252" s="32"/>
      <c r="R252" s="32">
        <v>79783</v>
      </c>
    </row>
    <row r="253" spans="1:18">
      <c r="A253" s="134" t="s">
        <v>51</v>
      </c>
      <c r="B253" s="134" t="s">
        <v>200</v>
      </c>
      <c r="C253" s="134" t="s">
        <v>201</v>
      </c>
      <c r="D253" s="134">
        <v>0</v>
      </c>
      <c r="E253" s="15">
        <v>20</v>
      </c>
      <c r="F253" s="130">
        <f t="shared" si="16"/>
        <v>3.1940619332303355E-2</v>
      </c>
      <c r="G253" s="130">
        <f t="shared" si="17"/>
        <v>10.780184701749807</v>
      </c>
      <c r="H253" s="130">
        <f t="shared" si="18"/>
        <v>0.64768305624336753</v>
      </c>
      <c r="I253" s="130"/>
      <c r="J253" s="69">
        <v>951</v>
      </c>
      <c r="L253" s="32"/>
      <c r="M253" s="32">
        <v>48059</v>
      </c>
      <c r="N253" s="32">
        <v>29774</v>
      </c>
      <c r="O253" s="32">
        <v>16932</v>
      </c>
      <c r="P253" s="32"/>
      <c r="Q253" s="32"/>
      <c r="R253" s="32">
        <v>31127</v>
      </c>
    </row>
    <row r="254" spans="1:18" ht="17">
      <c r="A254" s="134" t="s">
        <v>68</v>
      </c>
      <c r="B254" s="134" t="s">
        <v>200</v>
      </c>
      <c r="C254" s="134" t="s">
        <v>201</v>
      </c>
      <c r="D254" s="134">
        <v>0</v>
      </c>
      <c r="E254" s="15">
        <v>12</v>
      </c>
      <c r="F254" s="130">
        <f t="shared" si="16"/>
        <v>-6.5300110470111694E-2</v>
      </c>
      <c r="G254" s="130">
        <f t="shared" si="17"/>
        <v>12.683194629069202</v>
      </c>
      <c r="H254" s="130">
        <f t="shared" si="18"/>
        <v>0.845997033690573</v>
      </c>
      <c r="I254" s="130"/>
      <c r="J254" s="72">
        <v>-1064</v>
      </c>
      <c r="K254" s="24" t="s">
        <v>197</v>
      </c>
      <c r="L254" s="38">
        <v>3332</v>
      </c>
      <c r="M254" s="38">
        <v>322286</v>
      </c>
      <c r="N254" s="38">
        <v>16294</v>
      </c>
      <c r="O254" s="38">
        <v>49633</v>
      </c>
      <c r="P254" s="38">
        <v>253831</v>
      </c>
      <c r="Q254" s="38">
        <v>18821</v>
      </c>
      <c r="R254" s="32">
        <v>272653</v>
      </c>
    </row>
    <row r="255" spans="1:18" ht="17">
      <c r="A255" s="134" t="s">
        <v>89</v>
      </c>
      <c r="B255" s="134" t="s">
        <v>200</v>
      </c>
      <c r="C255" s="134" t="s">
        <v>201</v>
      </c>
      <c r="D255" s="134">
        <v>1</v>
      </c>
      <c r="E255" s="15">
        <v>1</v>
      </c>
      <c r="F255" s="130">
        <f t="shared" si="16"/>
        <v>-0.26903808761294751</v>
      </c>
      <c r="G255" s="130">
        <f t="shared" si="17"/>
        <v>12.131645391642232</v>
      </c>
      <c r="H255" s="130">
        <f t="shared" si="18"/>
        <v>1.448380059788317</v>
      </c>
      <c r="I255" s="130"/>
      <c r="J255" s="72">
        <v>-23522</v>
      </c>
      <c r="K255" s="24">
        <v>210</v>
      </c>
      <c r="L255" s="38">
        <v>2387</v>
      </c>
      <c r="M255" s="38">
        <v>185655</v>
      </c>
      <c r="N255" s="38">
        <v>87430</v>
      </c>
      <c r="O255" s="38">
        <v>-83244</v>
      </c>
      <c r="P255" s="38">
        <v>133608</v>
      </c>
      <c r="Q255" s="38">
        <v>135291</v>
      </c>
      <c r="R255" s="32">
        <v>268899</v>
      </c>
    </row>
    <row r="256" spans="1:18" ht="17">
      <c r="A256" s="134" t="s">
        <v>91</v>
      </c>
      <c r="B256" s="134" t="s">
        <v>200</v>
      </c>
      <c r="C256" s="134" t="s">
        <v>201</v>
      </c>
      <c r="D256" s="134">
        <v>0</v>
      </c>
      <c r="E256" s="15">
        <v>16</v>
      </c>
      <c r="F256" s="130">
        <f t="shared" si="16"/>
        <v>-0.12100494691790339</v>
      </c>
      <c r="G256" s="130">
        <f t="shared" si="17"/>
        <v>12.733814381672477</v>
      </c>
      <c r="H256" s="130">
        <f t="shared" si="18"/>
        <v>0.93671759778184183</v>
      </c>
      <c r="I256" s="130"/>
      <c r="J256" s="72">
        <v>-2177</v>
      </c>
      <c r="K256" s="24">
        <v>14</v>
      </c>
      <c r="L256" s="38">
        <v>3730</v>
      </c>
      <c r="M256" s="38">
        <v>339020</v>
      </c>
      <c r="N256" s="38">
        <v>17991</v>
      </c>
      <c r="O256" s="38">
        <v>21454</v>
      </c>
      <c r="P256" s="38">
        <v>285057</v>
      </c>
      <c r="Q256" s="38">
        <v>32509</v>
      </c>
      <c r="R256" s="32">
        <v>317566</v>
      </c>
    </row>
    <row r="257" spans="1:18">
      <c r="A257" s="134" t="s">
        <v>96</v>
      </c>
      <c r="B257" s="134" t="s">
        <v>200</v>
      </c>
      <c r="C257" s="134" t="s">
        <v>201</v>
      </c>
      <c r="D257" s="134">
        <v>0</v>
      </c>
      <c r="E257" s="15">
        <v>10</v>
      </c>
      <c r="F257" s="130">
        <f t="shared" si="16"/>
        <v>-0.28404243683692443</v>
      </c>
      <c r="G257" s="130">
        <f t="shared" si="17"/>
        <v>11.099937128211959</v>
      </c>
      <c r="H257" s="130">
        <f t="shared" si="18"/>
        <v>0.58213308749074311</v>
      </c>
      <c r="I257" s="130"/>
      <c r="J257" s="69">
        <v>-10388</v>
      </c>
      <c r="L257" s="32"/>
      <c r="M257" s="32">
        <v>66167</v>
      </c>
      <c r="N257" s="32">
        <v>36572</v>
      </c>
      <c r="O257" s="32">
        <v>27649</v>
      </c>
      <c r="P257" s="32"/>
      <c r="Q257" s="32"/>
      <c r="R257" s="32">
        <v>38518</v>
      </c>
    </row>
    <row r="258" spans="1:18">
      <c r="A258" s="134" t="s">
        <v>98</v>
      </c>
      <c r="B258" s="134" t="s">
        <v>200</v>
      </c>
      <c r="C258" s="134" t="s">
        <v>201</v>
      </c>
      <c r="D258" s="134">
        <v>0</v>
      </c>
      <c r="E258" s="15">
        <v>8</v>
      </c>
      <c r="F258" s="130">
        <f t="shared" ref="F258:F321" si="20">J258/N258</f>
        <v>-0.34018909351615362</v>
      </c>
      <c r="G258" s="130">
        <f t="shared" ref="G258:G321" si="21">LN(M258)</f>
        <v>10.98320580101775</v>
      </c>
      <c r="H258" s="130">
        <f t="shared" ref="H258:H321" si="22">R258/M258</f>
        <v>0.80967100905277101</v>
      </c>
      <c r="I258" s="130"/>
      <c r="J258" s="78">
        <v>-15184</v>
      </c>
      <c r="K258" s="14"/>
      <c r="L258" s="53"/>
      <c r="M258" s="52">
        <v>58877</v>
      </c>
      <c r="N258" s="52">
        <v>44634</v>
      </c>
      <c r="O258" s="52">
        <v>11206</v>
      </c>
      <c r="P258" s="52"/>
      <c r="Q258" s="32"/>
      <c r="R258" s="32">
        <v>47671</v>
      </c>
    </row>
    <row r="259" spans="1:18">
      <c r="A259" s="134" t="s">
        <v>100</v>
      </c>
      <c r="B259" s="134" t="s">
        <v>200</v>
      </c>
      <c r="C259" s="134" t="s">
        <v>201</v>
      </c>
      <c r="D259" s="134">
        <v>0</v>
      </c>
      <c r="E259" s="15">
        <v>18</v>
      </c>
      <c r="F259" s="130">
        <f t="shared" si="20"/>
        <v>-2.6543272653310281E-2</v>
      </c>
      <c r="G259" s="130">
        <f t="shared" si="21"/>
        <v>11.402552407488859</v>
      </c>
      <c r="H259" s="130">
        <f t="shared" si="22"/>
        <v>0.22333891680625348</v>
      </c>
      <c r="I259" s="130"/>
      <c r="J259" s="78">
        <v>-1044</v>
      </c>
      <c r="K259" s="14"/>
      <c r="L259" s="53"/>
      <c r="M259" s="52">
        <v>89550</v>
      </c>
      <c r="N259" s="52">
        <v>39332</v>
      </c>
      <c r="O259" s="52">
        <v>69550</v>
      </c>
      <c r="P259" s="52"/>
      <c r="Q259" s="32"/>
      <c r="R259" s="32">
        <v>20000</v>
      </c>
    </row>
    <row r="260" spans="1:18">
      <c r="A260" s="134" t="s">
        <v>103</v>
      </c>
      <c r="B260" s="134" t="s">
        <v>200</v>
      </c>
      <c r="C260" s="134" t="s">
        <v>201</v>
      </c>
      <c r="D260" s="134">
        <v>0</v>
      </c>
      <c r="E260" s="15">
        <v>19</v>
      </c>
      <c r="F260" s="130">
        <f t="shared" si="20"/>
        <v>-0.31727860004906372</v>
      </c>
      <c r="G260" s="130">
        <f t="shared" si="21"/>
        <v>10.444415520118563</v>
      </c>
      <c r="H260" s="130">
        <f t="shared" si="22"/>
        <v>0.9603516534699581</v>
      </c>
      <c r="I260" s="130"/>
      <c r="J260" s="78">
        <v>-7760</v>
      </c>
      <c r="K260" s="14"/>
      <c r="L260" s="53"/>
      <c r="M260" s="52">
        <v>34352</v>
      </c>
      <c r="N260" s="52">
        <v>24458</v>
      </c>
      <c r="O260" s="52">
        <v>1362</v>
      </c>
      <c r="P260" s="52"/>
      <c r="Q260" s="32"/>
      <c r="R260" s="32">
        <v>32990</v>
      </c>
    </row>
    <row r="261" spans="1:18">
      <c r="A261" s="134" t="s">
        <v>105</v>
      </c>
      <c r="B261" s="134" t="s">
        <v>200</v>
      </c>
      <c r="C261" s="134" t="s">
        <v>201</v>
      </c>
      <c r="D261" s="134">
        <v>0</v>
      </c>
      <c r="E261" s="15">
        <v>9</v>
      </c>
      <c r="F261" s="130">
        <f t="shared" si="20"/>
        <v>-0.44566759264731959</v>
      </c>
      <c r="G261" s="130">
        <f t="shared" si="21"/>
        <v>11.846916053419703</v>
      </c>
      <c r="H261" s="130">
        <f t="shared" si="22"/>
        <v>0.48280380657773198</v>
      </c>
      <c r="I261" s="130"/>
      <c r="J261" s="78">
        <v>-30161</v>
      </c>
      <c r="K261" s="14"/>
      <c r="L261" s="53"/>
      <c r="M261" s="52">
        <v>139653</v>
      </c>
      <c r="N261" s="52">
        <v>67676</v>
      </c>
      <c r="O261" s="52">
        <v>72228</v>
      </c>
      <c r="P261" s="52"/>
      <c r="Q261" s="32"/>
      <c r="R261" s="32">
        <v>67425</v>
      </c>
    </row>
    <row r="262" spans="1:18" ht="17">
      <c r="A262" s="134" t="s">
        <v>106</v>
      </c>
      <c r="B262" s="134" t="s">
        <v>200</v>
      </c>
      <c r="C262" s="134" t="s">
        <v>201</v>
      </c>
      <c r="D262" s="134">
        <v>1</v>
      </c>
      <c r="E262" s="15">
        <v>5</v>
      </c>
      <c r="F262" s="130">
        <f t="shared" si="20"/>
        <v>-0.52445420843059176</v>
      </c>
      <c r="G262" s="130">
        <f t="shared" si="21"/>
        <v>12.002376266188522</v>
      </c>
      <c r="H262" s="130">
        <f t="shared" si="22"/>
        <v>1.0267313138247662</v>
      </c>
      <c r="I262" s="130"/>
      <c r="J262" s="72">
        <v>-76392</v>
      </c>
      <c r="K262" s="24" t="s">
        <v>197</v>
      </c>
      <c r="L262" s="38" t="s">
        <v>197</v>
      </c>
      <c r="M262" s="38">
        <v>163142</v>
      </c>
      <c r="N262" s="38">
        <v>145660</v>
      </c>
      <c r="O262" s="38">
        <v>-4361</v>
      </c>
      <c r="P262" s="38" t="s">
        <v>197</v>
      </c>
      <c r="Q262" s="38" t="s">
        <v>197</v>
      </c>
      <c r="R262" s="32">
        <v>167503</v>
      </c>
    </row>
    <row r="263" spans="1:18" ht="17">
      <c r="A263" s="134" t="s">
        <v>107</v>
      </c>
      <c r="B263" s="134" t="s">
        <v>200</v>
      </c>
      <c r="C263" s="134" t="s">
        <v>201</v>
      </c>
      <c r="D263" s="134">
        <v>0</v>
      </c>
      <c r="E263" s="15">
        <v>4</v>
      </c>
      <c r="F263" s="130">
        <f t="shared" si="20"/>
        <v>-0.62145034345033112</v>
      </c>
      <c r="G263" s="130">
        <f t="shared" si="21"/>
        <v>13.400561620174347</v>
      </c>
      <c r="H263" s="130">
        <f t="shared" si="22"/>
        <v>0.92689899965776967</v>
      </c>
      <c r="I263" s="130"/>
      <c r="J263" s="72">
        <v>-100514</v>
      </c>
      <c r="K263" s="24" t="s">
        <v>197</v>
      </c>
      <c r="L263" s="38">
        <v>9062</v>
      </c>
      <c r="M263" s="38">
        <v>660374</v>
      </c>
      <c r="N263" s="38">
        <v>161741</v>
      </c>
      <c r="O263" s="38">
        <v>48274</v>
      </c>
      <c r="P263" s="38">
        <v>446853</v>
      </c>
      <c r="Q263" s="38">
        <v>165247</v>
      </c>
      <c r="R263" s="32">
        <v>612100</v>
      </c>
    </row>
    <row r="264" spans="1:18" ht="17">
      <c r="A264" s="134" t="s">
        <v>111</v>
      </c>
      <c r="B264" s="134" t="s">
        <v>200</v>
      </c>
      <c r="C264" s="134" t="s">
        <v>201</v>
      </c>
      <c r="D264" s="134">
        <v>0</v>
      </c>
      <c r="E264" s="15">
        <v>2</v>
      </c>
      <c r="F264" s="130">
        <f t="shared" si="20"/>
        <v>-0.32601358481701243</v>
      </c>
      <c r="G264" s="130">
        <f t="shared" si="21"/>
        <v>13.787617128219823</v>
      </c>
      <c r="H264" s="130">
        <f t="shared" si="22"/>
        <v>0.67580093203851543</v>
      </c>
      <c r="I264" s="130"/>
      <c r="J264" s="72">
        <v>-177636</v>
      </c>
      <c r="K264" s="24">
        <v>643</v>
      </c>
      <c r="L264" s="38">
        <v>68444</v>
      </c>
      <c r="M264" s="38">
        <v>972492</v>
      </c>
      <c r="N264" s="38">
        <v>544873</v>
      </c>
      <c r="O264" s="38">
        <v>315281</v>
      </c>
      <c r="P264" s="38">
        <v>151626</v>
      </c>
      <c r="Q264" s="38">
        <v>505585</v>
      </c>
      <c r="R264" s="32">
        <v>657211</v>
      </c>
    </row>
    <row r="265" spans="1:18">
      <c r="A265" s="134" t="s">
        <v>115</v>
      </c>
      <c r="B265" s="134" t="s">
        <v>200</v>
      </c>
      <c r="C265" s="134" t="s">
        <v>201</v>
      </c>
      <c r="D265" s="134">
        <v>0</v>
      </c>
      <c r="E265" s="15">
        <v>7</v>
      </c>
      <c r="F265" s="130">
        <f t="shared" si="20"/>
        <v>-0.71510252956144293</v>
      </c>
      <c r="G265" s="130">
        <f t="shared" si="21"/>
        <v>11.552155793461898</v>
      </c>
      <c r="H265" s="130">
        <f t="shared" si="22"/>
        <v>0.62030172786800131</v>
      </c>
      <c r="I265" s="130"/>
      <c r="J265" s="78">
        <v>-23888</v>
      </c>
      <c r="K265" s="14"/>
      <c r="L265" s="53"/>
      <c r="M265" s="52">
        <v>104001</v>
      </c>
      <c r="N265" s="52">
        <v>33405</v>
      </c>
      <c r="O265" s="52">
        <v>39489</v>
      </c>
      <c r="P265" s="52"/>
      <c r="Q265" s="32"/>
      <c r="R265" s="32">
        <v>64512</v>
      </c>
    </row>
    <row r="266" spans="1:18">
      <c r="A266" s="134" t="s">
        <v>116</v>
      </c>
      <c r="B266" s="134" t="s">
        <v>200</v>
      </c>
      <c r="C266" s="134" t="s">
        <v>201</v>
      </c>
      <c r="D266" s="134">
        <v>0</v>
      </c>
      <c r="E266" s="15">
        <v>15</v>
      </c>
      <c r="F266" s="130">
        <f t="shared" si="20"/>
        <v>-0.18791233790854631</v>
      </c>
      <c r="G266" s="130">
        <f t="shared" si="21"/>
        <v>10.966334484757494</v>
      </c>
      <c r="H266" s="130">
        <f t="shared" si="22"/>
        <v>0.86227803496165278</v>
      </c>
      <c r="I266" s="130"/>
      <c r="J266" s="78">
        <v>-7434</v>
      </c>
      <c r="K266" s="14"/>
      <c r="L266" s="53"/>
      <c r="M266" s="52">
        <v>57892</v>
      </c>
      <c r="N266" s="52">
        <v>39561</v>
      </c>
      <c r="O266" s="52">
        <v>7973</v>
      </c>
      <c r="P266" s="52"/>
      <c r="Q266" s="32"/>
      <c r="R266" s="32">
        <v>49919</v>
      </c>
    </row>
    <row r="267" spans="1:18">
      <c r="A267" s="134" t="s">
        <v>133</v>
      </c>
      <c r="B267" s="134" t="s">
        <v>200</v>
      </c>
      <c r="C267" s="134" t="s">
        <v>201</v>
      </c>
      <c r="D267" s="134">
        <v>0</v>
      </c>
      <c r="E267" s="15">
        <v>17</v>
      </c>
      <c r="F267" s="130">
        <f t="shared" si="20"/>
        <v>-0.16527960286173163</v>
      </c>
      <c r="G267" s="130">
        <f t="shared" si="21"/>
        <v>10.623008857981173</v>
      </c>
      <c r="H267" s="130">
        <f t="shared" si="22"/>
        <v>1.0210377657113638</v>
      </c>
      <c r="I267" s="130"/>
      <c r="J267" s="78">
        <v>-4528</v>
      </c>
      <c r="K267" s="14"/>
      <c r="L267" s="53"/>
      <c r="M267" s="52">
        <v>41069</v>
      </c>
      <c r="N267" s="52">
        <v>27396</v>
      </c>
      <c r="O267" s="52">
        <v>-864</v>
      </c>
      <c r="P267" s="52"/>
      <c r="Q267" s="32"/>
      <c r="R267" s="32">
        <v>41933</v>
      </c>
    </row>
    <row r="268" spans="1:18">
      <c r="A268" s="134" t="s">
        <v>134</v>
      </c>
      <c r="B268" s="134" t="s">
        <v>200</v>
      </c>
      <c r="C268" s="134" t="s">
        <v>201</v>
      </c>
      <c r="D268" s="134">
        <v>0</v>
      </c>
      <c r="E268" s="15">
        <v>14</v>
      </c>
      <c r="F268" s="130">
        <f t="shared" si="20"/>
        <v>5.4952409280190365E-2</v>
      </c>
      <c r="G268" s="130">
        <f t="shared" si="21"/>
        <v>11.127483548067531</v>
      </c>
      <c r="H268" s="130">
        <f t="shared" si="22"/>
        <v>0.78700286701462907</v>
      </c>
      <c r="I268" s="130"/>
      <c r="J268" s="78">
        <v>2217</v>
      </c>
      <c r="K268" s="14"/>
      <c r="L268" s="47"/>
      <c r="M268" s="52">
        <v>68015</v>
      </c>
      <c r="N268" s="52">
        <v>40344</v>
      </c>
      <c r="O268" s="52">
        <v>14487</v>
      </c>
      <c r="P268" s="52"/>
      <c r="Q268" s="32"/>
      <c r="R268" s="32">
        <v>53528</v>
      </c>
    </row>
    <row r="269" spans="1:18" ht="17">
      <c r="A269" s="134" t="s">
        <v>135</v>
      </c>
      <c r="B269" s="134" t="s">
        <v>200</v>
      </c>
      <c r="C269" s="134" t="s">
        <v>201</v>
      </c>
      <c r="D269" s="134">
        <v>0</v>
      </c>
      <c r="E269" s="15">
        <v>6</v>
      </c>
      <c r="F269" s="130">
        <f t="shared" si="20"/>
        <v>-0.11253052559241125</v>
      </c>
      <c r="G269" s="130">
        <f t="shared" si="21"/>
        <v>12.524402732641466</v>
      </c>
      <c r="H269" s="130">
        <f t="shared" si="22"/>
        <v>1.015343715222973</v>
      </c>
      <c r="I269" s="130"/>
      <c r="J269" s="72">
        <v>-9170</v>
      </c>
      <c r="K269" s="24">
        <v>221</v>
      </c>
      <c r="L269" s="38">
        <v>152653</v>
      </c>
      <c r="M269" s="38">
        <v>274966</v>
      </c>
      <c r="N269" s="38">
        <v>81489</v>
      </c>
      <c r="O269" s="38">
        <v>-4219</v>
      </c>
      <c r="P269" s="38">
        <v>14389</v>
      </c>
      <c r="Q269" s="38">
        <v>264795</v>
      </c>
      <c r="R269" s="32">
        <v>279185</v>
      </c>
    </row>
    <row r="270" spans="1:18" ht="17">
      <c r="A270" s="130" t="s">
        <v>21</v>
      </c>
      <c r="B270" s="130" t="s">
        <v>172</v>
      </c>
      <c r="C270" s="130" t="s">
        <v>201</v>
      </c>
      <c r="D270" s="130">
        <v>0</v>
      </c>
      <c r="E270" s="130">
        <v>8</v>
      </c>
      <c r="F270" s="130">
        <f t="shared" si="20"/>
        <v>-0.32688562555923995</v>
      </c>
      <c r="G270" s="130">
        <f t="shared" si="21"/>
        <v>13.723526839348086</v>
      </c>
      <c r="H270" s="130">
        <f t="shared" si="22"/>
        <v>0</v>
      </c>
      <c r="I270" s="130"/>
      <c r="J270" s="79">
        <v>-124210</v>
      </c>
      <c r="K270" s="26">
        <v>634</v>
      </c>
      <c r="L270" s="48">
        <v>0</v>
      </c>
      <c r="M270" s="48">
        <v>912120</v>
      </c>
      <c r="N270" s="48">
        <v>379980</v>
      </c>
      <c r="O270" s="48">
        <v>275247</v>
      </c>
      <c r="P270" s="48">
        <v>381014</v>
      </c>
      <c r="Q270" s="48">
        <v>255859</v>
      </c>
      <c r="R270" s="35"/>
    </row>
    <row r="271" spans="1:18" ht="17">
      <c r="A271" s="130" t="s">
        <v>24</v>
      </c>
      <c r="B271" s="130" t="s">
        <v>172</v>
      </c>
      <c r="C271" s="130" t="s">
        <v>201</v>
      </c>
      <c r="D271" s="130">
        <v>0</v>
      </c>
      <c r="E271" s="130">
        <v>11</v>
      </c>
      <c r="F271" s="130">
        <f t="shared" si="20"/>
        <v>-0.18269855009738151</v>
      </c>
      <c r="G271" s="130">
        <f t="shared" si="21"/>
        <v>12.404894815339226</v>
      </c>
      <c r="H271" s="130">
        <f t="shared" si="22"/>
        <v>1.1363727647924327</v>
      </c>
      <c r="I271" s="130"/>
      <c r="J271" s="79">
        <v>-37147</v>
      </c>
      <c r="K271" s="26">
        <v>663</v>
      </c>
      <c r="L271" s="48">
        <v>248030</v>
      </c>
      <c r="M271" s="48">
        <v>243993</v>
      </c>
      <c r="N271" s="48">
        <v>203324</v>
      </c>
      <c r="O271" s="48">
        <v>-33274</v>
      </c>
      <c r="P271" s="48">
        <v>0</v>
      </c>
      <c r="Q271" s="48">
        <v>277267</v>
      </c>
      <c r="R271" s="35">
        <f t="shared" ref="R271:R303" si="23">P271+Q271</f>
        <v>277267</v>
      </c>
    </row>
    <row r="272" spans="1:18" ht="17">
      <c r="A272" s="130" t="s">
        <v>36</v>
      </c>
      <c r="B272" s="130" t="s">
        <v>172</v>
      </c>
      <c r="C272" s="130" t="s">
        <v>201</v>
      </c>
      <c r="D272" s="130">
        <v>0</v>
      </c>
      <c r="E272" s="130">
        <v>16</v>
      </c>
      <c r="F272" s="130">
        <f t="shared" si="20"/>
        <v>-0.35464417177914109</v>
      </c>
      <c r="G272" s="130">
        <f t="shared" si="21"/>
        <v>12.026012529749854</v>
      </c>
      <c r="H272" s="130">
        <f t="shared" si="22"/>
        <v>2.6666327434687869</v>
      </c>
      <c r="I272" s="130"/>
      <c r="J272" s="79">
        <v>-57807</v>
      </c>
      <c r="K272" s="26">
        <v>821</v>
      </c>
      <c r="L272" s="48">
        <v>350810</v>
      </c>
      <c r="M272" s="48">
        <v>167044</v>
      </c>
      <c r="N272" s="48">
        <v>163000</v>
      </c>
      <c r="O272" s="48">
        <v>-278401</v>
      </c>
      <c r="P272" s="48">
        <v>13485</v>
      </c>
      <c r="Q272" s="48">
        <v>431960</v>
      </c>
      <c r="R272" s="35">
        <f t="shared" si="23"/>
        <v>445445</v>
      </c>
    </row>
    <row r="273" spans="1:18" ht="17">
      <c r="A273" s="130" t="s">
        <v>37</v>
      </c>
      <c r="B273" s="130" t="s">
        <v>172</v>
      </c>
      <c r="C273" s="130" t="s">
        <v>201</v>
      </c>
      <c r="D273" s="130">
        <v>0</v>
      </c>
      <c r="E273" s="130">
        <v>17</v>
      </c>
      <c r="F273" s="130">
        <f t="shared" si="20"/>
        <v>-2.2314098486753548E-2</v>
      </c>
      <c r="G273" s="130">
        <f t="shared" si="21"/>
        <v>12.145233938299091</v>
      </c>
      <c r="H273" s="130">
        <f t="shared" si="22"/>
        <v>0.53632668243045778</v>
      </c>
      <c r="I273" s="130"/>
      <c r="J273" s="79">
        <v>-3017</v>
      </c>
      <c r="K273" s="26">
        <v>267</v>
      </c>
      <c r="L273" s="48">
        <v>607</v>
      </c>
      <c r="M273" s="48">
        <v>188195</v>
      </c>
      <c r="N273" s="48">
        <v>135206</v>
      </c>
      <c r="O273" s="48">
        <v>87262</v>
      </c>
      <c r="P273" s="48">
        <v>16185</v>
      </c>
      <c r="Q273" s="48">
        <v>84749</v>
      </c>
      <c r="R273" s="35">
        <f t="shared" si="23"/>
        <v>100934</v>
      </c>
    </row>
    <row r="274" spans="1:18" ht="17">
      <c r="A274" s="130" t="s">
        <v>44</v>
      </c>
      <c r="B274" s="130" t="s">
        <v>172</v>
      </c>
      <c r="C274" s="130" t="s">
        <v>201</v>
      </c>
      <c r="D274" s="130">
        <v>0</v>
      </c>
      <c r="E274" s="130">
        <v>4</v>
      </c>
      <c r="F274" s="130">
        <f t="shared" si="20"/>
        <v>-0.35280585240074991</v>
      </c>
      <c r="G274" s="130">
        <f t="shared" si="21"/>
        <v>13.775176985813058</v>
      </c>
      <c r="H274" s="130">
        <f t="shared" si="22"/>
        <v>0.51334816636455727</v>
      </c>
      <c r="I274" s="130"/>
      <c r="J274" s="79">
        <v>-178971</v>
      </c>
      <c r="K274" s="26">
        <v>817</v>
      </c>
      <c r="L274" s="48">
        <v>34471</v>
      </c>
      <c r="M274" s="48">
        <v>960469</v>
      </c>
      <c r="N274" s="48">
        <v>507279</v>
      </c>
      <c r="O274" s="48">
        <v>467414</v>
      </c>
      <c r="P274" s="48">
        <v>70307</v>
      </c>
      <c r="Q274" s="48">
        <v>422748</v>
      </c>
      <c r="R274" s="35">
        <f t="shared" si="23"/>
        <v>493055</v>
      </c>
    </row>
    <row r="275" spans="1:18" ht="17">
      <c r="A275" s="130" t="s">
        <v>47</v>
      </c>
      <c r="B275" s="130" t="s">
        <v>172</v>
      </c>
      <c r="C275" s="130" t="s">
        <v>201</v>
      </c>
      <c r="D275" s="130">
        <v>0</v>
      </c>
      <c r="E275" s="130">
        <v>14</v>
      </c>
      <c r="F275" s="130">
        <f t="shared" si="20"/>
        <v>-0.31760713780760957</v>
      </c>
      <c r="G275" s="130">
        <f t="shared" si="21"/>
        <v>11.61760074590836</v>
      </c>
      <c r="H275" s="130">
        <f t="shared" si="22"/>
        <v>1.0336650605664881</v>
      </c>
      <c r="I275" s="130"/>
      <c r="J275" s="79">
        <v>-42681</v>
      </c>
      <c r="K275" s="26">
        <v>297</v>
      </c>
      <c r="L275" s="48">
        <v>0</v>
      </c>
      <c r="M275" s="35">
        <v>111035</v>
      </c>
      <c r="N275" s="48">
        <v>134383</v>
      </c>
      <c r="O275" s="48">
        <v>-20497</v>
      </c>
      <c r="P275" s="48">
        <v>27291</v>
      </c>
      <c r="Q275" s="48">
        <v>87482</v>
      </c>
      <c r="R275" s="35">
        <f t="shared" si="23"/>
        <v>114773</v>
      </c>
    </row>
    <row r="276" spans="1:18" ht="17">
      <c r="A276" s="130" t="s">
        <v>57</v>
      </c>
      <c r="B276" s="130" t="s">
        <v>172</v>
      </c>
      <c r="C276" s="130" t="s">
        <v>201</v>
      </c>
      <c r="D276" s="130">
        <v>0</v>
      </c>
      <c r="E276" s="130">
        <v>10</v>
      </c>
      <c r="F276" s="130">
        <f t="shared" si="20"/>
        <v>-0.62613956130773263</v>
      </c>
      <c r="G276" s="130">
        <f t="shared" si="21"/>
        <v>12.884164562210797</v>
      </c>
      <c r="H276" s="130">
        <f t="shared" si="22"/>
        <v>0.85271671958235939</v>
      </c>
      <c r="I276" s="130"/>
      <c r="J276" s="79">
        <v>-141073</v>
      </c>
      <c r="K276" s="26">
        <v>450</v>
      </c>
      <c r="L276" s="48">
        <v>3957</v>
      </c>
      <c r="M276" s="48">
        <v>394023</v>
      </c>
      <c r="N276" s="48">
        <v>225306</v>
      </c>
      <c r="O276" s="48">
        <v>58034</v>
      </c>
      <c r="P276" s="48">
        <v>193919</v>
      </c>
      <c r="Q276" s="48">
        <v>142071</v>
      </c>
      <c r="R276" s="35">
        <f t="shared" si="23"/>
        <v>335990</v>
      </c>
    </row>
    <row r="277" spans="1:18" ht="17">
      <c r="A277" s="130" t="s">
        <v>61</v>
      </c>
      <c r="B277" s="130" t="s">
        <v>172</v>
      </c>
      <c r="C277" s="130" t="s">
        <v>201</v>
      </c>
      <c r="D277" s="130">
        <v>0</v>
      </c>
      <c r="E277" s="130">
        <v>18</v>
      </c>
      <c r="F277" s="130">
        <f t="shared" si="20"/>
        <v>-0.80104395077041202</v>
      </c>
      <c r="G277" s="130">
        <f t="shared" si="21"/>
        <v>12.870624859210006</v>
      </c>
      <c r="H277" s="130">
        <f t="shared" si="22"/>
        <v>0.26372439057017316</v>
      </c>
      <c r="I277" s="130"/>
      <c r="J277" s="79">
        <v>-108499</v>
      </c>
      <c r="K277" s="26">
        <v>194</v>
      </c>
      <c r="L277" s="48">
        <v>787</v>
      </c>
      <c r="M277" s="48">
        <v>388724</v>
      </c>
      <c r="N277" s="48">
        <v>135447</v>
      </c>
      <c r="O277" s="48">
        <v>286208</v>
      </c>
      <c r="P277" s="48">
        <v>16258</v>
      </c>
      <c r="Q277" s="48">
        <v>86258</v>
      </c>
      <c r="R277" s="35">
        <f t="shared" si="23"/>
        <v>102516</v>
      </c>
    </row>
    <row r="278" spans="1:18" ht="17">
      <c r="A278" s="130" t="s">
        <v>85</v>
      </c>
      <c r="B278" s="130" t="s">
        <v>172</v>
      </c>
      <c r="C278" s="130" t="s">
        <v>201</v>
      </c>
      <c r="D278" s="130">
        <v>0</v>
      </c>
      <c r="E278" s="130">
        <v>9</v>
      </c>
      <c r="F278" s="130">
        <f t="shared" si="20"/>
        <v>0.15155281993704514</v>
      </c>
      <c r="G278" s="130">
        <f t="shared" si="21"/>
        <v>12.344128786026113</v>
      </c>
      <c r="H278" s="130">
        <f t="shared" si="22"/>
        <v>1.0644010661649419</v>
      </c>
      <c r="I278" s="130"/>
      <c r="J278" s="79">
        <v>30236</v>
      </c>
      <c r="K278" s="26">
        <v>428</v>
      </c>
      <c r="L278" s="48">
        <v>39959</v>
      </c>
      <c r="M278" s="48">
        <v>229608</v>
      </c>
      <c r="N278" s="48">
        <v>199508</v>
      </c>
      <c r="O278" s="48">
        <v>-14786</v>
      </c>
      <c r="P278" s="48">
        <v>74872</v>
      </c>
      <c r="Q278" s="48">
        <v>169523</v>
      </c>
      <c r="R278" s="35">
        <f t="shared" si="23"/>
        <v>244395</v>
      </c>
    </row>
    <row r="279" spans="1:18" ht="17">
      <c r="A279" s="130" t="s">
        <v>87</v>
      </c>
      <c r="B279" s="130" t="s">
        <v>172</v>
      </c>
      <c r="C279" s="130" t="s">
        <v>201</v>
      </c>
      <c r="D279" s="130">
        <v>0</v>
      </c>
      <c r="E279" s="130">
        <v>5</v>
      </c>
      <c r="F279" s="130">
        <f t="shared" si="20"/>
        <v>-0.13795183943423173</v>
      </c>
      <c r="G279" s="130">
        <f t="shared" si="21"/>
        <v>13.203838289752181</v>
      </c>
      <c r="H279" s="130">
        <f t="shared" si="22"/>
        <v>0.91576442133090485</v>
      </c>
      <c r="I279" s="130"/>
      <c r="J279" s="79">
        <v>-36126</v>
      </c>
      <c r="K279" s="26">
        <v>435</v>
      </c>
      <c r="L279" s="48">
        <v>124514</v>
      </c>
      <c r="M279" s="48">
        <v>542443</v>
      </c>
      <c r="N279" s="48">
        <v>261874</v>
      </c>
      <c r="O279" s="48">
        <v>45693</v>
      </c>
      <c r="P279" s="48">
        <v>250590</v>
      </c>
      <c r="Q279" s="48">
        <v>246160</v>
      </c>
      <c r="R279" s="35">
        <f t="shared" si="23"/>
        <v>496750</v>
      </c>
    </row>
    <row r="280" spans="1:18" ht="17">
      <c r="A280" s="130" t="s">
        <v>90</v>
      </c>
      <c r="B280" s="130" t="s">
        <v>172</v>
      </c>
      <c r="C280" s="130" t="s">
        <v>201</v>
      </c>
      <c r="D280" s="130">
        <v>0</v>
      </c>
      <c r="E280" s="130">
        <v>3</v>
      </c>
      <c r="F280" s="130">
        <f t="shared" si="20"/>
        <v>-1.9565132626041707E-2</v>
      </c>
      <c r="G280" s="130">
        <f t="shared" si="21"/>
        <v>13.595849685079147</v>
      </c>
      <c r="H280" s="130">
        <f t="shared" si="22"/>
        <v>0.71267864238637457</v>
      </c>
      <c r="I280" s="130"/>
      <c r="J280" s="79">
        <v>-11039</v>
      </c>
      <c r="K280" s="26">
        <v>964</v>
      </c>
      <c r="L280" s="48">
        <v>82659</v>
      </c>
      <c r="M280" s="48">
        <v>802791</v>
      </c>
      <c r="N280" s="48">
        <v>564218</v>
      </c>
      <c r="O280" s="48">
        <v>230658</v>
      </c>
      <c r="P280" s="48">
        <v>253384</v>
      </c>
      <c r="Q280" s="48">
        <v>318748</v>
      </c>
      <c r="R280" s="35">
        <f t="shared" si="23"/>
        <v>572132</v>
      </c>
    </row>
    <row r="281" spans="1:18" ht="17">
      <c r="A281" s="130" t="s">
        <v>94</v>
      </c>
      <c r="B281" s="130" t="s">
        <v>172</v>
      </c>
      <c r="C281" s="130" t="s">
        <v>201</v>
      </c>
      <c r="D281" s="130">
        <v>0</v>
      </c>
      <c r="E281" s="130">
        <v>1</v>
      </c>
      <c r="F281" s="130">
        <f t="shared" si="20"/>
        <v>4.1534786323757719E-3</v>
      </c>
      <c r="G281" s="130">
        <f t="shared" si="21"/>
        <v>14.133332817019014</v>
      </c>
      <c r="H281" s="130">
        <f t="shared" si="22"/>
        <v>0.44285192397819134</v>
      </c>
      <c r="I281" s="130"/>
      <c r="J281" s="79">
        <v>2761</v>
      </c>
      <c r="K281" s="26">
        <v>509</v>
      </c>
      <c r="L281" s="48">
        <v>34502</v>
      </c>
      <c r="M281" s="48">
        <v>1374132</v>
      </c>
      <c r="N281" s="48">
        <v>664744</v>
      </c>
      <c r="O281" s="48">
        <v>765595</v>
      </c>
      <c r="P281" s="48">
        <v>150098</v>
      </c>
      <c r="Q281" s="48">
        <v>458439</v>
      </c>
      <c r="R281" s="35">
        <f t="shared" si="23"/>
        <v>608537</v>
      </c>
    </row>
    <row r="282" spans="1:18" ht="17">
      <c r="A282" s="130" t="s">
        <v>95</v>
      </c>
      <c r="B282" s="130" t="s">
        <v>172</v>
      </c>
      <c r="C282" s="130" t="s">
        <v>201</v>
      </c>
      <c r="D282" s="130">
        <v>0</v>
      </c>
      <c r="E282" s="130">
        <v>2</v>
      </c>
      <c r="F282" s="130">
        <f t="shared" si="20"/>
        <v>-0.18662701834313264</v>
      </c>
      <c r="G282" s="130">
        <f t="shared" si="21"/>
        <v>14.200898801176566</v>
      </c>
      <c r="H282" s="130">
        <f t="shared" si="22"/>
        <v>0.78377347068566205</v>
      </c>
      <c r="I282" s="130"/>
      <c r="J282" s="79">
        <v>-107572</v>
      </c>
      <c r="K282" s="26">
        <v>983</v>
      </c>
      <c r="L282" s="48">
        <v>0</v>
      </c>
      <c r="M282" s="48">
        <v>1470185</v>
      </c>
      <c r="N282" s="48">
        <v>576401</v>
      </c>
      <c r="O282" s="48">
        <v>317892</v>
      </c>
      <c r="P282" s="48">
        <v>704309</v>
      </c>
      <c r="Q282" s="48">
        <v>447983</v>
      </c>
      <c r="R282" s="35">
        <f t="shared" si="23"/>
        <v>1152292</v>
      </c>
    </row>
    <row r="283" spans="1:18" ht="17">
      <c r="A283" s="130" t="s">
        <v>102</v>
      </c>
      <c r="B283" s="130" t="s">
        <v>172</v>
      </c>
      <c r="C283" s="130" t="s">
        <v>201</v>
      </c>
      <c r="D283" s="130">
        <v>0</v>
      </c>
      <c r="E283" s="130">
        <v>12</v>
      </c>
      <c r="F283" s="130">
        <f t="shared" si="20"/>
        <v>-8.6964497547970504E-2</v>
      </c>
      <c r="G283" s="130">
        <f t="shared" si="21"/>
        <v>12.284259786550393</v>
      </c>
      <c r="H283" s="130">
        <f t="shared" si="22"/>
        <v>1.0064226758837538</v>
      </c>
      <c r="I283" s="130"/>
      <c r="J283" s="79">
        <v>-14222</v>
      </c>
      <c r="K283" s="26">
        <v>291</v>
      </c>
      <c r="L283" s="48">
        <v>137287</v>
      </c>
      <c r="M283" s="48">
        <v>216265</v>
      </c>
      <c r="N283" s="48">
        <v>163538</v>
      </c>
      <c r="O283" s="48">
        <v>-1389</v>
      </c>
      <c r="P283" s="48">
        <v>11122</v>
      </c>
      <c r="Q283" s="48">
        <v>206532</v>
      </c>
      <c r="R283" s="35">
        <f t="shared" si="23"/>
        <v>217654</v>
      </c>
    </row>
    <row r="284" spans="1:18" ht="17">
      <c r="A284" s="130" t="s">
        <v>129</v>
      </c>
      <c r="B284" s="130" t="s">
        <v>172</v>
      </c>
      <c r="C284" s="130" t="s">
        <v>201</v>
      </c>
      <c r="D284" s="130">
        <v>0</v>
      </c>
      <c r="E284" s="130">
        <v>15</v>
      </c>
      <c r="F284" s="130">
        <f t="shared" si="20"/>
        <v>-6.4120538320122628E-2</v>
      </c>
      <c r="G284" s="130">
        <f t="shared" si="21"/>
        <v>12.253714531632998</v>
      </c>
      <c r="H284" s="130">
        <f t="shared" si="22"/>
        <v>0.98522590210670336</v>
      </c>
      <c r="I284" s="130"/>
      <c r="J284" s="79">
        <v>-11754</v>
      </c>
      <c r="K284" s="26">
        <v>385</v>
      </c>
      <c r="L284" s="48">
        <v>103501</v>
      </c>
      <c r="M284" s="48">
        <v>209759</v>
      </c>
      <c r="N284" s="48">
        <v>183311</v>
      </c>
      <c r="O284" s="48">
        <v>3099</v>
      </c>
      <c r="P284" s="48">
        <v>31284</v>
      </c>
      <c r="Q284" s="48">
        <v>175376</v>
      </c>
      <c r="R284" s="35">
        <f t="shared" si="23"/>
        <v>206660</v>
      </c>
    </row>
    <row r="285" spans="1:18" ht="17">
      <c r="A285" s="130" t="s">
        <v>140</v>
      </c>
      <c r="B285" s="130" t="s">
        <v>172</v>
      </c>
      <c r="C285" s="130" t="s">
        <v>201</v>
      </c>
      <c r="D285" s="130">
        <v>0</v>
      </c>
      <c r="E285" s="130">
        <v>7</v>
      </c>
      <c r="F285" s="130">
        <f t="shared" si="20"/>
        <v>-0.23251875496524921</v>
      </c>
      <c r="G285" s="130">
        <f t="shared" si="21"/>
        <v>14.525119497210829</v>
      </c>
      <c r="H285" s="130">
        <f t="shared" si="22"/>
        <v>0.85311844013071048</v>
      </c>
      <c r="I285" s="130"/>
      <c r="J285" s="79">
        <v>-97756</v>
      </c>
      <c r="K285" s="26">
        <v>672</v>
      </c>
      <c r="L285" s="48">
        <v>2293</v>
      </c>
      <c r="M285" s="48">
        <v>2033196</v>
      </c>
      <c r="N285" s="48">
        <v>420422</v>
      </c>
      <c r="O285" s="48">
        <v>298639</v>
      </c>
      <c r="P285" s="48">
        <v>1347378</v>
      </c>
      <c r="Q285" s="48">
        <v>387179</v>
      </c>
      <c r="R285" s="35">
        <f t="shared" si="23"/>
        <v>1734557</v>
      </c>
    </row>
    <row r="286" spans="1:18" ht="17">
      <c r="A286" s="130" t="s">
        <v>150</v>
      </c>
      <c r="B286" s="130" t="s">
        <v>172</v>
      </c>
      <c r="C286" s="130" t="s">
        <v>201</v>
      </c>
      <c r="D286" s="130">
        <v>0</v>
      </c>
      <c r="E286" s="130">
        <v>6</v>
      </c>
      <c r="F286" s="130">
        <f t="shared" si="20"/>
        <v>-0.13397305610014928</v>
      </c>
      <c r="G286" s="130">
        <f t="shared" si="21"/>
        <v>12.346182353514818</v>
      </c>
      <c r="H286" s="130">
        <f t="shared" si="22"/>
        <v>1.8299982614742698</v>
      </c>
      <c r="I286" s="130"/>
      <c r="J286" s="79">
        <v>-29794</v>
      </c>
      <c r="K286" s="26">
        <v>652</v>
      </c>
      <c r="L286" s="48">
        <v>115505</v>
      </c>
      <c r="M286" s="48">
        <v>230080</v>
      </c>
      <c r="N286" s="48">
        <v>222388</v>
      </c>
      <c r="O286" s="48">
        <v>-190966</v>
      </c>
      <c r="P286" s="48">
        <v>161292</v>
      </c>
      <c r="Q286" s="48">
        <v>259754</v>
      </c>
      <c r="R286" s="35">
        <f t="shared" si="23"/>
        <v>421046</v>
      </c>
    </row>
    <row r="287" spans="1:18" ht="17">
      <c r="A287" s="130" t="s">
        <v>151</v>
      </c>
      <c r="B287" s="130" t="s">
        <v>172</v>
      </c>
      <c r="C287" s="130" t="s">
        <v>201</v>
      </c>
      <c r="D287" s="130">
        <v>1</v>
      </c>
      <c r="E287" s="130">
        <v>13</v>
      </c>
      <c r="F287" s="130">
        <f t="shared" si="20"/>
        <v>0.10876134275020806</v>
      </c>
      <c r="G287" s="130">
        <f t="shared" si="21"/>
        <v>12.874283996424873</v>
      </c>
      <c r="H287" s="130">
        <f t="shared" si="22"/>
        <v>1.1670413098585413</v>
      </c>
      <c r="I287" s="130"/>
      <c r="J287" s="79">
        <v>24439</v>
      </c>
      <c r="K287" s="26">
        <v>379</v>
      </c>
      <c r="L287" s="48">
        <v>184220</v>
      </c>
      <c r="M287" s="48">
        <v>390149</v>
      </c>
      <c r="N287" s="48">
        <v>224703</v>
      </c>
      <c r="O287" s="48">
        <v>-65171</v>
      </c>
      <c r="P287" s="48">
        <v>134866</v>
      </c>
      <c r="Q287" s="48">
        <v>320454</v>
      </c>
      <c r="R287" s="35">
        <f t="shared" si="23"/>
        <v>455320</v>
      </c>
    </row>
    <row r="288" spans="1:18" ht="17">
      <c r="A288" s="132" t="s">
        <v>3</v>
      </c>
      <c r="B288" s="132" t="s">
        <v>198</v>
      </c>
      <c r="C288" s="132" t="s">
        <v>201</v>
      </c>
      <c r="D288" s="132">
        <v>0</v>
      </c>
      <c r="E288" s="132">
        <v>2</v>
      </c>
      <c r="F288" s="130">
        <f t="shared" si="20"/>
        <v>-0.39176455769238583</v>
      </c>
      <c r="G288" s="130">
        <f t="shared" si="21"/>
        <v>12.91346783935532</v>
      </c>
      <c r="H288" s="130">
        <f t="shared" si="22"/>
        <v>0.83414501897767046</v>
      </c>
      <c r="I288" s="130"/>
      <c r="J288" s="99">
        <v>-96416</v>
      </c>
      <c r="K288" s="100">
        <v>411</v>
      </c>
      <c r="L288" s="101">
        <v>71684</v>
      </c>
      <c r="M288" s="101">
        <v>405740</v>
      </c>
      <c r="N288" s="101">
        <v>246107</v>
      </c>
      <c r="O288" s="101">
        <v>67294</v>
      </c>
      <c r="P288" s="101">
        <v>104256</v>
      </c>
      <c r="Q288" s="101">
        <v>234190</v>
      </c>
      <c r="R288" s="102">
        <f t="shared" si="23"/>
        <v>338446</v>
      </c>
    </row>
    <row r="289" spans="1:18" ht="17">
      <c r="A289" s="132" t="s">
        <v>25</v>
      </c>
      <c r="B289" s="132" t="s">
        <v>198</v>
      </c>
      <c r="C289" s="132" t="s">
        <v>201</v>
      </c>
      <c r="D289" s="132">
        <v>0</v>
      </c>
      <c r="E289" s="132">
        <v>3</v>
      </c>
      <c r="F289" s="130">
        <f t="shared" si="20"/>
        <v>0.14676082156397116</v>
      </c>
      <c r="G289" s="130">
        <f t="shared" si="21"/>
        <v>12.758770272364451</v>
      </c>
      <c r="H289" s="130">
        <f t="shared" si="22"/>
        <v>0.5221081340786623</v>
      </c>
      <c r="I289" s="130"/>
      <c r="J289" s="99">
        <v>35227</v>
      </c>
      <c r="K289" s="100">
        <v>171</v>
      </c>
      <c r="L289" s="101">
        <v>852</v>
      </c>
      <c r="M289" s="101">
        <v>347587</v>
      </c>
      <c r="N289" s="101">
        <v>240030</v>
      </c>
      <c r="O289" s="101">
        <v>166109</v>
      </c>
      <c r="P289" s="101">
        <v>72572</v>
      </c>
      <c r="Q289" s="101">
        <v>108906</v>
      </c>
      <c r="R289" s="102">
        <f t="shared" si="23"/>
        <v>181478</v>
      </c>
    </row>
    <row r="290" spans="1:18" ht="17">
      <c r="A290" s="132" t="s">
        <v>32</v>
      </c>
      <c r="B290" s="132" t="s">
        <v>198</v>
      </c>
      <c r="C290" s="132" t="s">
        <v>201</v>
      </c>
      <c r="D290" s="132">
        <v>0</v>
      </c>
      <c r="E290" s="132">
        <v>12</v>
      </c>
      <c r="F290" s="130">
        <f t="shared" si="20"/>
        <v>-0.38627028651572831</v>
      </c>
      <c r="G290" s="130">
        <f t="shared" si="21"/>
        <v>11.707488455408749</v>
      </c>
      <c r="H290" s="130">
        <f t="shared" si="22"/>
        <v>0.8671529001136008</v>
      </c>
      <c r="I290" s="130"/>
      <c r="J290" s="99">
        <v>-30846</v>
      </c>
      <c r="K290" s="100">
        <v>183</v>
      </c>
      <c r="L290" s="101">
        <v>6528</v>
      </c>
      <c r="M290" s="101">
        <v>121478</v>
      </c>
      <c r="N290" s="101">
        <v>79856</v>
      </c>
      <c r="O290" s="101">
        <v>16139</v>
      </c>
      <c r="P290" s="101">
        <v>27562</v>
      </c>
      <c r="Q290" s="101">
        <v>77778</v>
      </c>
      <c r="R290" s="102">
        <f t="shared" si="23"/>
        <v>105340</v>
      </c>
    </row>
    <row r="291" spans="1:18" ht="17">
      <c r="A291" s="132" t="s">
        <v>59</v>
      </c>
      <c r="B291" s="132" t="s">
        <v>198</v>
      </c>
      <c r="C291" s="132" t="s">
        <v>201</v>
      </c>
      <c r="D291" s="132">
        <v>0</v>
      </c>
      <c r="E291" s="132">
        <v>13</v>
      </c>
      <c r="F291" s="130">
        <f t="shared" si="20"/>
        <v>-6.4552062330420934E-2</v>
      </c>
      <c r="G291" s="130">
        <f t="shared" si="21"/>
        <v>12.599539393671195</v>
      </c>
      <c r="H291" s="130">
        <f t="shared" si="22"/>
        <v>0.48380349636666642</v>
      </c>
      <c r="I291" s="130"/>
      <c r="J291" s="99">
        <v>-10373</v>
      </c>
      <c r="K291" s="100">
        <v>247</v>
      </c>
      <c r="L291" s="101">
        <v>0</v>
      </c>
      <c r="M291" s="101">
        <v>296422</v>
      </c>
      <c r="N291" s="101">
        <v>160692</v>
      </c>
      <c r="O291" s="101">
        <v>153012</v>
      </c>
      <c r="P291" s="101">
        <v>39146</v>
      </c>
      <c r="Q291" s="101">
        <v>104264</v>
      </c>
      <c r="R291" s="102">
        <f t="shared" si="23"/>
        <v>143410</v>
      </c>
    </row>
    <row r="292" spans="1:18" ht="17">
      <c r="A292" s="132" t="s">
        <v>65</v>
      </c>
      <c r="B292" s="132" t="s">
        <v>198</v>
      </c>
      <c r="C292" s="132" t="s">
        <v>201</v>
      </c>
      <c r="D292" s="132">
        <v>0</v>
      </c>
      <c r="E292" s="132">
        <v>11</v>
      </c>
      <c r="F292" s="130">
        <f t="shared" si="20"/>
        <v>-0.57344928469817757</v>
      </c>
      <c r="G292" s="130">
        <f t="shared" si="21"/>
        <v>12.587374834069179</v>
      </c>
      <c r="H292" s="130">
        <f t="shared" si="22"/>
        <v>0.98400822297652624</v>
      </c>
      <c r="I292" s="130"/>
      <c r="J292" s="99">
        <v>-42730</v>
      </c>
      <c r="K292" s="100">
        <v>196</v>
      </c>
      <c r="L292" s="101">
        <v>42892</v>
      </c>
      <c r="M292" s="101">
        <v>292838</v>
      </c>
      <c r="N292" s="101">
        <v>74514</v>
      </c>
      <c r="O292" s="101">
        <v>4682</v>
      </c>
      <c r="P292" s="101">
        <v>125009</v>
      </c>
      <c r="Q292" s="101">
        <v>163146</v>
      </c>
      <c r="R292" s="102">
        <f t="shared" si="23"/>
        <v>288155</v>
      </c>
    </row>
    <row r="293" spans="1:18" ht="17">
      <c r="A293" s="132" t="s">
        <v>75</v>
      </c>
      <c r="B293" s="132" t="s">
        <v>198</v>
      </c>
      <c r="C293" s="132" t="s">
        <v>201</v>
      </c>
      <c r="D293" s="132">
        <v>0</v>
      </c>
      <c r="E293" s="132">
        <v>1</v>
      </c>
      <c r="F293" s="130">
        <f t="shared" si="20"/>
        <v>-0.67725753430702029</v>
      </c>
      <c r="G293" s="130">
        <f t="shared" si="21"/>
        <v>13.76769017340655</v>
      </c>
      <c r="H293" s="130">
        <f t="shared" si="22"/>
        <v>0.94393085109172825</v>
      </c>
      <c r="I293" s="130"/>
      <c r="J293" s="99">
        <v>-245579</v>
      </c>
      <c r="K293" s="100">
        <v>520</v>
      </c>
      <c r="L293" s="101">
        <v>9321</v>
      </c>
      <c r="M293" s="101">
        <v>953305</v>
      </c>
      <c r="N293" s="101">
        <v>362608</v>
      </c>
      <c r="O293" s="101">
        <v>53451</v>
      </c>
      <c r="P293" s="101">
        <v>581891</v>
      </c>
      <c r="Q293" s="101">
        <v>317963</v>
      </c>
      <c r="R293" s="102">
        <f t="shared" si="23"/>
        <v>899854</v>
      </c>
    </row>
    <row r="294" spans="1:18" ht="17">
      <c r="A294" s="132" t="s">
        <v>77</v>
      </c>
      <c r="B294" s="132" t="s">
        <v>198</v>
      </c>
      <c r="C294" s="132" t="s">
        <v>201</v>
      </c>
      <c r="D294" s="132">
        <v>0</v>
      </c>
      <c r="E294" s="132">
        <v>4</v>
      </c>
      <c r="F294" s="130">
        <f t="shared" si="20"/>
        <v>-0.43661277438466273</v>
      </c>
      <c r="G294" s="130">
        <f t="shared" si="21"/>
        <v>13.718791486137523</v>
      </c>
      <c r="H294" s="130">
        <f t="shared" si="22"/>
        <v>0.96867299470925117</v>
      </c>
      <c r="I294" s="130"/>
      <c r="J294" s="99">
        <v>-209885</v>
      </c>
      <c r="K294" s="100">
        <v>270</v>
      </c>
      <c r="L294" s="101">
        <v>48416</v>
      </c>
      <c r="M294" s="101">
        <v>907811</v>
      </c>
      <c r="N294" s="101">
        <v>480712</v>
      </c>
      <c r="O294" s="101">
        <v>28439</v>
      </c>
      <c r="P294" s="101">
        <v>499212</v>
      </c>
      <c r="Q294" s="101">
        <v>380160</v>
      </c>
      <c r="R294" s="102">
        <f t="shared" si="23"/>
        <v>879372</v>
      </c>
    </row>
    <row r="295" spans="1:18" ht="17">
      <c r="A295" s="132" t="s">
        <v>83</v>
      </c>
      <c r="B295" s="132" t="s">
        <v>198</v>
      </c>
      <c r="C295" s="132" t="s">
        <v>201</v>
      </c>
      <c r="D295" s="132">
        <v>0</v>
      </c>
      <c r="E295" s="132">
        <v>6</v>
      </c>
      <c r="F295" s="130">
        <f t="shared" si="20"/>
        <v>-0.17278428572390889</v>
      </c>
      <c r="G295" s="130">
        <f t="shared" si="21"/>
        <v>12.720834512117683</v>
      </c>
      <c r="H295" s="130">
        <f t="shared" si="22"/>
        <v>0.7762305467237216</v>
      </c>
      <c r="I295" s="130"/>
      <c r="J295" s="99">
        <v>-25650</v>
      </c>
      <c r="K295" s="100">
        <v>183</v>
      </c>
      <c r="L295" s="101">
        <v>25675</v>
      </c>
      <c r="M295" s="101">
        <v>334648</v>
      </c>
      <c r="N295" s="101">
        <v>148451</v>
      </c>
      <c r="O295" s="101">
        <v>74884</v>
      </c>
      <c r="P295" s="101">
        <v>84582</v>
      </c>
      <c r="Q295" s="101">
        <v>175182</v>
      </c>
      <c r="R295" s="102">
        <f t="shared" si="23"/>
        <v>259764</v>
      </c>
    </row>
    <row r="296" spans="1:18" ht="17">
      <c r="A296" s="132" t="s">
        <v>101</v>
      </c>
      <c r="B296" s="132" t="s">
        <v>198</v>
      </c>
      <c r="C296" s="132" t="s">
        <v>201</v>
      </c>
      <c r="D296" s="132">
        <v>0</v>
      </c>
      <c r="E296" s="132">
        <v>5</v>
      </c>
      <c r="F296" s="130">
        <f t="shared" si="20"/>
        <v>-0.26439570988332711</v>
      </c>
      <c r="G296" s="130">
        <f t="shared" si="21"/>
        <v>12.942707863557493</v>
      </c>
      <c r="H296" s="130">
        <f t="shared" si="22"/>
        <v>0.664274652387985</v>
      </c>
      <c r="I296" s="130"/>
      <c r="J296" s="99">
        <v>-58942</v>
      </c>
      <c r="K296" s="100">
        <v>110</v>
      </c>
      <c r="L296" s="101">
        <v>0</v>
      </c>
      <c r="M296" s="101">
        <v>417779</v>
      </c>
      <c r="N296" s="101">
        <v>222931</v>
      </c>
      <c r="O296" s="101">
        <v>140259</v>
      </c>
      <c r="P296" s="101">
        <v>82783</v>
      </c>
      <c r="Q296" s="101">
        <v>194737</v>
      </c>
      <c r="R296" s="102">
        <f t="shared" si="23"/>
        <v>277520</v>
      </c>
    </row>
    <row r="297" spans="1:18" ht="17">
      <c r="A297" s="132" t="s">
        <v>121</v>
      </c>
      <c r="B297" s="132" t="s">
        <v>198</v>
      </c>
      <c r="C297" s="132" t="s">
        <v>201</v>
      </c>
      <c r="D297" s="132">
        <v>0</v>
      </c>
      <c r="E297" s="132">
        <v>7</v>
      </c>
      <c r="F297" s="130">
        <f t="shared" si="20"/>
        <v>-0.81804296869827009</v>
      </c>
      <c r="G297" s="130">
        <f t="shared" si="21"/>
        <v>12.835478320584524</v>
      </c>
      <c r="H297" s="130">
        <f t="shared" si="22"/>
        <v>1.7280728166075583</v>
      </c>
      <c r="I297" s="130"/>
      <c r="J297" s="99">
        <v>-185317</v>
      </c>
      <c r="K297" s="100">
        <v>403</v>
      </c>
      <c r="L297" s="101">
        <v>22968</v>
      </c>
      <c r="M297" s="101">
        <v>375299</v>
      </c>
      <c r="N297" s="101">
        <v>226537</v>
      </c>
      <c r="O297" s="101">
        <v>-273245</v>
      </c>
      <c r="P297" s="101">
        <v>389087</v>
      </c>
      <c r="Q297" s="101">
        <v>259457</v>
      </c>
      <c r="R297" s="102">
        <f t="shared" si="23"/>
        <v>648544</v>
      </c>
    </row>
    <row r="298" spans="1:18" ht="17">
      <c r="A298" s="132" t="s">
        <v>123</v>
      </c>
      <c r="B298" s="132" t="s">
        <v>198</v>
      </c>
      <c r="C298" s="132" t="s">
        <v>201</v>
      </c>
      <c r="D298" s="132">
        <v>0</v>
      </c>
      <c r="E298" s="132">
        <v>9</v>
      </c>
      <c r="F298" s="130">
        <f t="shared" si="20"/>
        <v>-0.32000681395287889</v>
      </c>
      <c r="G298" s="130">
        <f t="shared" si="21"/>
        <v>12.792950564314253</v>
      </c>
      <c r="H298" s="130">
        <f t="shared" si="22"/>
        <v>0.99963856058141698</v>
      </c>
      <c r="I298" s="130"/>
      <c r="J298" s="103">
        <v>-24421</v>
      </c>
      <c r="K298" s="100">
        <v>201</v>
      </c>
      <c r="L298" s="102">
        <v>76784</v>
      </c>
      <c r="M298" s="102">
        <v>359673</v>
      </c>
      <c r="N298" s="102">
        <v>76314</v>
      </c>
      <c r="O298" s="102">
        <f>M298-R298</f>
        <v>130</v>
      </c>
      <c r="P298" s="102">
        <v>254067</v>
      </c>
      <c r="Q298" s="102">
        <v>105476</v>
      </c>
      <c r="R298" s="102">
        <f t="shared" si="23"/>
        <v>359543</v>
      </c>
    </row>
    <row r="299" spans="1:18" ht="17">
      <c r="A299" s="132" t="s">
        <v>124</v>
      </c>
      <c r="B299" s="132" t="s">
        <v>198</v>
      </c>
      <c r="C299" s="132" t="s">
        <v>201</v>
      </c>
      <c r="D299" s="132">
        <v>0</v>
      </c>
      <c r="E299" s="132">
        <v>8</v>
      </c>
      <c r="F299" s="130">
        <f t="shared" si="20"/>
        <v>-0.11845244712784243</v>
      </c>
      <c r="G299" s="130">
        <f t="shared" si="21"/>
        <v>12.31168412969277</v>
      </c>
      <c r="H299" s="130">
        <f t="shared" si="22"/>
        <v>0.94385409262275166</v>
      </c>
      <c r="I299" s="130"/>
      <c r="J299" s="99">
        <v>-13851</v>
      </c>
      <c r="K299" s="100">
        <v>181</v>
      </c>
      <c r="L299" s="101">
        <v>40997</v>
      </c>
      <c r="M299" s="101">
        <v>222278</v>
      </c>
      <c r="N299" s="101">
        <v>116933</v>
      </c>
      <c r="O299" s="101">
        <v>12480</v>
      </c>
      <c r="P299" s="101">
        <v>58908</v>
      </c>
      <c r="Q299" s="101">
        <v>150890</v>
      </c>
      <c r="R299" s="102">
        <f t="shared" si="23"/>
        <v>209798</v>
      </c>
    </row>
    <row r="300" spans="1:18" ht="17">
      <c r="A300" s="132" t="s">
        <v>131</v>
      </c>
      <c r="B300" s="132" t="s">
        <v>198</v>
      </c>
      <c r="C300" s="132" t="s">
        <v>201</v>
      </c>
      <c r="D300" s="132">
        <v>0</v>
      </c>
      <c r="E300" s="132">
        <v>15</v>
      </c>
      <c r="F300" s="130">
        <f t="shared" si="20"/>
        <v>-0.4341472153972154</v>
      </c>
      <c r="G300" s="130">
        <f t="shared" si="21"/>
        <v>12.024400877577715</v>
      </c>
      <c r="H300" s="130">
        <f t="shared" si="22"/>
        <v>0.76378354069854593</v>
      </c>
      <c r="I300" s="130"/>
      <c r="J300" s="103">
        <v>-16963</v>
      </c>
      <c r="K300" s="100">
        <v>94</v>
      </c>
      <c r="L300" s="102">
        <v>124</v>
      </c>
      <c r="M300" s="102">
        <v>166775</v>
      </c>
      <c r="N300" s="102">
        <v>39072</v>
      </c>
      <c r="O300" s="102">
        <f>M300-R300</f>
        <v>39395</v>
      </c>
      <c r="P300" s="102">
        <v>28890</v>
      </c>
      <c r="Q300" s="102">
        <v>98490</v>
      </c>
      <c r="R300" s="102">
        <f t="shared" si="23"/>
        <v>127380</v>
      </c>
    </row>
    <row r="301" spans="1:18" ht="17">
      <c r="A301" s="132" t="s">
        <v>139</v>
      </c>
      <c r="B301" s="132" t="s">
        <v>198</v>
      </c>
      <c r="C301" s="132" t="s">
        <v>201</v>
      </c>
      <c r="D301" s="132">
        <v>0</v>
      </c>
      <c r="E301" s="132">
        <v>17</v>
      </c>
      <c r="F301" s="130">
        <f t="shared" si="20"/>
        <v>-0.45146802360304833</v>
      </c>
      <c r="G301" s="130">
        <f t="shared" si="21"/>
        <v>11.906378718745147</v>
      </c>
      <c r="H301" s="130">
        <f t="shared" si="22"/>
        <v>0.86268040402404711</v>
      </c>
      <c r="I301" s="130"/>
      <c r="J301" s="99">
        <v>-37796</v>
      </c>
      <c r="K301" s="100">
        <v>180</v>
      </c>
      <c r="L301" s="101">
        <v>1250</v>
      </c>
      <c r="M301" s="101">
        <v>148209</v>
      </c>
      <c r="N301" s="101">
        <v>83718</v>
      </c>
      <c r="O301" s="101">
        <v>20352</v>
      </c>
      <c r="P301" s="101">
        <v>60382</v>
      </c>
      <c r="Q301" s="101">
        <v>67475</v>
      </c>
      <c r="R301" s="102">
        <f t="shared" si="23"/>
        <v>127857</v>
      </c>
    </row>
    <row r="302" spans="1:18" ht="17">
      <c r="A302" s="132" t="s">
        <v>144</v>
      </c>
      <c r="B302" s="132" t="s">
        <v>198</v>
      </c>
      <c r="C302" s="132" t="s">
        <v>201</v>
      </c>
      <c r="D302" s="132">
        <v>0</v>
      </c>
      <c r="E302" s="132">
        <v>14</v>
      </c>
      <c r="F302" s="130">
        <f t="shared" si="20"/>
        <v>-0.46747946872148433</v>
      </c>
      <c r="G302" s="130">
        <f t="shared" si="21"/>
        <v>12.87314275558</v>
      </c>
      <c r="H302" s="130">
        <f t="shared" si="22"/>
        <v>0.49633054831359186</v>
      </c>
      <c r="I302" s="130"/>
      <c r="J302" s="99">
        <v>-36886</v>
      </c>
      <c r="K302" s="100">
        <v>175</v>
      </c>
      <c r="L302" s="101">
        <v>8169</v>
      </c>
      <c r="M302" s="101">
        <v>389704</v>
      </c>
      <c r="N302" s="101">
        <v>78904</v>
      </c>
      <c r="O302" s="101">
        <v>196282</v>
      </c>
      <c r="P302" s="101">
        <v>101229</v>
      </c>
      <c r="Q302" s="101">
        <v>92193</v>
      </c>
      <c r="R302" s="102">
        <f t="shared" si="23"/>
        <v>193422</v>
      </c>
    </row>
    <row r="303" spans="1:18" ht="17">
      <c r="A303" s="132" t="s">
        <v>155</v>
      </c>
      <c r="B303" s="132" t="s">
        <v>198</v>
      </c>
      <c r="C303" s="132" t="s">
        <v>201</v>
      </c>
      <c r="D303" s="132">
        <v>0</v>
      </c>
      <c r="E303" s="132">
        <v>10</v>
      </c>
      <c r="F303" s="130">
        <f t="shared" si="20"/>
        <v>-0.24610902786177977</v>
      </c>
      <c r="G303" s="130">
        <f t="shared" si="21"/>
        <v>12.607757283323652</v>
      </c>
      <c r="H303" s="130">
        <f t="shared" si="22"/>
        <v>0.83436165798948025</v>
      </c>
      <c r="I303" s="130"/>
      <c r="J303" s="99">
        <v>-24415</v>
      </c>
      <c r="K303" s="100">
        <v>160</v>
      </c>
      <c r="L303" s="101">
        <v>39683</v>
      </c>
      <c r="M303" s="101">
        <v>298868</v>
      </c>
      <c r="N303" s="101">
        <v>99204</v>
      </c>
      <c r="O303" s="101">
        <v>49504</v>
      </c>
      <c r="P303" s="101">
        <v>102661</v>
      </c>
      <c r="Q303" s="101">
        <v>146703</v>
      </c>
      <c r="R303" s="102">
        <f t="shared" si="23"/>
        <v>249364</v>
      </c>
    </row>
    <row r="304" spans="1:18">
      <c r="A304" s="133" t="s">
        <v>13</v>
      </c>
      <c r="B304" s="133" t="s">
        <v>199</v>
      </c>
      <c r="C304" s="133" t="s">
        <v>201</v>
      </c>
      <c r="D304" s="133">
        <v>0</v>
      </c>
      <c r="E304" s="133">
        <v>7</v>
      </c>
      <c r="F304" s="130">
        <f t="shared" si="20"/>
        <v>0.41522941406621761</v>
      </c>
      <c r="G304" s="130">
        <f t="shared" si="21"/>
        <v>12.151912086570738</v>
      </c>
      <c r="H304" s="130">
        <f t="shared" si="22"/>
        <v>1.0093847648002703</v>
      </c>
      <c r="I304" s="130"/>
      <c r="J304" s="69">
        <v>78534</v>
      </c>
      <c r="K304" s="1"/>
      <c r="L304" s="32">
        <v>98672</v>
      </c>
      <c r="M304" s="32">
        <v>189456</v>
      </c>
      <c r="N304" s="32">
        <v>189134</v>
      </c>
      <c r="O304" s="32">
        <f>M304-R304</f>
        <v>-1778</v>
      </c>
      <c r="P304" s="32"/>
      <c r="Q304" s="32"/>
      <c r="R304" s="32">
        <v>191234</v>
      </c>
    </row>
    <row r="305" spans="1:18" ht="18">
      <c r="A305" s="133" t="s">
        <v>19</v>
      </c>
      <c r="B305" s="133" t="s">
        <v>199</v>
      </c>
      <c r="C305" s="133" t="s">
        <v>201</v>
      </c>
      <c r="D305" s="133">
        <v>0</v>
      </c>
      <c r="E305" s="133">
        <v>19</v>
      </c>
      <c r="F305" s="130">
        <f t="shared" si="20"/>
        <v>-1.0944403927068724</v>
      </c>
      <c r="G305" s="130">
        <f t="shared" si="21"/>
        <v>11.774011990399837</v>
      </c>
      <c r="H305" s="130">
        <f t="shared" si="22"/>
        <v>1.4575765978095105</v>
      </c>
      <c r="I305" s="130"/>
      <c r="J305" s="82">
        <v>-97542</v>
      </c>
      <c r="K305" s="1"/>
      <c r="L305" s="32">
        <v>81234</v>
      </c>
      <c r="M305" s="32">
        <v>129834</v>
      </c>
      <c r="N305" s="32">
        <v>89125</v>
      </c>
      <c r="O305" s="32">
        <f>M305-R305</f>
        <v>-59409</v>
      </c>
      <c r="P305" s="32"/>
      <c r="Q305" s="32"/>
      <c r="R305" s="32">
        <v>189243</v>
      </c>
    </row>
    <row r="306" spans="1:18" ht="18">
      <c r="A306" s="133" t="s">
        <v>20</v>
      </c>
      <c r="B306" s="133" t="s">
        <v>199</v>
      </c>
      <c r="C306" s="133" t="s">
        <v>201</v>
      </c>
      <c r="D306" s="133">
        <v>0</v>
      </c>
      <c r="E306" s="133">
        <v>16</v>
      </c>
      <c r="F306" s="130">
        <f t="shared" si="20"/>
        <v>-0.40408972506670321</v>
      </c>
      <c r="G306" s="130">
        <f t="shared" si="21"/>
        <v>12.497233659441383</v>
      </c>
      <c r="H306" s="130">
        <f t="shared" si="22"/>
        <v>0.91801446957353627</v>
      </c>
      <c r="I306" s="130"/>
      <c r="J306" s="82">
        <v>-76634</v>
      </c>
      <c r="K306" s="1"/>
      <c r="L306" s="32">
        <v>125688</v>
      </c>
      <c r="M306" s="32">
        <v>267596</v>
      </c>
      <c r="N306" s="32">
        <v>189646</v>
      </c>
      <c r="O306" s="32">
        <f>M306-R306</f>
        <v>21939</v>
      </c>
      <c r="P306" s="32"/>
      <c r="Q306" s="32"/>
      <c r="R306" s="32">
        <v>245657</v>
      </c>
    </row>
    <row r="307" spans="1:18" ht="18">
      <c r="A307" s="133" t="s">
        <v>29</v>
      </c>
      <c r="B307" s="133" t="s">
        <v>199</v>
      </c>
      <c r="C307" s="133" t="s">
        <v>201</v>
      </c>
      <c r="D307" s="133">
        <v>0</v>
      </c>
      <c r="E307" s="133">
        <v>18</v>
      </c>
      <c r="F307" s="130">
        <f t="shared" si="20"/>
        <v>-0.15991239728206952</v>
      </c>
      <c r="G307" s="130">
        <f t="shared" si="21"/>
        <v>11.838286196836723</v>
      </c>
      <c r="H307" s="130">
        <f t="shared" si="22"/>
        <v>1.0043697139101355</v>
      </c>
      <c r="I307" s="130"/>
      <c r="J307" s="82">
        <v>-8543</v>
      </c>
      <c r="K307" s="1"/>
      <c r="L307" s="32">
        <v>58276</v>
      </c>
      <c r="M307" s="32">
        <v>138453</v>
      </c>
      <c r="N307" s="32">
        <v>53423</v>
      </c>
      <c r="O307" s="32">
        <f>M307-R307</f>
        <v>-605</v>
      </c>
      <c r="P307" s="32"/>
      <c r="Q307" s="32"/>
      <c r="R307" s="32">
        <v>139058</v>
      </c>
    </row>
    <row r="308" spans="1:18" ht="18">
      <c r="A308" s="133" t="s">
        <v>31</v>
      </c>
      <c r="B308" s="133" t="s">
        <v>199</v>
      </c>
      <c r="C308" s="133" t="s">
        <v>201</v>
      </c>
      <c r="D308" s="133">
        <v>0</v>
      </c>
      <c r="E308" s="133">
        <v>1</v>
      </c>
      <c r="F308" s="130">
        <f t="shared" si="20"/>
        <v>-0.74098767346305916</v>
      </c>
      <c r="G308" s="130">
        <f t="shared" si="21"/>
        <v>12.247104218087419</v>
      </c>
      <c r="H308" s="130">
        <f t="shared" si="22"/>
        <v>1.7778929536369177</v>
      </c>
      <c r="I308" s="130"/>
      <c r="J308" s="72">
        <v>-38232</v>
      </c>
      <c r="K308" s="24">
        <v>265</v>
      </c>
      <c r="L308" s="38">
        <v>19</v>
      </c>
      <c r="M308" s="38">
        <v>208377</v>
      </c>
      <c r="N308" s="38">
        <v>51596</v>
      </c>
      <c r="O308" s="38">
        <v>-162095</v>
      </c>
      <c r="P308" s="38">
        <v>291339</v>
      </c>
      <c r="Q308" s="38">
        <v>79133</v>
      </c>
      <c r="R308" s="37">
        <f>P308+Q308</f>
        <v>370472</v>
      </c>
    </row>
    <row r="309" spans="1:18" ht="18">
      <c r="A309" s="133" t="s">
        <v>48</v>
      </c>
      <c r="B309" s="133" t="s">
        <v>199</v>
      </c>
      <c r="C309" s="133" t="s">
        <v>201</v>
      </c>
      <c r="D309" s="133">
        <v>0</v>
      </c>
      <c r="E309" s="133">
        <v>21</v>
      </c>
      <c r="F309" s="130">
        <f t="shared" si="20"/>
        <v>-0.17806962958110897</v>
      </c>
      <c r="G309" s="130">
        <f t="shared" si="21"/>
        <v>11.396874678104211</v>
      </c>
      <c r="H309" s="130">
        <f t="shared" si="22"/>
        <v>0.89691497366440931</v>
      </c>
      <c r="I309" s="130"/>
      <c r="J309" s="82">
        <v>-5437</v>
      </c>
      <c r="K309" s="5"/>
      <c r="L309" s="44">
        <v>12937</v>
      </c>
      <c r="M309" s="50">
        <v>89043</v>
      </c>
      <c r="N309" s="32">
        <v>30533</v>
      </c>
      <c r="O309" s="51">
        <f>L309-R309</f>
        <v>-66927</v>
      </c>
      <c r="P309" s="37"/>
      <c r="Q309" s="37"/>
      <c r="R309" s="37">
        <v>79864</v>
      </c>
    </row>
    <row r="310" spans="1:18" ht="18">
      <c r="A310" s="133" t="s">
        <v>158</v>
      </c>
      <c r="B310" s="133" t="s">
        <v>199</v>
      </c>
      <c r="C310" s="133" t="s">
        <v>201</v>
      </c>
      <c r="D310" s="133">
        <v>0</v>
      </c>
      <c r="E310" s="133">
        <v>8</v>
      </c>
      <c r="F310" s="130">
        <f t="shared" si="20"/>
        <v>0.43271665287909555</v>
      </c>
      <c r="G310" s="130">
        <f t="shared" si="21"/>
        <v>11.143961027898758</v>
      </c>
      <c r="H310" s="130">
        <f t="shared" si="22"/>
        <v>0.53862173692964066</v>
      </c>
      <c r="I310" s="130"/>
      <c r="J310" s="82">
        <v>34523</v>
      </c>
      <c r="K310" s="5"/>
      <c r="L310" s="44">
        <v>53497</v>
      </c>
      <c r="M310" s="50">
        <v>69145</v>
      </c>
      <c r="N310" s="32">
        <v>79782</v>
      </c>
      <c r="O310" s="51">
        <f>M310-R310</f>
        <v>31902</v>
      </c>
      <c r="P310" s="37"/>
      <c r="Q310" s="37"/>
      <c r="R310" s="37">
        <v>37243</v>
      </c>
    </row>
    <row r="311" spans="1:18" ht="18">
      <c r="A311" s="133" t="s">
        <v>58</v>
      </c>
      <c r="B311" s="133" t="s">
        <v>199</v>
      </c>
      <c r="C311" s="133" t="s">
        <v>201</v>
      </c>
      <c r="D311" s="133">
        <v>0</v>
      </c>
      <c r="E311" s="133">
        <v>3</v>
      </c>
      <c r="F311" s="130">
        <f t="shared" si="20"/>
        <v>-0.29157928089684204</v>
      </c>
      <c r="G311" s="130">
        <f t="shared" si="21"/>
        <v>12.476527172315329</v>
      </c>
      <c r="H311" s="130">
        <f t="shared" si="22"/>
        <v>1.3666180869246733</v>
      </c>
      <c r="I311" s="130"/>
      <c r="J311" s="72">
        <v>-19325</v>
      </c>
      <c r="K311" s="24">
        <v>502</v>
      </c>
      <c r="L311" s="38">
        <v>268088</v>
      </c>
      <c r="M311" s="38">
        <v>262112</v>
      </c>
      <c r="N311" s="38">
        <v>66277</v>
      </c>
      <c r="O311" s="38">
        <v>-96095</v>
      </c>
      <c r="P311" s="38">
        <v>28668</v>
      </c>
      <c r="Q311" s="38">
        <v>329539</v>
      </c>
      <c r="R311" s="37">
        <f>P311+Q311</f>
        <v>358207</v>
      </c>
    </row>
    <row r="312" spans="1:18" ht="18">
      <c r="A312" s="133" t="s">
        <v>62</v>
      </c>
      <c r="B312" s="133" t="s">
        <v>199</v>
      </c>
      <c r="C312" s="133" t="s">
        <v>201</v>
      </c>
      <c r="D312" s="133">
        <v>1</v>
      </c>
      <c r="E312" s="133">
        <v>2</v>
      </c>
      <c r="F312" s="130">
        <f t="shared" si="20"/>
        <v>-0.67395352603028091</v>
      </c>
      <c r="G312" s="130">
        <f t="shared" si="21"/>
        <v>12.290740027508681</v>
      </c>
      <c r="H312" s="130">
        <f t="shared" si="22"/>
        <v>1.3321756228436494</v>
      </c>
      <c r="I312" s="130"/>
      <c r="J312" s="72">
        <v>-41620</v>
      </c>
      <c r="K312" s="24">
        <v>583</v>
      </c>
      <c r="L312" s="38">
        <v>0</v>
      </c>
      <c r="M312" s="38">
        <v>217671</v>
      </c>
      <c r="N312" s="38">
        <v>61755</v>
      </c>
      <c r="O312" s="38">
        <v>-72305</v>
      </c>
      <c r="P312" s="38">
        <v>234369</v>
      </c>
      <c r="Q312" s="38">
        <v>55607</v>
      </c>
      <c r="R312" s="37">
        <f>P312+Q312</f>
        <v>289976</v>
      </c>
    </row>
    <row r="313" spans="1:18" ht="18">
      <c r="A313" s="133" t="s">
        <v>71</v>
      </c>
      <c r="B313" s="133" t="s">
        <v>199</v>
      </c>
      <c r="C313" s="133" t="s">
        <v>201</v>
      </c>
      <c r="D313" s="133">
        <v>0</v>
      </c>
      <c r="E313" s="133">
        <v>6</v>
      </c>
      <c r="F313" s="130">
        <f t="shared" si="20"/>
        <v>-0.87641468833238345</v>
      </c>
      <c r="G313" s="130">
        <f t="shared" si="21"/>
        <v>11.536104737917634</v>
      </c>
      <c r="H313" s="130">
        <f t="shared" si="22"/>
        <v>1.3230055205432605</v>
      </c>
      <c r="I313" s="130"/>
      <c r="J313" s="82">
        <v>-75348</v>
      </c>
      <c r="K313" s="5"/>
      <c r="L313" s="44">
        <v>52341</v>
      </c>
      <c r="M313" s="50">
        <v>102345</v>
      </c>
      <c r="N313" s="32">
        <v>85973</v>
      </c>
      <c r="O313" s="51">
        <f>M313-R313</f>
        <v>-33058</v>
      </c>
      <c r="P313" s="38"/>
      <c r="Q313" s="38"/>
      <c r="R313" s="38">
        <v>135403</v>
      </c>
    </row>
    <row r="314" spans="1:18" ht="18">
      <c r="A314" s="133" t="s">
        <v>76</v>
      </c>
      <c r="B314" s="133" t="s">
        <v>199</v>
      </c>
      <c r="C314" s="133" t="s">
        <v>201</v>
      </c>
      <c r="D314" s="133">
        <v>1</v>
      </c>
      <c r="E314" s="133">
        <v>12</v>
      </c>
      <c r="F314" s="130">
        <f t="shared" si="20"/>
        <v>-0.28978441339770028</v>
      </c>
      <c r="G314" s="130">
        <f t="shared" si="21"/>
        <v>12.279996672195534</v>
      </c>
      <c r="H314" s="130">
        <f t="shared" si="22"/>
        <v>1.1416331932480439</v>
      </c>
      <c r="I314" s="130"/>
      <c r="J314" s="82">
        <v>-54385</v>
      </c>
      <c r="K314" s="5"/>
      <c r="L314" s="44">
        <v>135749</v>
      </c>
      <c r="M314" s="50">
        <v>215345</v>
      </c>
      <c r="N314" s="32">
        <v>187674</v>
      </c>
      <c r="O314" s="51">
        <f>M314-R314</f>
        <v>-30500</v>
      </c>
      <c r="P314" s="38"/>
      <c r="Q314" s="38"/>
      <c r="R314" s="38">
        <v>245845</v>
      </c>
    </row>
    <row r="315" spans="1:18" ht="18">
      <c r="A315" s="133" t="s">
        <v>79</v>
      </c>
      <c r="B315" s="133" t="s">
        <v>199</v>
      </c>
      <c r="C315" s="133" t="s">
        <v>201</v>
      </c>
      <c r="D315" s="133">
        <v>0</v>
      </c>
      <c r="E315" s="133">
        <v>14</v>
      </c>
      <c r="F315" s="130">
        <f t="shared" si="20"/>
        <v>-0.5983521688366048</v>
      </c>
      <c r="G315" s="130">
        <f t="shared" si="21"/>
        <v>11.468377788708915</v>
      </c>
      <c r="H315" s="130">
        <f t="shared" si="22"/>
        <v>1.6361887435567684</v>
      </c>
      <c r="I315" s="130"/>
      <c r="J315" s="82">
        <v>-54322</v>
      </c>
      <c r="K315" s="5"/>
      <c r="L315" s="32">
        <v>195043</v>
      </c>
      <c r="M315" s="50">
        <v>95643</v>
      </c>
      <c r="N315" s="32">
        <v>90786</v>
      </c>
      <c r="O315" s="51">
        <f>M315-R315</f>
        <v>-60847</v>
      </c>
      <c r="P315" s="38"/>
      <c r="Q315" s="38"/>
      <c r="R315" s="38">
        <v>156490</v>
      </c>
    </row>
    <row r="316" spans="1:18" ht="18">
      <c r="A316" s="133" t="s">
        <v>80</v>
      </c>
      <c r="B316" s="133" t="s">
        <v>199</v>
      </c>
      <c r="C316" s="133" t="s">
        <v>201</v>
      </c>
      <c r="D316" s="133">
        <v>0</v>
      </c>
      <c r="E316" s="133">
        <v>17</v>
      </c>
      <c r="F316" s="130">
        <f t="shared" si="20"/>
        <v>-1.1364719111097961</v>
      </c>
      <c r="G316" s="130">
        <f t="shared" si="21"/>
        <v>11.771775870753308</v>
      </c>
      <c r="H316" s="130">
        <f t="shared" si="22"/>
        <v>1.0382804298153523</v>
      </c>
      <c r="I316" s="130"/>
      <c r="J316" s="82">
        <v>-76813</v>
      </c>
      <c r="K316" s="5"/>
      <c r="L316" s="44">
        <v>126539</v>
      </c>
      <c r="M316" s="50">
        <v>129544</v>
      </c>
      <c r="N316" s="32">
        <v>67589</v>
      </c>
      <c r="O316" s="51">
        <f>M316-R316</f>
        <v>-4959</v>
      </c>
      <c r="P316" s="32"/>
      <c r="Q316" s="32"/>
      <c r="R316" s="32">
        <v>134503</v>
      </c>
    </row>
    <row r="317" spans="1:18" ht="18">
      <c r="A317" s="133" t="s">
        <v>81</v>
      </c>
      <c r="B317" s="133" t="s">
        <v>199</v>
      </c>
      <c r="C317" s="133" t="s">
        <v>201</v>
      </c>
      <c r="D317" s="133">
        <v>0</v>
      </c>
      <c r="E317" s="133">
        <v>11</v>
      </c>
      <c r="F317" s="130">
        <f t="shared" si="20"/>
        <v>-0.46858161948850269</v>
      </c>
      <c r="G317" s="130">
        <f t="shared" si="21"/>
        <v>11.35549942700905</v>
      </c>
      <c r="H317" s="130">
        <f t="shared" si="22"/>
        <v>1.1521642437437085</v>
      </c>
      <c r="I317" s="130"/>
      <c r="J317" s="82">
        <v>-12349</v>
      </c>
      <c r="K317" s="5"/>
      <c r="L317" s="44">
        <v>134943</v>
      </c>
      <c r="M317" s="50">
        <v>85434</v>
      </c>
      <c r="N317" s="32">
        <v>26354</v>
      </c>
      <c r="O317" s="51">
        <f>M317-R317</f>
        <v>-13000</v>
      </c>
      <c r="P317" s="37"/>
      <c r="Q317" s="37"/>
      <c r="R317" s="37">
        <v>98434</v>
      </c>
    </row>
    <row r="318" spans="1:18" ht="18">
      <c r="A318" s="133" t="s">
        <v>142</v>
      </c>
      <c r="B318" s="133" t="s">
        <v>199</v>
      </c>
      <c r="C318" s="133" t="s">
        <v>201</v>
      </c>
      <c r="D318" s="133">
        <v>1</v>
      </c>
      <c r="E318" s="133">
        <v>4</v>
      </c>
      <c r="F318" s="130">
        <f t="shared" si="20"/>
        <v>-0.57309835428275235</v>
      </c>
      <c r="G318" s="130">
        <f t="shared" si="21"/>
        <v>11.283562613842102</v>
      </c>
      <c r="H318" s="130">
        <f t="shared" si="22"/>
        <v>1.7364409337894948</v>
      </c>
      <c r="I318" s="130"/>
      <c r="J318" s="72">
        <v>-22113</v>
      </c>
      <c r="K318" s="24">
        <v>119</v>
      </c>
      <c r="L318" s="38">
        <v>4285</v>
      </c>
      <c r="M318" s="38">
        <v>79504</v>
      </c>
      <c r="N318" s="38">
        <v>38585</v>
      </c>
      <c r="O318" s="38">
        <v>-58549</v>
      </c>
      <c r="P318" s="38">
        <v>107900</v>
      </c>
      <c r="Q318" s="38">
        <v>30154</v>
      </c>
      <c r="R318" s="37">
        <f t="shared" ref="R318:R334" si="24">P318+Q318</f>
        <v>138054</v>
      </c>
    </row>
    <row r="319" spans="1:18">
      <c r="A319" s="131" t="s">
        <v>26</v>
      </c>
      <c r="B319" s="131" t="s">
        <v>193</v>
      </c>
      <c r="C319" s="131" t="s">
        <v>173</v>
      </c>
      <c r="D319" s="131">
        <v>0</v>
      </c>
      <c r="E319" s="131">
        <v>8</v>
      </c>
      <c r="F319" s="130">
        <f t="shared" si="20"/>
        <v>-0.10999482133609528</v>
      </c>
      <c r="G319" s="130">
        <f t="shared" si="21"/>
        <v>7.7437032581737535</v>
      </c>
      <c r="H319" s="130">
        <f t="shared" si="22"/>
        <v>52.583875162548765</v>
      </c>
      <c r="I319" s="130"/>
      <c r="J319" s="91">
        <v>-10620</v>
      </c>
      <c r="K319" s="92">
        <v>327</v>
      </c>
      <c r="L319" s="42">
        <v>1379</v>
      </c>
      <c r="M319" s="42">
        <v>2307</v>
      </c>
      <c r="N319" s="93">
        <f>96550</f>
        <v>96550</v>
      </c>
      <c r="O319" s="42">
        <v>103403</v>
      </c>
      <c r="P319" s="42">
        <v>60877</v>
      </c>
      <c r="Q319" s="42">
        <v>60434</v>
      </c>
      <c r="R319" s="42">
        <f t="shared" si="24"/>
        <v>121311</v>
      </c>
    </row>
    <row r="320" spans="1:18" ht="17">
      <c r="A320" s="131" t="s">
        <v>27</v>
      </c>
      <c r="B320" s="131" t="s">
        <v>193</v>
      </c>
      <c r="C320" s="131" t="s">
        <v>173</v>
      </c>
      <c r="D320" s="131">
        <v>0</v>
      </c>
      <c r="E320" s="131">
        <v>3</v>
      </c>
      <c r="F320" s="130">
        <f t="shared" si="20"/>
        <v>-5.8775601681837604E-2</v>
      </c>
      <c r="G320" s="130">
        <f t="shared" si="21"/>
        <v>13.80624879999038</v>
      </c>
      <c r="H320" s="130">
        <f t="shared" si="22"/>
        <v>0.93085252946917629</v>
      </c>
      <c r="I320" s="130"/>
      <c r="J320" s="94">
        <v>-25176</v>
      </c>
      <c r="K320" s="95">
        <v>1193</v>
      </c>
      <c r="L320" s="96">
        <v>49911</v>
      </c>
      <c r="M320" s="96">
        <v>990781</v>
      </c>
      <c r="N320" s="96">
        <v>428341</v>
      </c>
      <c r="O320" s="96">
        <v>68510</v>
      </c>
      <c r="P320" s="96">
        <v>541190</v>
      </c>
      <c r="Q320" s="96">
        <v>381081</v>
      </c>
      <c r="R320" s="42">
        <f t="shared" si="24"/>
        <v>922271</v>
      </c>
    </row>
    <row r="321" spans="1:18" ht="17">
      <c r="A321" s="131" t="s">
        <v>28</v>
      </c>
      <c r="B321" s="131" t="s">
        <v>193</v>
      </c>
      <c r="C321" s="131" t="s">
        <v>173</v>
      </c>
      <c r="D321" s="131">
        <v>1</v>
      </c>
      <c r="E321" s="131">
        <v>2</v>
      </c>
      <c r="F321" s="130">
        <f t="shared" si="20"/>
        <v>0.15274138357455255</v>
      </c>
      <c r="G321" s="130">
        <f t="shared" si="21"/>
        <v>14.153129993444031</v>
      </c>
      <c r="H321" s="130">
        <f t="shared" si="22"/>
        <v>1.2520057334188541</v>
      </c>
      <c r="I321" s="130"/>
      <c r="J321" s="94">
        <v>97577</v>
      </c>
      <c r="K321" s="95">
        <v>1392</v>
      </c>
      <c r="L321" s="96">
        <v>175306</v>
      </c>
      <c r="M321" s="96">
        <v>1401607</v>
      </c>
      <c r="N321" s="96">
        <v>638838</v>
      </c>
      <c r="O321" s="96">
        <v>-353213</v>
      </c>
      <c r="P321" s="96">
        <v>914154</v>
      </c>
      <c r="Q321" s="96">
        <v>840666</v>
      </c>
      <c r="R321" s="42">
        <f t="shared" si="24"/>
        <v>1754820</v>
      </c>
    </row>
    <row r="322" spans="1:18">
      <c r="A322" s="131" t="s">
        <v>39</v>
      </c>
      <c r="B322" s="131" t="s">
        <v>193</v>
      </c>
      <c r="C322" s="131" t="s">
        <v>173</v>
      </c>
      <c r="D322" s="131">
        <v>0</v>
      </c>
      <c r="E322" s="131">
        <v>17</v>
      </c>
      <c r="F322" s="130">
        <f t="shared" ref="F322:F385" si="25">J322/N322</f>
        <v>1.2276785714285714E-2</v>
      </c>
      <c r="G322" s="130">
        <f t="shared" ref="G322:G385" si="26">LN(M322)</f>
        <v>7.4109518755836366</v>
      </c>
      <c r="H322" s="130">
        <f t="shared" ref="H322:H385" si="27">R322/M322</f>
        <v>24.909915356711004</v>
      </c>
      <c r="I322" s="130"/>
      <c r="J322" s="75">
        <v>660</v>
      </c>
      <c r="K322" s="12">
        <v>273</v>
      </c>
      <c r="L322" s="42">
        <v>946</v>
      </c>
      <c r="M322" s="42">
        <v>1654</v>
      </c>
      <c r="N322" s="42">
        <v>53760</v>
      </c>
      <c r="O322" s="42">
        <f>M322-R322</f>
        <v>-39547</v>
      </c>
      <c r="P322" s="42">
        <v>35433</v>
      </c>
      <c r="Q322" s="42">
        <v>5768</v>
      </c>
      <c r="R322" s="42">
        <f t="shared" si="24"/>
        <v>41201</v>
      </c>
    </row>
    <row r="323" spans="1:18">
      <c r="A323" s="131" t="s">
        <v>43</v>
      </c>
      <c r="B323" s="131" t="s">
        <v>193</v>
      </c>
      <c r="C323" s="131" t="s">
        <v>173</v>
      </c>
      <c r="D323" s="131">
        <v>0</v>
      </c>
      <c r="E323" s="131">
        <v>11</v>
      </c>
      <c r="F323" s="130">
        <f t="shared" si="25"/>
        <v>-1.0854243022272343E-2</v>
      </c>
      <c r="G323" s="130">
        <f t="shared" si="26"/>
        <v>7.9280456008747766</v>
      </c>
      <c r="H323" s="130">
        <f t="shared" si="27"/>
        <v>20.563085796683488</v>
      </c>
      <c r="I323" s="130"/>
      <c r="J323" s="75">
        <v>-770</v>
      </c>
      <c r="K323" s="12">
        <v>301</v>
      </c>
      <c r="L323" s="42">
        <v>1224</v>
      </c>
      <c r="M323" s="42">
        <v>2774</v>
      </c>
      <c r="N323" s="97">
        <v>70940</v>
      </c>
      <c r="O323" s="42">
        <f>M323-R323</f>
        <v>-54268</v>
      </c>
      <c r="P323" s="42">
        <v>54675</v>
      </c>
      <c r="Q323" s="42">
        <v>2367</v>
      </c>
      <c r="R323" s="42">
        <f t="shared" si="24"/>
        <v>57042</v>
      </c>
    </row>
    <row r="324" spans="1:18">
      <c r="A324" s="131" t="s">
        <v>54</v>
      </c>
      <c r="B324" s="131" t="s">
        <v>193</v>
      </c>
      <c r="C324" s="131" t="s">
        <v>173</v>
      </c>
      <c r="D324" s="131">
        <v>0</v>
      </c>
      <c r="E324" s="131">
        <v>13</v>
      </c>
      <c r="F324" s="130">
        <f t="shared" si="25"/>
        <v>0.22191323692992213</v>
      </c>
      <c r="G324" s="130">
        <f t="shared" si="26"/>
        <v>7.2841348061952047</v>
      </c>
      <c r="H324" s="130">
        <f t="shared" si="27"/>
        <v>1.0988332189430337</v>
      </c>
      <c r="I324" s="130"/>
      <c r="J324" s="75">
        <v>11970</v>
      </c>
      <c r="K324" s="12">
        <v>291</v>
      </c>
      <c r="L324" s="42">
        <v>965</v>
      </c>
      <c r="M324" s="42">
        <v>1457</v>
      </c>
      <c r="N324" s="42">
        <v>53940</v>
      </c>
      <c r="O324" s="42">
        <f>M324-R324</f>
        <v>-144</v>
      </c>
      <c r="P324" s="42">
        <v>1427</v>
      </c>
      <c r="Q324" s="42">
        <v>174</v>
      </c>
      <c r="R324" s="42">
        <f t="shared" si="24"/>
        <v>1601</v>
      </c>
    </row>
    <row r="325" spans="1:18" ht="17">
      <c r="A325" s="131" t="s">
        <v>56</v>
      </c>
      <c r="B325" s="131" t="s">
        <v>193</v>
      </c>
      <c r="C325" s="131" t="s">
        <v>173</v>
      </c>
      <c r="D325" s="131">
        <v>0</v>
      </c>
      <c r="E325" s="131">
        <v>14</v>
      </c>
      <c r="F325" s="130">
        <f t="shared" si="25"/>
        <v>7.8425784839426332E-2</v>
      </c>
      <c r="G325" s="130">
        <f t="shared" si="26"/>
        <v>12.568487584134461</v>
      </c>
      <c r="H325" s="130">
        <f t="shared" si="27"/>
        <v>0.48970451595391129</v>
      </c>
      <c r="I325" s="130"/>
      <c r="J325" s="94">
        <v>13485</v>
      </c>
      <c r="K325" s="98">
        <v>324</v>
      </c>
      <c r="L325" s="96">
        <v>7546</v>
      </c>
      <c r="M325" s="96">
        <v>287359</v>
      </c>
      <c r="N325" s="96">
        <v>171946</v>
      </c>
      <c r="O325" s="96">
        <f>M325-R325</f>
        <v>146638</v>
      </c>
      <c r="P325" s="96">
        <v>93076</v>
      </c>
      <c r="Q325" s="96">
        <v>47645</v>
      </c>
      <c r="R325" s="42">
        <f t="shared" si="24"/>
        <v>140721</v>
      </c>
    </row>
    <row r="326" spans="1:18" ht="17">
      <c r="A326" s="131" t="s">
        <v>66</v>
      </c>
      <c r="B326" s="131" t="s">
        <v>193</v>
      </c>
      <c r="C326" s="131" t="s">
        <v>173</v>
      </c>
      <c r="D326" s="131">
        <v>0</v>
      </c>
      <c r="E326" s="131">
        <v>15</v>
      </c>
      <c r="F326" s="130">
        <f t="shared" si="25"/>
        <v>-4.0610413318903794E-3</v>
      </c>
      <c r="G326" s="130">
        <f t="shared" si="26"/>
        <v>12.497110331607818</v>
      </c>
      <c r="H326" s="130">
        <f t="shared" si="27"/>
        <v>0.70027993407160183</v>
      </c>
      <c r="I326" s="130"/>
      <c r="J326" s="94">
        <v>-743</v>
      </c>
      <c r="K326" s="98">
        <v>394</v>
      </c>
      <c r="L326" s="96">
        <v>1441</v>
      </c>
      <c r="M326" s="96">
        <v>267563</v>
      </c>
      <c r="N326" s="96">
        <v>182958</v>
      </c>
      <c r="O326" s="96">
        <v>80193</v>
      </c>
      <c r="P326" s="96">
        <v>81987</v>
      </c>
      <c r="Q326" s="96">
        <v>105382</v>
      </c>
      <c r="R326" s="42">
        <f t="shared" si="24"/>
        <v>187369</v>
      </c>
    </row>
    <row r="327" spans="1:18">
      <c r="A327" s="131" t="s">
        <v>93</v>
      </c>
      <c r="B327" s="131" t="s">
        <v>193</v>
      </c>
      <c r="C327" s="131" t="s">
        <v>173</v>
      </c>
      <c r="D327" s="131">
        <v>0</v>
      </c>
      <c r="E327" s="131">
        <v>16</v>
      </c>
      <c r="F327" s="130">
        <f t="shared" si="25"/>
        <v>-6.4743138634764247E-2</v>
      </c>
      <c r="G327" s="130">
        <f t="shared" si="26"/>
        <v>5.1873858058407549</v>
      </c>
      <c r="H327" s="130">
        <f t="shared" si="27"/>
        <v>8.3854748603351954</v>
      </c>
      <c r="I327" s="130"/>
      <c r="J327" s="75">
        <v>-920</v>
      </c>
      <c r="K327" s="12">
        <v>173</v>
      </c>
      <c r="L327" s="42">
        <v>674</v>
      </c>
      <c r="M327" s="42">
        <v>179</v>
      </c>
      <c r="N327" s="42">
        <v>14210</v>
      </c>
      <c r="O327" s="42">
        <f>M327-R327</f>
        <v>-1322</v>
      </c>
      <c r="P327" s="42">
        <v>645</v>
      </c>
      <c r="Q327" s="42">
        <v>856</v>
      </c>
      <c r="R327" s="42">
        <f t="shared" si="24"/>
        <v>1501</v>
      </c>
    </row>
    <row r="328" spans="1:18">
      <c r="A328" s="131" t="s">
        <v>108</v>
      </c>
      <c r="B328" s="131" t="s">
        <v>193</v>
      </c>
      <c r="C328" s="131" t="s">
        <v>173</v>
      </c>
      <c r="D328" s="131">
        <v>0</v>
      </c>
      <c r="E328" s="131">
        <v>10</v>
      </c>
      <c r="F328" s="130">
        <f t="shared" si="25"/>
        <v>2.0996552804763396E-2</v>
      </c>
      <c r="G328" s="130">
        <f t="shared" si="26"/>
        <v>7.8030266436322169</v>
      </c>
      <c r="H328" s="130">
        <f t="shared" si="27"/>
        <v>0.67075163398692805</v>
      </c>
      <c r="I328" s="130"/>
      <c r="J328" s="75">
        <v>1340</v>
      </c>
      <c r="K328" s="12">
        <v>323</v>
      </c>
      <c r="L328" s="42">
        <v>886</v>
      </c>
      <c r="M328" s="42">
        <v>2448</v>
      </c>
      <c r="N328" s="42">
        <v>63820</v>
      </c>
      <c r="O328" s="42">
        <f>M328-R328</f>
        <v>806</v>
      </c>
      <c r="P328" s="42">
        <v>1178</v>
      </c>
      <c r="Q328" s="42">
        <v>464</v>
      </c>
      <c r="R328" s="42">
        <f t="shared" si="24"/>
        <v>1642</v>
      </c>
    </row>
    <row r="329" spans="1:18">
      <c r="A329" s="131" t="s">
        <v>114</v>
      </c>
      <c r="B329" s="131" t="s">
        <v>193</v>
      </c>
      <c r="C329" s="131" t="s">
        <v>173</v>
      </c>
      <c r="D329" s="131">
        <v>0</v>
      </c>
      <c r="E329" s="131">
        <v>12</v>
      </c>
      <c r="F329" s="130">
        <f t="shared" si="25"/>
        <v>-0.67785234899328861</v>
      </c>
      <c r="G329" s="130">
        <f t="shared" si="26"/>
        <v>4.9126548857360524</v>
      </c>
      <c r="H329" s="130">
        <f t="shared" si="27"/>
        <v>10.272058823529411</v>
      </c>
      <c r="I329" s="130"/>
      <c r="J329" s="75">
        <v>-7070</v>
      </c>
      <c r="K329" s="12">
        <v>98</v>
      </c>
      <c r="L329" s="42">
        <v>476</v>
      </c>
      <c r="M329" s="42">
        <v>136</v>
      </c>
      <c r="N329" s="42">
        <v>10430</v>
      </c>
      <c r="O329" s="42">
        <f>M329-R329</f>
        <v>-1261</v>
      </c>
      <c r="P329" s="42">
        <v>689</v>
      </c>
      <c r="Q329" s="42">
        <v>708</v>
      </c>
      <c r="R329" s="42">
        <f t="shared" si="24"/>
        <v>1397</v>
      </c>
    </row>
    <row r="330" spans="1:18" ht="17">
      <c r="A330" s="131" t="s">
        <v>117</v>
      </c>
      <c r="B330" s="131" t="s">
        <v>193</v>
      </c>
      <c r="C330" s="131" t="s">
        <v>173</v>
      </c>
      <c r="D330" s="131">
        <v>1</v>
      </c>
      <c r="E330" s="131">
        <v>5</v>
      </c>
      <c r="F330" s="130">
        <f t="shared" si="25"/>
        <v>-0.31181401568896067</v>
      </c>
      <c r="G330" s="130">
        <f t="shared" si="26"/>
        <v>12.031719258385396</v>
      </c>
      <c r="H330" s="130">
        <f t="shared" si="27"/>
        <v>1.41675</v>
      </c>
      <c r="I330" s="130"/>
      <c r="J330" s="94">
        <v>-38239</v>
      </c>
      <c r="K330" s="98">
        <v>450</v>
      </c>
      <c r="L330" s="96">
        <v>39946</v>
      </c>
      <c r="M330" s="96">
        <v>168000</v>
      </c>
      <c r="N330" s="96">
        <v>122634</v>
      </c>
      <c r="O330" s="96">
        <v>-70013</v>
      </c>
      <c r="P330" s="96">
        <v>82885</v>
      </c>
      <c r="Q330" s="96">
        <v>155129</v>
      </c>
      <c r="R330" s="42">
        <f t="shared" si="24"/>
        <v>238014</v>
      </c>
    </row>
    <row r="331" spans="1:18" ht="17">
      <c r="A331" s="131" t="s">
        <v>118</v>
      </c>
      <c r="B331" s="131" t="s">
        <v>193</v>
      </c>
      <c r="C331" s="131" t="s">
        <v>173</v>
      </c>
      <c r="D331" s="131">
        <v>0</v>
      </c>
      <c r="E331" s="131">
        <v>1</v>
      </c>
      <c r="F331" s="130">
        <f t="shared" si="25"/>
        <v>1.7972208097496729E-2</v>
      </c>
      <c r="G331" s="130">
        <f t="shared" si="26"/>
        <v>14.634948040113837</v>
      </c>
      <c r="H331" s="130">
        <f t="shared" si="27"/>
        <v>0.75919202299641775</v>
      </c>
      <c r="I331" s="130"/>
      <c r="J331" s="94">
        <v>12936</v>
      </c>
      <c r="K331" s="98">
        <v>894</v>
      </c>
      <c r="L331" s="96">
        <v>38356</v>
      </c>
      <c r="M331" s="96">
        <v>2269223</v>
      </c>
      <c r="N331" s="96">
        <v>719778</v>
      </c>
      <c r="O331" s="96">
        <v>546447</v>
      </c>
      <c r="P331" s="96">
        <v>1096046</v>
      </c>
      <c r="Q331" s="96">
        <v>626730</v>
      </c>
      <c r="R331" s="42">
        <f t="shared" si="24"/>
        <v>1722776</v>
      </c>
    </row>
    <row r="332" spans="1:18" ht="17">
      <c r="A332" s="131" t="s">
        <v>126</v>
      </c>
      <c r="B332" s="131" t="s">
        <v>193</v>
      </c>
      <c r="C332" s="131" t="s">
        <v>173</v>
      </c>
      <c r="D332" s="131">
        <v>0</v>
      </c>
      <c r="E332" s="131">
        <v>4</v>
      </c>
      <c r="F332" s="130">
        <f t="shared" si="25"/>
        <v>0</v>
      </c>
      <c r="G332" s="130">
        <f t="shared" si="26"/>
        <v>13.660918947608103</v>
      </c>
      <c r="H332" s="130">
        <f t="shared" si="27"/>
        <v>0.86124199751390407</v>
      </c>
      <c r="I332" s="130"/>
      <c r="J332" s="94"/>
      <c r="K332" s="98">
        <v>524</v>
      </c>
      <c r="L332" s="96">
        <v>95635</v>
      </c>
      <c r="M332" s="96">
        <v>856765</v>
      </c>
      <c r="N332" s="96">
        <v>385863</v>
      </c>
      <c r="O332" s="96">
        <f>M332-R332</f>
        <v>118883</v>
      </c>
      <c r="P332" s="96">
        <v>478007</v>
      </c>
      <c r="Q332" s="96">
        <v>259875</v>
      </c>
      <c r="R332" s="42">
        <f t="shared" si="24"/>
        <v>737882</v>
      </c>
    </row>
    <row r="333" spans="1:18" ht="17">
      <c r="A333" s="131" t="s">
        <v>145</v>
      </c>
      <c r="B333" s="131" t="s">
        <v>193</v>
      </c>
      <c r="C333" s="131" t="s">
        <v>173</v>
      </c>
      <c r="D333" s="131">
        <v>0</v>
      </c>
      <c r="E333" s="131">
        <v>9</v>
      </c>
      <c r="F333" s="130">
        <f t="shared" si="25"/>
        <v>-0.41838281342179545</v>
      </c>
      <c r="G333" s="130">
        <f t="shared" si="26"/>
        <v>12.851756031902989</v>
      </c>
      <c r="H333" s="130">
        <f t="shared" si="27"/>
        <v>0.98275563758002193</v>
      </c>
      <c r="I333" s="130"/>
      <c r="J333" s="94">
        <v>-46097</v>
      </c>
      <c r="K333" s="98">
        <v>413</v>
      </c>
      <c r="L333" s="96">
        <v>21489</v>
      </c>
      <c r="M333" s="96">
        <v>381458</v>
      </c>
      <c r="N333" s="96">
        <v>110179</v>
      </c>
      <c r="O333" s="96">
        <v>6578</v>
      </c>
      <c r="P333" s="96">
        <v>192361</v>
      </c>
      <c r="Q333" s="96">
        <v>182519</v>
      </c>
      <c r="R333" s="42">
        <f t="shared" si="24"/>
        <v>374880</v>
      </c>
    </row>
    <row r="334" spans="1:18">
      <c r="A334" s="131" t="s">
        <v>147</v>
      </c>
      <c r="B334" s="131" t="s">
        <v>193</v>
      </c>
      <c r="C334" s="131" t="s">
        <v>173</v>
      </c>
      <c r="D334" s="131">
        <v>0</v>
      </c>
      <c r="E334" s="131">
        <v>7</v>
      </c>
      <c r="F334" s="130">
        <f t="shared" si="25"/>
        <v>-0.13927598287271312</v>
      </c>
      <c r="G334" s="130">
        <f t="shared" si="26"/>
        <v>13.263258590429137</v>
      </c>
      <c r="H334" s="130">
        <f t="shared" si="27"/>
        <v>0.48530709525894117</v>
      </c>
      <c r="I334" s="130"/>
      <c r="J334" s="75">
        <v>-17890</v>
      </c>
      <c r="K334" s="12">
        <v>432</v>
      </c>
      <c r="L334" s="42">
        <v>54678</v>
      </c>
      <c r="M334" s="42">
        <v>575652</v>
      </c>
      <c r="N334" s="42">
        <v>128450</v>
      </c>
      <c r="O334" s="42">
        <f>M334-R334</f>
        <v>296284</v>
      </c>
      <c r="P334" s="42">
        <v>102567</v>
      </c>
      <c r="Q334" s="42">
        <v>176801</v>
      </c>
      <c r="R334" s="42">
        <f t="shared" si="24"/>
        <v>279368</v>
      </c>
    </row>
    <row r="335" spans="1:18">
      <c r="A335" s="134" t="s">
        <v>18</v>
      </c>
      <c r="B335" s="134" t="s">
        <v>200</v>
      </c>
      <c r="C335" s="134" t="s">
        <v>173</v>
      </c>
      <c r="D335" s="134">
        <v>0</v>
      </c>
      <c r="E335" s="15">
        <v>14</v>
      </c>
      <c r="F335" s="130">
        <f t="shared" si="25"/>
        <v>0.247571160729504</v>
      </c>
      <c r="G335" s="130">
        <f t="shared" si="26"/>
        <v>10.388564506279341</v>
      </c>
      <c r="H335" s="130">
        <f t="shared" si="27"/>
        <v>0.92427507233885364</v>
      </c>
      <c r="I335" s="130"/>
      <c r="J335" s="69">
        <v>8715</v>
      </c>
      <c r="L335" s="32">
        <v>12735</v>
      </c>
      <c r="M335" s="32">
        <v>32486</v>
      </c>
      <c r="N335" s="32">
        <v>35202</v>
      </c>
      <c r="O335" s="32">
        <v>2460</v>
      </c>
      <c r="P335" s="32"/>
      <c r="Q335" s="32"/>
      <c r="R335" s="32">
        <v>30026</v>
      </c>
    </row>
    <row r="336" spans="1:18">
      <c r="A336" s="134" t="s">
        <v>22</v>
      </c>
      <c r="B336" s="134" t="s">
        <v>200</v>
      </c>
      <c r="C336" s="134" t="s">
        <v>173</v>
      </c>
      <c r="D336" s="134">
        <v>1</v>
      </c>
      <c r="E336" s="15">
        <v>3</v>
      </c>
      <c r="F336" s="130">
        <f t="shared" si="25"/>
        <v>-2.1689709566669758E-3</v>
      </c>
      <c r="G336" s="130">
        <f t="shared" si="26"/>
        <v>12.675488602130162</v>
      </c>
      <c r="H336" s="130">
        <f t="shared" si="27"/>
        <v>0.99617587832851795</v>
      </c>
      <c r="I336" s="130"/>
      <c r="J336" s="69">
        <v>-187</v>
      </c>
      <c r="L336" s="32"/>
      <c r="M336" s="32">
        <v>319812</v>
      </c>
      <c r="N336" s="32">
        <v>86216</v>
      </c>
      <c r="O336" s="32">
        <v>1223</v>
      </c>
      <c r="P336" s="32"/>
      <c r="Q336" s="32"/>
      <c r="R336" s="32">
        <v>318589</v>
      </c>
    </row>
    <row r="337" spans="1:18">
      <c r="A337" s="134" t="s">
        <v>23</v>
      </c>
      <c r="B337" s="134" t="s">
        <v>200</v>
      </c>
      <c r="C337" s="134" t="s">
        <v>173</v>
      </c>
      <c r="D337" s="134">
        <v>0</v>
      </c>
      <c r="E337" s="15">
        <v>18</v>
      </c>
      <c r="F337" s="130">
        <f t="shared" si="25"/>
        <v>-9.4155439553592443E-2</v>
      </c>
      <c r="G337" s="130">
        <f t="shared" si="26"/>
        <v>11.129437089665434</v>
      </c>
      <c r="H337" s="130">
        <f t="shared" si="27"/>
        <v>0.75795327815930036</v>
      </c>
      <c r="I337" s="130"/>
      <c r="J337" s="69">
        <v>-6800</v>
      </c>
      <c r="L337" s="32"/>
      <c r="M337" s="32">
        <v>68148</v>
      </c>
      <c r="N337" s="32">
        <v>72221</v>
      </c>
      <c r="O337" s="32">
        <v>16495</v>
      </c>
      <c r="P337" s="32"/>
      <c r="Q337" s="32"/>
      <c r="R337" s="32">
        <v>51653</v>
      </c>
    </row>
    <row r="338" spans="1:18">
      <c r="A338" s="134" t="s">
        <v>45</v>
      </c>
      <c r="B338" s="134" t="s">
        <v>200</v>
      </c>
      <c r="C338" s="134" t="s">
        <v>173</v>
      </c>
      <c r="D338" s="134">
        <v>0</v>
      </c>
      <c r="E338" s="15">
        <v>17</v>
      </c>
      <c r="F338" s="130">
        <f t="shared" si="25"/>
        <v>4.9157303370786515E-3</v>
      </c>
      <c r="G338" s="130">
        <f t="shared" si="26"/>
        <v>9.406482647787449</v>
      </c>
      <c r="H338" s="130">
        <f t="shared" si="27"/>
        <v>0.91896112435275745</v>
      </c>
      <c r="I338" s="130"/>
      <c r="J338" s="69">
        <v>126</v>
      </c>
      <c r="L338" s="32"/>
      <c r="M338" s="32">
        <v>12167</v>
      </c>
      <c r="N338" s="32">
        <v>25632</v>
      </c>
      <c r="O338" s="32">
        <v>986</v>
      </c>
      <c r="P338" s="32"/>
      <c r="Q338" s="32"/>
      <c r="R338" s="32">
        <v>11181</v>
      </c>
    </row>
    <row r="339" spans="1:18">
      <c r="A339" s="134" t="s">
        <v>96</v>
      </c>
      <c r="B339" s="134" t="s">
        <v>200</v>
      </c>
      <c r="C339" s="134" t="s">
        <v>173</v>
      </c>
      <c r="D339" s="134">
        <v>0</v>
      </c>
      <c r="E339" s="15">
        <v>19</v>
      </c>
      <c r="F339" s="130">
        <f t="shared" si="25"/>
        <v>-0.35645872538830997</v>
      </c>
      <c r="G339" s="130">
        <f t="shared" si="26"/>
        <v>10.94787242191776</v>
      </c>
      <c r="H339" s="130">
        <f t="shared" si="27"/>
        <v>0.6677810427040628</v>
      </c>
      <c r="I339" s="130"/>
      <c r="J339" s="69">
        <v>-12691</v>
      </c>
      <c r="L339" s="32"/>
      <c r="M339" s="32">
        <v>56833</v>
      </c>
      <c r="N339" s="32">
        <v>35603</v>
      </c>
      <c r="O339" s="32">
        <v>18881</v>
      </c>
      <c r="P339" s="32"/>
      <c r="Q339" s="32"/>
      <c r="R339" s="32">
        <v>37952</v>
      </c>
    </row>
    <row r="340" spans="1:18">
      <c r="A340" s="134" t="s">
        <v>100</v>
      </c>
      <c r="B340" s="134" t="s">
        <v>200</v>
      </c>
      <c r="C340" s="134" t="s">
        <v>173</v>
      </c>
      <c r="D340" s="134">
        <v>0</v>
      </c>
      <c r="E340" s="15">
        <v>9</v>
      </c>
      <c r="F340" s="130">
        <f t="shared" si="25"/>
        <v>2.328830926874709E-3</v>
      </c>
      <c r="G340" s="130">
        <f t="shared" si="26"/>
        <v>11.093006399891914</v>
      </c>
      <c r="H340" s="130">
        <f t="shared" si="27"/>
        <v>0.99319738243798505</v>
      </c>
      <c r="I340" s="130"/>
      <c r="J340" s="69">
        <v>120</v>
      </c>
      <c r="L340" s="32"/>
      <c r="M340" s="32">
        <v>65710</v>
      </c>
      <c r="N340" s="32">
        <v>51528</v>
      </c>
      <c r="O340" s="32">
        <v>447</v>
      </c>
      <c r="P340" s="32"/>
      <c r="Q340" s="32"/>
      <c r="R340" s="32">
        <v>65263</v>
      </c>
    </row>
    <row r="341" spans="1:18" ht="17">
      <c r="A341" s="134" t="s">
        <v>68</v>
      </c>
      <c r="B341" s="134" t="s">
        <v>200</v>
      </c>
      <c r="C341" s="134" t="s">
        <v>173</v>
      </c>
      <c r="D341" s="134">
        <v>0</v>
      </c>
      <c r="E341" s="15">
        <v>20</v>
      </c>
      <c r="F341" s="130">
        <f t="shared" si="25"/>
        <v>-9.5106321002039029E-2</v>
      </c>
      <c r="G341" s="130">
        <f t="shared" si="26"/>
        <v>12.650687951484962</v>
      </c>
      <c r="H341" s="130">
        <f t="shared" si="27"/>
        <v>0.85520132829879025</v>
      </c>
      <c r="I341" s="130"/>
      <c r="J341" s="72">
        <v>-1959</v>
      </c>
      <c r="K341" s="24" t="s">
        <v>197</v>
      </c>
      <c r="L341" s="38">
        <v>3779</v>
      </c>
      <c r="M341" s="38">
        <v>311978</v>
      </c>
      <c r="N341" s="38">
        <v>20598</v>
      </c>
      <c r="O341" s="38">
        <v>45174</v>
      </c>
      <c r="P341" s="38">
        <v>121871</v>
      </c>
      <c r="Q341" s="38">
        <v>144933</v>
      </c>
      <c r="R341" s="32">
        <v>266804</v>
      </c>
    </row>
    <row r="342" spans="1:18" ht="17">
      <c r="A342" s="134" t="s">
        <v>89</v>
      </c>
      <c r="B342" s="134" t="s">
        <v>200</v>
      </c>
      <c r="C342" s="134" t="s">
        <v>173</v>
      </c>
      <c r="D342" s="134">
        <v>0</v>
      </c>
      <c r="E342" s="15">
        <v>10</v>
      </c>
      <c r="F342" s="130">
        <f t="shared" si="25"/>
        <v>0.13332081324060388</v>
      </c>
      <c r="G342" s="130">
        <f t="shared" si="26"/>
        <v>12.00928495698491</v>
      </c>
      <c r="H342" s="130">
        <f t="shared" si="27"/>
        <v>1.3727758061276047</v>
      </c>
      <c r="I342" s="130"/>
      <c r="J342" s="72">
        <v>22007</v>
      </c>
      <c r="K342" s="24">
        <v>164</v>
      </c>
      <c r="L342" s="38">
        <v>15975</v>
      </c>
      <c r="M342" s="38">
        <v>164273</v>
      </c>
      <c r="N342" s="38">
        <v>165068</v>
      </c>
      <c r="O342" s="38">
        <v>-61237</v>
      </c>
      <c r="P342" s="38">
        <v>54015</v>
      </c>
      <c r="Q342" s="38">
        <v>171494</v>
      </c>
      <c r="R342" s="32">
        <v>225510</v>
      </c>
    </row>
    <row r="343" spans="1:18">
      <c r="A343" s="134" t="s">
        <v>91</v>
      </c>
      <c r="B343" s="134" t="s">
        <v>200</v>
      </c>
      <c r="C343" s="134" t="s">
        <v>173</v>
      </c>
      <c r="D343" s="134">
        <v>0</v>
      </c>
      <c r="E343" s="15">
        <v>16</v>
      </c>
      <c r="F343" s="130">
        <f t="shared" si="25"/>
        <v>-8.4593854216293479E-2</v>
      </c>
      <c r="G343" s="130">
        <f t="shared" si="26"/>
        <v>10.742875641568942</v>
      </c>
      <c r="H343" s="130">
        <f t="shared" si="27"/>
        <v>0.8553964448476209</v>
      </c>
      <c r="I343" s="130"/>
      <c r="J343" s="78">
        <v>-2841</v>
      </c>
      <c r="K343" s="16"/>
      <c r="L343" s="32"/>
      <c r="M343" s="32">
        <v>46299</v>
      </c>
      <c r="N343" s="32">
        <v>33584</v>
      </c>
      <c r="O343" s="32">
        <v>6695</v>
      </c>
      <c r="P343" s="32"/>
      <c r="Q343" s="32"/>
      <c r="R343" s="32">
        <v>39604</v>
      </c>
    </row>
    <row r="344" spans="1:18">
      <c r="A344" s="134" t="s">
        <v>98</v>
      </c>
      <c r="B344" s="134" t="s">
        <v>200</v>
      </c>
      <c r="C344" s="134" t="s">
        <v>173</v>
      </c>
      <c r="D344" s="134">
        <v>0</v>
      </c>
      <c r="E344" s="15">
        <v>13</v>
      </c>
      <c r="F344" s="130">
        <f t="shared" si="25"/>
        <v>7.8931673797484767E-2</v>
      </c>
      <c r="G344" s="130">
        <f t="shared" si="26"/>
        <v>10.887324777062158</v>
      </c>
      <c r="H344" s="130">
        <f t="shared" si="27"/>
        <v>0.73526002916214905</v>
      </c>
      <c r="I344" s="130"/>
      <c r="J344" s="78">
        <v>3044</v>
      </c>
      <c r="K344" s="16"/>
      <c r="L344" s="32"/>
      <c r="M344" s="32">
        <v>53494</v>
      </c>
      <c r="N344" s="32">
        <v>38565</v>
      </c>
      <c r="O344" s="32">
        <v>14162</v>
      </c>
      <c r="P344" s="32"/>
      <c r="Q344" s="32"/>
      <c r="R344" s="32">
        <v>39332</v>
      </c>
    </row>
    <row r="345" spans="1:18" ht="17">
      <c r="A345" s="134" t="s">
        <v>105</v>
      </c>
      <c r="B345" s="134" t="s">
        <v>200</v>
      </c>
      <c r="C345" s="134" t="s">
        <v>173</v>
      </c>
      <c r="D345" s="134">
        <v>0</v>
      </c>
      <c r="E345" s="15">
        <v>5</v>
      </c>
      <c r="F345" s="130">
        <f t="shared" si="25"/>
        <v>-0.76042277583700946</v>
      </c>
      <c r="G345" s="130">
        <f t="shared" si="26"/>
        <v>11.121156139991051</v>
      </c>
      <c r="H345" s="130">
        <f t="shared" si="27"/>
        <v>0.79121415677803097</v>
      </c>
      <c r="I345" s="130"/>
      <c r="J345" s="72">
        <v>-59643</v>
      </c>
      <c r="K345" s="24" t="s">
        <v>197</v>
      </c>
      <c r="L345" s="38" t="s">
        <v>197</v>
      </c>
      <c r="M345" s="38">
        <v>67586</v>
      </c>
      <c r="N345" s="38">
        <v>78434</v>
      </c>
      <c r="O345" s="38">
        <v>14111</v>
      </c>
      <c r="P345" s="38" t="s">
        <v>197</v>
      </c>
      <c r="Q345" s="38" t="s">
        <v>197</v>
      </c>
      <c r="R345" s="32">
        <v>53475</v>
      </c>
    </row>
    <row r="346" spans="1:18" ht="17">
      <c r="A346" s="134" t="s">
        <v>106</v>
      </c>
      <c r="B346" s="134" t="s">
        <v>200</v>
      </c>
      <c r="C346" s="134" t="s">
        <v>173</v>
      </c>
      <c r="D346" s="134">
        <v>1</v>
      </c>
      <c r="E346" s="15">
        <v>2</v>
      </c>
      <c r="F346" s="130">
        <f t="shared" si="25"/>
        <v>-0.13049939170444835</v>
      </c>
      <c r="G346" s="130">
        <f t="shared" si="26"/>
        <v>12.407587984180815</v>
      </c>
      <c r="H346" s="130">
        <f t="shared" si="27"/>
        <v>0.89928919154223774</v>
      </c>
      <c r="I346" s="130"/>
      <c r="J346" s="72">
        <v>-31000</v>
      </c>
      <c r="K346" s="24" t="s">
        <v>197</v>
      </c>
      <c r="L346" s="38" t="s">
        <v>197</v>
      </c>
      <c r="M346" s="38">
        <v>244651</v>
      </c>
      <c r="N346" s="38">
        <v>237549</v>
      </c>
      <c r="O346" s="38">
        <v>24639</v>
      </c>
      <c r="P346" s="38" t="s">
        <v>197</v>
      </c>
      <c r="Q346" s="38" t="s">
        <v>197</v>
      </c>
      <c r="R346" s="32">
        <v>220012</v>
      </c>
    </row>
    <row r="347" spans="1:18" ht="17">
      <c r="A347" s="134" t="s">
        <v>107</v>
      </c>
      <c r="B347" s="134" t="s">
        <v>200</v>
      </c>
      <c r="C347" s="134" t="s">
        <v>173</v>
      </c>
      <c r="D347" s="134">
        <v>0</v>
      </c>
      <c r="E347" s="15">
        <v>8</v>
      </c>
      <c r="F347" s="130">
        <f t="shared" si="25"/>
        <v>-0.24097148780666575</v>
      </c>
      <c r="G347" s="130">
        <f t="shared" si="26"/>
        <v>13.21605952809143</v>
      </c>
      <c r="H347" s="130">
        <f t="shared" si="27"/>
        <v>0.99590976720638558</v>
      </c>
      <c r="I347" s="130"/>
      <c r="J347" s="72">
        <v>-46027</v>
      </c>
      <c r="K347" s="24" t="s">
        <v>197</v>
      </c>
      <c r="L347" s="38">
        <v>30132</v>
      </c>
      <c r="M347" s="38">
        <v>549113</v>
      </c>
      <c r="N347" s="38">
        <v>191006</v>
      </c>
      <c r="O347" s="38">
        <v>2246</v>
      </c>
      <c r="P347" s="38">
        <v>394875</v>
      </c>
      <c r="Q347" s="38">
        <v>151991</v>
      </c>
      <c r="R347" s="32">
        <v>546867</v>
      </c>
    </row>
    <row r="348" spans="1:18" ht="17">
      <c r="A348" s="134" t="s">
        <v>111</v>
      </c>
      <c r="B348" s="134" t="s">
        <v>200</v>
      </c>
      <c r="C348" s="134" t="s">
        <v>173</v>
      </c>
      <c r="D348" s="134">
        <v>1</v>
      </c>
      <c r="E348" s="15">
        <v>1</v>
      </c>
      <c r="F348" s="130">
        <f t="shared" si="25"/>
        <v>-0.53825326754438363</v>
      </c>
      <c r="G348" s="130">
        <f t="shared" si="26"/>
        <v>13.838715234858867</v>
      </c>
      <c r="H348" s="130">
        <f t="shared" si="27"/>
        <v>0.85158030085707925</v>
      </c>
      <c r="I348" s="130"/>
      <c r="J348" s="72">
        <v>-360423</v>
      </c>
      <c r="K348" s="24" t="s">
        <v>197</v>
      </c>
      <c r="L348" s="38" t="s">
        <v>197</v>
      </c>
      <c r="M348" s="38">
        <v>1023476</v>
      </c>
      <c r="N348" s="38">
        <v>669616</v>
      </c>
      <c r="O348" s="38">
        <v>151904</v>
      </c>
      <c r="P348" s="38" t="s">
        <v>197</v>
      </c>
      <c r="Q348" s="38" t="s">
        <v>197</v>
      </c>
      <c r="R348" s="32">
        <v>871572</v>
      </c>
    </row>
    <row r="349" spans="1:18">
      <c r="A349" s="134" t="s">
        <v>115</v>
      </c>
      <c r="B349" s="134" t="s">
        <v>200</v>
      </c>
      <c r="C349" s="134" t="s">
        <v>173</v>
      </c>
      <c r="D349" s="134">
        <v>0</v>
      </c>
      <c r="E349" s="15">
        <v>7</v>
      </c>
      <c r="F349" s="130">
        <f t="shared" si="25"/>
        <v>3.4546680148297947E-2</v>
      </c>
      <c r="G349" s="130">
        <f t="shared" si="26"/>
        <v>11.93165553647575</v>
      </c>
      <c r="H349" s="130">
        <f t="shared" si="27"/>
        <v>0.74924837009795864</v>
      </c>
      <c r="I349" s="130"/>
      <c r="J349" s="78">
        <v>1640</v>
      </c>
      <c r="K349" s="16"/>
      <c r="L349" s="32"/>
      <c r="M349" s="32">
        <v>152003</v>
      </c>
      <c r="N349" s="32">
        <v>47472</v>
      </c>
      <c r="O349" s="32">
        <v>38115</v>
      </c>
      <c r="P349" s="32"/>
      <c r="Q349" s="32"/>
      <c r="R349" s="32">
        <v>113888</v>
      </c>
    </row>
    <row r="350" spans="1:18">
      <c r="A350" s="134" t="s">
        <v>116</v>
      </c>
      <c r="B350" s="134" t="s">
        <v>200</v>
      </c>
      <c r="C350" s="134" t="s">
        <v>173</v>
      </c>
      <c r="D350" s="134">
        <v>0</v>
      </c>
      <c r="E350" s="15">
        <v>6</v>
      </c>
      <c r="F350" s="130">
        <f t="shared" si="25"/>
        <v>3.6574331848552341E-2</v>
      </c>
      <c r="G350" s="130">
        <f t="shared" si="26"/>
        <v>10.827567866685113</v>
      </c>
      <c r="H350" s="130">
        <f t="shared" si="27"/>
        <v>0.80030164116608127</v>
      </c>
      <c r="I350" s="130"/>
      <c r="J350" s="78">
        <v>2102</v>
      </c>
      <c r="K350" s="16"/>
      <c r="L350" s="32"/>
      <c r="M350" s="32">
        <v>50391</v>
      </c>
      <c r="N350" s="32">
        <v>57472</v>
      </c>
      <c r="O350" s="32">
        <v>10063</v>
      </c>
      <c r="P350" s="32"/>
      <c r="Q350" s="32"/>
      <c r="R350" s="32">
        <v>40328</v>
      </c>
    </row>
    <row r="351" spans="1:18">
      <c r="A351" s="134" t="s">
        <v>133</v>
      </c>
      <c r="B351" s="134" t="s">
        <v>200</v>
      </c>
      <c r="C351" s="134" t="s">
        <v>173</v>
      </c>
      <c r="D351" s="134">
        <v>0</v>
      </c>
      <c r="E351" s="15">
        <v>11</v>
      </c>
      <c r="F351" s="130">
        <f t="shared" si="25"/>
        <v>0.27530318741265047</v>
      </c>
      <c r="G351" s="130">
        <f t="shared" si="26"/>
        <v>10.753510268558554</v>
      </c>
      <c r="H351" s="130">
        <f t="shared" si="27"/>
        <v>0.76176432876009748</v>
      </c>
      <c r="I351" s="130"/>
      <c r="J351" s="78">
        <v>12213</v>
      </c>
      <c r="K351" s="16"/>
      <c r="L351" s="32"/>
      <c r="M351" s="32">
        <v>46794</v>
      </c>
      <c r="N351" s="32">
        <v>44362</v>
      </c>
      <c r="O351" s="32">
        <v>11148</v>
      </c>
      <c r="P351" s="32"/>
      <c r="Q351" s="32"/>
      <c r="R351" s="32">
        <v>35646</v>
      </c>
    </row>
    <row r="352" spans="1:18">
      <c r="A352" s="134" t="s">
        <v>134</v>
      </c>
      <c r="B352" s="134" t="s">
        <v>200</v>
      </c>
      <c r="C352" s="134" t="s">
        <v>173</v>
      </c>
      <c r="D352" s="134">
        <v>0</v>
      </c>
      <c r="E352" s="15">
        <v>12</v>
      </c>
      <c r="F352" s="130">
        <f t="shared" si="25"/>
        <v>3.108523725834798E-2</v>
      </c>
      <c r="G352" s="130">
        <f t="shared" si="26"/>
        <v>11.121156139991051</v>
      </c>
      <c r="H352" s="130">
        <f t="shared" si="27"/>
        <v>0.79121415677803097</v>
      </c>
      <c r="I352" s="130"/>
      <c r="J352" s="78">
        <v>1132</v>
      </c>
      <c r="K352" s="15"/>
      <c r="L352" s="32"/>
      <c r="M352" s="32">
        <v>67586</v>
      </c>
      <c r="N352" s="32">
        <v>36416</v>
      </c>
      <c r="O352" s="32">
        <v>14111</v>
      </c>
      <c r="P352" s="32"/>
      <c r="Q352" s="32"/>
      <c r="R352" s="32">
        <v>53475</v>
      </c>
    </row>
    <row r="353" spans="1:18" ht="17">
      <c r="A353" s="134" t="s">
        <v>135</v>
      </c>
      <c r="B353" s="134" t="s">
        <v>200</v>
      </c>
      <c r="C353" s="134" t="s">
        <v>173</v>
      </c>
      <c r="D353" s="134">
        <v>0</v>
      </c>
      <c r="E353" s="15">
        <v>4</v>
      </c>
      <c r="F353" s="130">
        <f t="shared" si="25"/>
        <v>-0.14623279878318982</v>
      </c>
      <c r="G353" s="130">
        <f t="shared" si="26"/>
        <v>12.301369188877887</v>
      </c>
      <c r="H353" s="130">
        <f t="shared" si="27"/>
        <v>0.78349250217048416</v>
      </c>
      <c r="I353" s="130"/>
      <c r="J353" s="72">
        <v>-12210</v>
      </c>
      <c r="K353" s="24" t="s">
        <v>197</v>
      </c>
      <c r="L353" s="38" t="s">
        <v>197</v>
      </c>
      <c r="M353" s="38">
        <v>219997</v>
      </c>
      <c r="N353" s="38">
        <v>83497</v>
      </c>
      <c r="O353" s="38">
        <v>47631</v>
      </c>
      <c r="P353" s="38" t="s">
        <v>197</v>
      </c>
      <c r="Q353" s="38" t="s">
        <v>197</v>
      </c>
      <c r="R353" s="32">
        <v>172366</v>
      </c>
    </row>
    <row r="354" spans="1:18">
      <c r="A354" s="134" t="s">
        <v>143</v>
      </c>
      <c r="B354" s="134" t="s">
        <v>200</v>
      </c>
      <c r="C354" s="134" t="s">
        <v>173</v>
      </c>
      <c r="D354" s="134">
        <v>0</v>
      </c>
      <c r="E354" s="15">
        <v>15</v>
      </c>
      <c r="F354" s="130">
        <f t="shared" si="25"/>
        <v>-1.182257389584205</v>
      </c>
      <c r="G354" s="130">
        <f t="shared" si="26"/>
        <v>10.746648295413559</v>
      </c>
      <c r="H354" s="130">
        <f t="shared" si="27"/>
        <v>0.4374919309721565</v>
      </c>
      <c r="I354" s="130"/>
      <c r="J354" s="69">
        <v>-31078</v>
      </c>
      <c r="K354" s="14"/>
      <c r="L354" s="46"/>
      <c r="M354" s="47">
        <v>46474</v>
      </c>
      <c r="N354" s="32">
        <v>26287</v>
      </c>
      <c r="O354" s="32">
        <v>26142</v>
      </c>
      <c r="P354" s="32"/>
      <c r="Q354" s="32"/>
      <c r="R354" s="32">
        <v>20332</v>
      </c>
    </row>
    <row r="355" spans="1:18">
      <c r="A355" s="130" t="s">
        <v>21</v>
      </c>
      <c r="B355" s="130" t="s">
        <v>172</v>
      </c>
      <c r="C355" s="130" t="s">
        <v>173</v>
      </c>
      <c r="D355" s="130">
        <v>0</v>
      </c>
      <c r="E355" s="130">
        <v>5</v>
      </c>
      <c r="F355" s="130">
        <f t="shared" si="25"/>
        <v>-0.12229511272604128</v>
      </c>
      <c r="G355" s="130">
        <f t="shared" si="26"/>
        <v>13.794257299010576</v>
      </c>
      <c r="H355" s="130">
        <f t="shared" si="27"/>
        <v>0.7691800880720675</v>
      </c>
      <c r="I355" s="130"/>
      <c r="J355" s="71">
        <v>-53447</v>
      </c>
      <c r="K355" s="27">
        <v>649</v>
      </c>
      <c r="L355" s="34">
        <v>0</v>
      </c>
      <c r="M355" s="34">
        <v>978971</v>
      </c>
      <c r="N355" s="34">
        <v>437033</v>
      </c>
      <c r="O355" s="34">
        <v>225966</v>
      </c>
      <c r="P355" s="34">
        <v>433857</v>
      </c>
      <c r="Q355" s="34">
        <v>319148</v>
      </c>
      <c r="R355" s="34">
        <f t="shared" ref="R355:R393" si="28">P355+Q355</f>
        <v>753005</v>
      </c>
    </row>
    <row r="356" spans="1:18">
      <c r="A356" s="130" t="s">
        <v>24</v>
      </c>
      <c r="B356" s="130" t="s">
        <v>172</v>
      </c>
      <c r="C356" s="130" t="s">
        <v>173</v>
      </c>
      <c r="D356" s="130">
        <v>0</v>
      </c>
      <c r="E356" s="130">
        <v>14</v>
      </c>
      <c r="F356" s="130">
        <f t="shared" si="25"/>
        <v>3.9528526437235603E-2</v>
      </c>
      <c r="G356" s="130">
        <f t="shared" si="26"/>
        <v>12.605184279666164</v>
      </c>
      <c r="H356" s="130">
        <f t="shared" si="27"/>
        <v>1.0877859778597787</v>
      </c>
      <c r="I356" s="130"/>
      <c r="J356" s="71">
        <v>7606</v>
      </c>
      <c r="K356" s="27">
        <v>642</v>
      </c>
      <c r="L356" s="34">
        <v>275311</v>
      </c>
      <c r="M356" s="34">
        <v>298100</v>
      </c>
      <c r="N356" s="34">
        <v>192418</v>
      </c>
      <c r="O356" s="34">
        <v>-26169</v>
      </c>
      <c r="P356" s="34">
        <v>0</v>
      </c>
      <c r="Q356" s="34">
        <v>324269</v>
      </c>
      <c r="R356" s="34">
        <f t="shared" si="28"/>
        <v>324269</v>
      </c>
    </row>
    <row r="357" spans="1:18">
      <c r="A357" s="130" t="s">
        <v>34</v>
      </c>
      <c r="B357" s="130" t="s">
        <v>172</v>
      </c>
      <c r="C357" s="130" t="s">
        <v>173</v>
      </c>
      <c r="D357" s="130">
        <v>0</v>
      </c>
      <c r="E357" s="130">
        <v>13</v>
      </c>
      <c r="F357" s="130">
        <f t="shared" si="25"/>
        <v>0.18214690090945615</v>
      </c>
      <c r="G357" s="130">
        <f t="shared" si="26"/>
        <v>12.236616399440733</v>
      </c>
      <c r="H357" s="130">
        <f t="shared" si="27"/>
        <v>0.732671202649816</v>
      </c>
      <c r="I357" s="130"/>
      <c r="J357" s="71">
        <v>29922</v>
      </c>
      <c r="K357" s="27">
        <v>190</v>
      </c>
      <c r="L357" s="34">
        <v>27324</v>
      </c>
      <c r="M357" s="34">
        <v>206203</v>
      </c>
      <c r="N357" s="34">
        <v>164274</v>
      </c>
      <c r="O357" s="34">
        <v>55124</v>
      </c>
      <c r="P357" s="34">
        <v>72809</v>
      </c>
      <c r="Q357" s="34">
        <v>78270</v>
      </c>
      <c r="R357" s="34">
        <f t="shared" si="28"/>
        <v>151079</v>
      </c>
    </row>
    <row r="358" spans="1:18">
      <c r="A358" s="130" t="s">
        <v>36</v>
      </c>
      <c r="B358" s="130" t="s">
        <v>172</v>
      </c>
      <c r="C358" s="130" t="s">
        <v>173</v>
      </c>
      <c r="D358" s="130">
        <v>0</v>
      </c>
      <c r="E358" s="130">
        <v>9</v>
      </c>
      <c r="F358" s="130">
        <f t="shared" si="25"/>
        <v>0.16362341561382476</v>
      </c>
      <c r="G358" s="130">
        <f t="shared" si="26"/>
        <v>12.501763809412871</v>
      </c>
      <c r="H358" s="130">
        <f t="shared" si="27"/>
        <v>1.9162087860987831</v>
      </c>
      <c r="I358" s="130"/>
      <c r="J358" s="71">
        <v>31937</v>
      </c>
      <c r="K358" s="27">
        <v>828</v>
      </c>
      <c r="L358" s="34">
        <v>395201</v>
      </c>
      <c r="M358" s="34">
        <v>268811</v>
      </c>
      <c r="N358" s="34">
        <v>195186</v>
      </c>
      <c r="O358" s="34">
        <v>-246287</v>
      </c>
      <c r="P358" s="34">
        <v>12695</v>
      </c>
      <c r="Q358" s="34">
        <v>502403</v>
      </c>
      <c r="R358" s="34">
        <f t="shared" si="28"/>
        <v>515098</v>
      </c>
    </row>
    <row r="359" spans="1:18">
      <c r="A359" s="130" t="s">
        <v>37</v>
      </c>
      <c r="B359" s="130" t="s">
        <v>172</v>
      </c>
      <c r="C359" s="130" t="s">
        <v>173</v>
      </c>
      <c r="D359" s="130">
        <v>0</v>
      </c>
      <c r="E359" s="130">
        <v>18</v>
      </c>
      <c r="F359" s="130">
        <f t="shared" si="25"/>
        <v>0.25295083301676885</v>
      </c>
      <c r="G359" s="130">
        <f t="shared" si="26"/>
        <v>12.524962645106148</v>
      </c>
      <c r="H359" s="130">
        <f t="shared" si="27"/>
        <v>0.52979063681302707</v>
      </c>
      <c r="I359" s="130"/>
      <c r="J359" s="71">
        <v>37289</v>
      </c>
      <c r="K359" s="27">
        <v>273</v>
      </c>
      <c r="L359" s="34">
        <v>20059</v>
      </c>
      <c r="M359" s="34">
        <v>275120</v>
      </c>
      <c r="N359" s="34">
        <v>147416</v>
      </c>
      <c r="O359" s="34">
        <v>129364</v>
      </c>
      <c r="P359" s="34">
        <v>38369</v>
      </c>
      <c r="Q359" s="34">
        <v>107387</v>
      </c>
      <c r="R359" s="34">
        <f t="shared" si="28"/>
        <v>145756</v>
      </c>
    </row>
    <row r="360" spans="1:18">
      <c r="A360" s="130" t="s">
        <v>44</v>
      </c>
      <c r="B360" s="130" t="s">
        <v>172</v>
      </c>
      <c r="C360" s="130" t="s">
        <v>173</v>
      </c>
      <c r="D360" s="130">
        <v>1</v>
      </c>
      <c r="E360" s="130">
        <v>3</v>
      </c>
      <c r="F360" s="130">
        <f t="shared" si="25"/>
        <v>-0.25200065589431547</v>
      </c>
      <c r="G360" s="130">
        <f t="shared" si="26"/>
        <v>13.834276373446992</v>
      </c>
      <c r="H360" s="130">
        <f t="shared" si="27"/>
        <v>0.49564499682514135</v>
      </c>
      <c r="I360" s="130"/>
      <c r="J360" s="71">
        <v>-141389</v>
      </c>
      <c r="K360" s="27">
        <v>788</v>
      </c>
      <c r="L360" s="34">
        <v>0</v>
      </c>
      <c r="M360" s="34">
        <v>1018943</v>
      </c>
      <c r="N360" s="34">
        <v>561066</v>
      </c>
      <c r="O360" s="34">
        <v>513909</v>
      </c>
      <c r="P360" s="34">
        <v>93836</v>
      </c>
      <c r="Q360" s="34">
        <v>411198</v>
      </c>
      <c r="R360" s="34">
        <f t="shared" si="28"/>
        <v>505034</v>
      </c>
    </row>
    <row r="361" spans="1:18">
      <c r="A361" s="130" t="s">
        <v>47</v>
      </c>
      <c r="B361" s="130" t="s">
        <v>172</v>
      </c>
      <c r="C361" s="130" t="s">
        <v>173</v>
      </c>
      <c r="D361" s="130">
        <v>0</v>
      </c>
      <c r="E361" s="130">
        <v>12</v>
      </c>
      <c r="F361" s="130">
        <f t="shared" si="25"/>
        <v>-0.17144482153013457</v>
      </c>
      <c r="G361" s="130">
        <f t="shared" si="26"/>
        <v>12.071008650498905</v>
      </c>
      <c r="H361" s="130">
        <f t="shared" si="27"/>
        <v>0.89993246800814963</v>
      </c>
      <c r="I361" s="130"/>
      <c r="J361" s="71">
        <v>-27431</v>
      </c>
      <c r="K361" s="27">
        <v>295</v>
      </c>
      <c r="L361" s="34">
        <v>30000</v>
      </c>
      <c r="M361" s="34">
        <v>174732</v>
      </c>
      <c r="N361" s="34">
        <v>159999</v>
      </c>
      <c r="O361" s="34">
        <v>-6770</v>
      </c>
      <c r="P361" s="34">
        <v>63286</v>
      </c>
      <c r="Q361" s="34">
        <v>93961</v>
      </c>
      <c r="R361" s="34">
        <f t="shared" si="28"/>
        <v>157247</v>
      </c>
    </row>
    <row r="362" spans="1:18">
      <c r="A362" s="130" t="s">
        <v>57</v>
      </c>
      <c r="B362" s="130" t="s">
        <v>172</v>
      </c>
      <c r="C362" s="130" t="s">
        <v>173</v>
      </c>
      <c r="D362" s="130">
        <v>0</v>
      </c>
      <c r="E362" s="130">
        <v>16</v>
      </c>
      <c r="F362" s="130">
        <f t="shared" si="25"/>
        <v>-0.24712935099400515</v>
      </c>
      <c r="G362" s="130">
        <f t="shared" si="26"/>
        <v>13.352253717865493</v>
      </c>
      <c r="H362" s="130">
        <f t="shared" si="27"/>
        <v>0.56578903455169882</v>
      </c>
      <c r="I362" s="130"/>
      <c r="J362" s="71">
        <v>-52148</v>
      </c>
      <c r="K362" s="27">
        <v>442</v>
      </c>
      <c r="L362" s="34">
        <v>16825</v>
      </c>
      <c r="M362" s="34">
        <v>629231</v>
      </c>
      <c r="N362" s="34">
        <v>211015</v>
      </c>
      <c r="O362" s="34">
        <v>273219</v>
      </c>
      <c r="P362" s="34">
        <v>208672</v>
      </c>
      <c r="Q362" s="34">
        <v>147340</v>
      </c>
      <c r="R362" s="34">
        <f t="shared" si="28"/>
        <v>356012</v>
      </c>
    </row>
    <row r="363" spans="1:18">
      <c r="A363" s="130" t="s">
        <v>85</v>
      </c>
      <c r="B363" s="130" t="s">
        <v>172</v>
      </c>
      <c r="C363" s="130" t="s">
        <v>173</v>
      </c>
      <c r="D363" s="130">
        <v>0</v>
      </c>
      <c r="E363" s="130">
        <v>17</v>
      </c>
      <c r="F363" s="130">
        <f t="shared" si="25"/>
        <v>-0.19402105415869503</v>
      </c>
      <c r="G363" s="130">
        <f t="shared" si="26"/>
        <v>12.333863216124113</v>
      </c>
      <c r="H363" s="130">
        <f t="shared" si="27"/>
        <v>1.3075247620598163</v>
      </c>
      <c r="I363" s="130"/>
      <c r="J363" s="71">
        <v>-42796</v>
      </c>
      <c r="K363" s="27">
        <v>999</v>
      </c>
      <c r="L363" s="34">
        <v>58339</v>
      </c>
      <c r="M363" s="34">
        <v>227263</v>
      </c>
      <c r="N363" s="34">
        <v>220574</v>
      </c>
      <c r="O363" s="34">
        <v>-69890</v>
      </c>
      <c r="P363" s="34">
        <v>106058</v>
      </c>
      <c r="Q363" s="34">
        <v>191094</v>
      </c>
      <c r="R363" s="34">
        <f t="shared" si="28"/>
        <v>297152</v>
      </c>
    </row>
    <row r="364" spans="1:18">
      <c r="A364" s="130" t="s">
        <v>87</v>
      </c>
      <c r="B364" s="130" t="s">
        <v>172</v>
      </c>
      <c r="C364" s="130" t="s">
        <v>173</v>
      </c>
      <c r="D364" s="130">
        <v>0</v>
      </c>
      <c r="E364" s="130">
        <v>8</v>
      </c>
      <c r="F364" s="130">
        <f t="shared" si="25"/>
        <v>-0.43103407252307985</v>
      </c>
      <c r="G364" s="130">
        <f t="shared" si="26"/>
        <v>13.161407151827953</v>
      </c>
      <c r="H364" s="130">
        <f t="shared" si="27"/>
        <v>1.1013890919162621</v>
      </c>
      <c r="I364" s="130"/>
      <c r="J364" s="71">
        <v>-108693</v>
      </c>
      <c r="K364" s="27">
        <v>467</v>
      </c>
      <c r="L364" s="34">
        <v>60426</v>
      </c>
      <c r="M364" s="34">
        <v>519908</v>
      </c>
      <c r="N364" s="34">
        <v>252168</v>
      </c>
      <c r="O364" s="34">
        <v>-52713</v>
      </c>
      <c r="P364" s="34">
        <v>403931</v>
      </c>
      <c r="Q364" s="34">
        <v>168690</v>
      </c>
      <c r="R364" s="34">
        <f t="shared" si="28"/>
        <v>572621</v>
      </c>
    </row>
    <row r="365" spans="1:18">
      <c r="A365" s="130" t="s">
        <v>90</v>
      </c>
      <c r="B365" s="130" t="s">
        <v>172</v>
      </c>
      <c r="C365" s="130" t="s">
        <v>173</v>
      </c>
      <c r="D365" s="130">
        <v>0</v>
      </c>
      <c r="E365" s="130">
        <v>2</v>
      </c>
      <c r="F365" s="130">
        <f t="shared" si="25"/>
        <v>4.0997456811620765E-3</v>
      </c>
      <c r="G365" s="130">
        <f t="shared" si="26"/>
        <v>13.58697499585235</v>
      </c>
      <c r="H365" s="130">
        <f t="shared" si="27"/>
        <v>0.70216841062815294</v>
      </c>
      <c r="I365" s="130"/>
      <c r="J365" s="71">
        <v>2863</v>
      </c>
      <c r="K365" s="27">
        <v>1005</v>
      </c>
      <c r="L365" s="34">
        <v>83903</v>
      </c>
      <c r="M365" s="34">
        <v>795698</v>
      </c>
      <c r="N365" s="34">
        <v>698336</v>
      </c>
      <c r="O365" s="34">
        <v>236984</v>
      </c>
      <c r="P365" s="34">
        <v>174231</v>
      </c>
      <c r="Q365" s="34">
        <v>384483</v>
      </c>
      <c r="R365" s="34">
        <f t="shared" si="28"/>
        <v>558714</v>
      </c>
    </row>
    <row r="366" spans="1:18">
      <c r="A366" s="130" t="s">
        <v>94</v>
      </c>
      <c r="B366" s="130" t="s">
        <v>172</v>
      </c>
      <c r="C366" s="130" t="s">
        <v>173</v>
      </c>
      <c r="D366" s="130">
        <v>0</v>
      </c>
      <c r="E366" s="130">
        <v>1</v>
      </c>
      <c r="F366" s="130">
        <f t="shared" si="25"/>
        <v>6.8067647857248809E-2</v>
      </c>
      <c r="G366" s="130">
        <f t="shared" si="26"/>
        <v>14.221589477651561</v>
      </c>
      <c r="H366" s="130">
        <f t="shared" si="27"/>
        <v>0.45783155808999942</v>
      </c>
      <c r="I366" s="130"/>
      <c r="J366" s="71">
        <v>48644</v>
      </c>
      <c r="K366" s="27">
        <v>549</v>
      </c>
      <c r="L366" s="34">
        <v>57831</v>
      </c>
      <c r="M366" s="34">
        <v>1500921</v>
      </c>
      <c r="N366" s="34">
        <v>714642</v>
      </c>
      <c r="O366" s="34">
        <v>813751</v>
      </c>
      <c r="P366" s="34">
        <v>152122</v>
      </c>
      <c r="Q366" s="34">
        <v>535047</v>
      </c>
      <c r="R366" s="34">
        <f t="shared" si="28"/>
        <v>687169</v>
      </c>
    </row>
    <row r="367" spans="1:18">
      <c r="A367" s="130" t="s">
        <v>95</v>
      </c>
      <c r="B367" s="130" t="s">
        <v>172</v>
      </c>
      <c r="C367" s="130" t="s">
        <v>173</v>
      </c>
      <c r="D367" s="130">
        <v>1</v>
      </c>
      <c r="E367" s="130">
        <v>6</v>
      </c>
      <c r="F367" s="130">
        <f t="shared" si="25"/>
        <v>-0.19806232506284133</v>
      </c>
      <c r="G367" s="130">
        <f t="shared" si="26"/>
        <v>14.226383683018719</v>
      </c>
      <c r="H367" s="130">
        <f t="shared" si="27"/>
        <v>0.90143714020106969</v>
      </c>
      <c r="I367" s="130"/>
      <c r="J367" s="71">
        <v>-134660</v>
      </c>
      <c r="K367" s="27">
        <v>1035</v>
      </c>
      <c r="L367" s="34">
        <v>0</v>
      </c>
      <c r="M367" s="34">
        <v>1508134</v>
      </c>
      <c r="N367" s="34">
        <v>679887</v>
      </c>
      <c r="O367" s="34">
        <v>148647</v>
      </c>
      <c r="P367" s="34">
        <v>782609</v>
      </c>
      <c r="Q367" s="34">
        <v>576879</v>
      </c>
      <c r="R367" s="34">
        <f t="shared" si="28"/>
        <v>1359488</v>
      </c>
    </row>
    <row r="368" spans="1:18">
      <c r="A368" s="130" t="s">
        <v>102</v>
      </c>
      <c r="B368" s="130" t="s">
        <v>172</v>
      </c>
      <c r="C368" s="130" t="s">
        <v>173</v>
      </c>
      <c r="D368" s="130">
        <v>0</v>
      </c>
      <c r="E368" s="130">
        <v>11</v>
      </c>
      <c r="F368" s="130">
        <f t="shared" si="25"/>
        <v>-0.39253187179792687</v>
      </c>
      <c r="G368" s="130">
        <f t="shared" si="26"/>
        <v>12.735532567302572</v>
      </c>
      <c r="H368" s="130">
        <f t="shared" si="27"/>
        <v>0.66788868178431871</v>
      </c>
      <c r="I368" s="130"/>
      <c r="J368" s="71">
        <v>-82363</v>
      </c>
      <c r="K368" s="27">
        <v>289</v>
      </c>
      <c r="L368" s="34">
        <v>11335</v>
      </c>
      <c r="M368" s="34">
        <v>339603</v>
      </c>
      <c r="N368" s="34">
        <v>209825</v>
      </c>
      <c r="O368" s="34">
        <v>112786</v>
      </c>
      <c r="P368" s="34">
        <v>56670</v>
      </c>
      <c r="Q368" s="34">
        <v>170147</v>
      </c>
      <c r="R368" s="34">
        <f t="shared" si="28"/>
        <v>226817</v>
      </c>
    </row>
    <row r="369" spans="1:18">
      <c r="A369" s="130" t="s">
        <v>104</v>
      </c>
      <c r="B369" s="130" t="s">
        <v>172</v>
      </c>
      <c r="C369" s="130" t="s">
        <v>173</v>
      </c>
      <c r="D369" s="130">
        <v>0</v>
      </c>
      <c r="E369" s="130">
        <v>20</v>
      </c>
      <c r="F369" s="130">
        <f t="shared" si="25"/>
        <v>-0.13342774025707732</v>
      </c>
      <c r="G369" s="130">
        <f t="shared" si="26"/>
        <v>12.000093440385545</v>
      </c>
      <c r="H369" s="130">
        <f t="shared" si="27"/>
        <v>0.98061067764330034</v>
      </c>
      <c r="I369" s="130"/>
      <c r="J369" s="71">
        <v>-20823</v>
      </c>
      <c r="K369" s="27">
        <v>354</v>
      </c>
      <c r="L369" s="34">
        <v>27370</v>
      </c>
      <c r="M369" s="34">
        <v>162770</v>
      </c>
      <c r="N369" s="34">
        <v>156062</v>
      </c>
      <c r="O369" s="34">
        <v>3156</v>
      </c>
      <c r="P369" s="34">
        <v>62341</v>
      </c>
      <c r="Q369" s="34">
        <v>97273</v>
      </c>
      <c r="R369" s="34">
        <f t="shared" si="28"/>
        <v>159614</v>
      </c>
    </row>
    <row r="370" spans="1:18">
      <c r="A370" s="130" t="s">
        <v>129</v>
      </c>
      <c r="B370" s="130" t="s">
        <v>172</v>
      </c>
      <c r="C370" s="130" t="s">
        <v>173</v>
      </c>
      <c r="D370" s="130">
        <v>0</v>
      </c>
      <c r="E370" s="130">
        <v>15</v>
      </c>
      <c r="F370" s="130">
        <f t="shared" si="25"/>
        <v>-2.8929384965831435E-2</v>
      </c>
      <c r="G370" s="130">
        <f t="shared" si="26"/>
        <v>12.212914188710526</v>
      </c>
      <c r="H370" s="130">
        <f t="shared" si="27"/>
        <v>1.0098473976153706</v>
      </c>
      <c r="I370" s="130"/>
      <c r="J370" s="71">
        <v>-5080</v>
      </c>
      <c r="K370" s="27">
        <v>408</v>
      </c>
      <c r="L370" s="34">
        <v>91980</v>
      </c>
      <c r="M370" s="34">
        <v>201373</v>
      </c>
      <c r="N370" s="34">
        <v>175600</v>
      </c>
      <c r="O370" s="34">
        <v>-1983</v>
      </c>
      <c r="P370" s="34">
        <v>41669</v>
      </c>
      <c r="Q370" s="34">
        <v>161687</v>
      </c>
      <c r="R370" s="34">
        <f t="shared" si="28"/>
        <v>203356</v>
      </c>
    </row>
    <row r="371" spans="1:18">
      <c r="A371" s="130" t="s">
        <v>140</v>
      </c>
      <c r="B371" s="130" t="s">
        <v>172</v>
      </c>
      <c r="C371" s="130" t="s">
        <v>173</v>
      </c>
      <c r="D371" s="130">
        <v>0</v>
      </c>
      <c r="E371" s="130">
        <v>4</v>
      </c>
      <c r="F371" s="130">
        <f t="shared" si="25"/>
        <v>-0.11302584896097313</v>
      </c>
      <c r="G371" s="130">
        <f t="shared" si="26"/>
        <v>14.589669822354679</v>
      </c>
      <c r="H371" s="130">
        <f t="shared" si="27"/>
        <v>0.90472517115708084</v>
      </c>
      <c r="I371" s="130"/>
      <c r="J371" s="71">
        <v>-58426</v>
      </c>
      <c r="K371" s="27">
        <v>719</v>
      </c>
      <c r="L371" s="34">
        <v>2376</v>
      </c>
      <c r="M371" s="34">
        <v>2168768</v>
      </c>
      <c r="N371" s="34">
        <v>516926</v>
      </c>
      <c r="O371" s="34">
        <v>206628</v>
      </c>
      <c r="P371" s="34">
        <v>1358642</v>
      </c>
      <c r="Q371" s="34">
        <v>603497</v>
      </c>
      <c r="R371" s="34">
        <f t="shared" si="28"/>
        <v>1962139</v>
      </c>
    </row>
    <row r="372" spans="1:18">
      <c r="A372" s="130" t="s">
        <v>148</v>
      </c>
      <c r="B372" s="130" t="s">
        <v>172</v>
      </c>
      <c r="C372" s="130" t="s">
        <v>173</v>
      </c>
      <c r="D372" s="130">
        <v>0</v>
      </c>
      <c r="E372" s="130">
        <v>19</v>
      </c>
      <c r="F372" s="130">
        <f t="shared" si="25"/>
        <v>-0.1381704948771178</v>
      </c>
      <c r="G372" s="130">
        <f t="shared" si="26"/>
        <v>12.463663999297939</v>
      </c>
      <c r="H372" s="130">
        <f t="shared" si="27"/>
        <v>1.157360818049018</v>
      </c>
      <c r="I372" s="130"/>
      <c r="J372" s="71">
        <v>-20633</v>
      </c>
      <c r="K372" s="27">
        <v>361</v>
      </c>
      <c r="L372" s="34">
        <v>41975</v>
      </c>
      <c r="M372" s="34">
        <v>258762</v>
      </c>
      <c r="N372" s="34">
        <v>149330</v>
      </c>
      <c r="O372" s="34">
        <v>-40720</v>
      </c>
      <c r="P372" s="34">
        <v>146379</v>
      </c>
      <c r="Q372" s="34">
        <v>153102</v>
      </c>
      <c r="R372" s="34">
        <f t="shared" si="28"/>
        <v>299481</v>
      </c>
    </row>
    <row r="373" spans="1:18">
      <c r="A373" s="130" t="s">
        <v>150</v>
      </c>
      <c r="B373" s="130" t="s">
        <v>172</v>
      </c>
      <c r="C373" s="130" t="s">
        <v>173</v>
      </c>
      <c r="D373" s="130">
        <v>0</v>
      </c>
      <c r="E373" s="130">
        <v>7</v>
      </c>
      <c r="F373" s="130">
        <f t="shared" si="25"/>
        <v>4.5940456193833371E-2</v>
      </c>
      <c r="G373" s="130">
        <f t="shared" si="26"/>
        <v>12.673949013759735</v>
      </c>
      <c r="H373" s="130">
        <f t="shared" si="27"/>
        <v>1.5644713766754352</v>
      </c>
      <c r="I373" s="130"/>
      <c r="J373" s="71">
        <v>13593</v>
      </c>
      <c r="K373" s="27">
        <v>725</v>
      </c>
      <c r="L373" s="34">
        <v>249900</v>
      </c>
      <c r="M373" s="34">
        <v>319320</v>
      </c>
      <c r="N373" s="34">
        <v>295883</v>
      </c>
      <c r="O373" s="34">
        <v>-180247</v>
      </c>
      <c r="P373" s="34">
        <v>122467</v>
      </c>
      <c r="Q373" s="34">
        <v>377100</v>
      </c>
      <c r="R373" s="34">
        <f t="shared" si="28"/>
        <v>499567</v>
      </c>
    </row>
    <row r="374" spans="1:18">
      <c r="A374" s="130" t="s">
        <v>151</v>
      </c>
      <c r="B374" s="130" t="s">
        <v>172</v>
      </c>
      <c r="C374" s="130" t="s">
        <v>173</v>
      </c>
      <c r="D374" s="130">
        <v>0</v>
      </c>
      <c r="E374" s="130">
        <v>10</v>
      </c>
      <c r="F374" s="130">
        <f t="shared" si="25"/>
        <v>-0.26010951979780961</v>
      </c>
      <c r="G374" s="130">
        <f t="shared" si="26"/>
        <v>12.727523619797052</v>
      </c>
      <c r="H374" s="130">
        <f t="shared" si="27"/>
        <v>1.3466550309592928</v>
      </c>
      <c r="I374" s="130"/>
      <c r="J374" s="71">
        <v>-50635</v>
      </c>
      <c r="K374" s="27">
        <v>424</v>
      </c>
      <c r="L374" s="34">
        <v>243622</v>
      </c>
      <c r="M374" s="34">
        <v>336894</v>
      </c>
      <c r="N374" s="34">
        <v>194668</v>
      </c>
      <c r="O374" s="34">
        <v>-116786</v>
      </c>
      <c r="P374" s="34">
        <v>121301</v>
      </c>
      <c r="Q374" s="34">
        <v>332379</v>
      </c>
      <c r="R374" s="34">
        <f t="shared" si="28"/>
        <v>453680</v>
      </c>
    </row>
    <row r="375" spans="1:18" ht="17">
      <c r="A375" s="132" t="s">
        <v>3</v>
      </c>
      <c r="B375" s="132" t="s">
        <v>198</v>
      </c>
      <c r="C375" s="132" t="s">
        <v>173</v>
      </c>
      <c r="D375" s="132">
        <v>1</v>
      </c>
      <c r="E375" s="10">
        <v>1</v>
      </c>
      <c r="F375" s="130">
        <f t="shared" si="25"/>
        <v>-0.22358463937202613</v>
      </c>
      <c r="G375" s="130">
        <f t="shared" si="26"/>
        <v>13.128144633691187</v>
      </c>
      <c r="H375" s="130">
        <f t="shared" si="27"/>
        <v>0.73905297087486754</v>
      </c>
      <c r="I375" s="130"/>
      <c r="J375" s="99">
        <v>-66537</v>
      </c>
      <c r="K375" s="100">
        <v>427</v>
      </c>
      <c r="L375" s="101">
        <v>25961</v>
      </c>
      <c r="M375" s="101">
        <v>502899</v>
      </c>
      <c r="N375" s="101">
        <v>297592</v>
      </c>
      <c r="O375" s="101">
        <v>131230</v>
      </c>
      <c r="P375" s="101">
        <v>139040</v>
      </c>
      <c r="Q375" s="101">
        <v>232629</v>
      </c>
      <c r="R375" s="102">
        <f t="shared" si="28"/>
        <v>371669</v>
      </c>
    </row>
    <row r="376" spans="1:18" ht="17">
      <c r="A376" s="132" t="s">
        <v>25</v>
      </c>
      <c r="B376" s="132" t="s">
        <v>198</v>
      </c>
      <c r="C376" s="132" t="s">
        <v>173</v>
      </c>
      <c r="D376" s="132">
        <v>0</v>
      </c>
      <c r="E376" s="10">
        <v>8</v>
      </c>
      <c r="F376" s="130">
        <f t="shared" si="25"/>
        <v>9.2810916570511215E-2</v>
      </c>
      <c r="G376" s="130">
        <f t="shared" si="26"/>
        <v>12.782517456303976</v>
      </c>
      <c r="H376" s="130">
        <f t="shared" si="27"/>
        <v>0.50214081024891832</v>
      </c>
      <c r="I376" s="130"/>
      <c r="J376" s="99">
        <v>11100</v>
      </c>
      <c r="K376" s="100">
        <v>187</v>
      </c>
      <c r="L376" s="101">
        <v>864</v>
      </c>
      <c r="M376" s="101">
        <v>355940</v>
      </c>
      <c r="N376" s="101">
        <v>119598</v>
      </c>
      <c r="O376" s="101">
        <v>177208</v>
      </c>
      <c r="P376" s="101">
        <v>91148</v>
      </c>
      <c r="Q376" s="101">
        <v>87584</v>
      </c>
      <c r="R376" s="102">
        <f t="shared" si="28"/>
        <v>178732</v>
      </c>
    </row>
    <row r="377" spans="1:18" ht="17">
      <c r="A377" s="132" t="s">
        <v>32</v>
      </c>
      <c r="B377" s="132" t="s">
        <v>198</v>
      </c>
      <c r="C377" s="132" t="s">
        <v>173</v>
      </c>
      <c r="D377" s="132">
        <v>0</v>
      </c>
      <c r="E377" s="10">
        <v>13</v>
      </c>
      <c r="F377" s="130">
        <f t="shared" si="25"/>
        <v>-0.58091565065936801</v>
      </c>
      <c r="G377" s="130">
        <f t="shared" si="26"/>
        <v>11.611493967036091</v>
      </c>
      <c r="H377" s="130">
        <f t="shared" si="27"/>
        <v>0.91529462934604333</v>
      </c>
      <c r="I377" s="130"/>
      <c r="J377" s="99">
        <v>-46694</v>
      </c>
      <c r="K377" s="100">
        <v>204</v>
      </c>
      <c r="L377" s="101">
        <v>4342</v>
      </c>
      <c r="M377" s="101">
        <v>110359</v>
      </c>
      <c r="N377" s="101">
        <v>80380</v>
      </c>
      <c r="O377" s="101">
        <v>9348</v>
      </c>
      <c r="P377" s="101">
        <v>36212</v>
      </c>
      <c r="Q377" s="101">
        <v>64799</v>
      </c>
      <c r="R377" s="102">
        <f t="shared" si="28"/>
        <v>101011</v>
      </c>
    </row>
    <row r="378" spans="1:18" ht="17">
      <c r="A378" s="132" t="s">
        <v>55</v>
      </c>
      <c r="B378" s="132" t="s">
        <v>198</v>
      </c>
      <c r="C378" s="132" t="s">
        <v>173</v>
      </c>
      <c r="D378" s="132">
        <v>0</v>
      </c>
      <c r="E378" s="10">
        <v>14</v>
      </c>
      <c r="F378" s="130">
        <f t="shared" si="25"/>
        <v>-4.9781413058806935E-2</v>
      </c>
      <c r="G378" s="130">
        <f t="shared" si="26"/>
        <v>12.447311485113476</v>
      </c>
      <c r="H378" s="130">
        <f t="shared" si="27"/>
        <v>1.3916170722605228</v>
      </c>
      <c r="I378" s="130"/>
      <c r="J378" s="103">
        <v>-3530</v>
      </c>
      <c r="K378" s="100">
        <v>192</v>
      </c>
      <c r="L378" s="102">
        <v>2564</v>
      </c>
      <c r="M378" s="102">
        <v>254565</v>
      </c>
      <c r="N378" s="102">
        <v>70910</v>
      </c>
      <c r="O378" s="102">
        <v>38562</v>
      </c>
      <c r="P378" s="102">
        <v>275668</v>
      </c>
      <c r="Q378" s="102">
        <v>78589</v>
      </c>
      <c r="R378" s="102">
        <f t="shared" si="28"/>
        <v>354257</v>
      </c>
    </row>
    <row r="379" spans="1:18" ht="17">
      <c r="A379" s="132" t="s">
        <v>59</v>
      </c>
      <c r="B379" s="132" t="s">
        <v>198</v>
      </c>
      <c r="C379" s="132" t="s">
        <v>173</v>
      </c>
      <c r="D379" s="132">
        <v>0</v>
      </c>
      <c r="E379" s="10">
        <v>7</v>
      </c>
      <c r="F379" s="130">
        <f t="shared" si="25"/>
        <v>0.2015467844185356</v>
      </c>
      <c r="G379" s="130">
        <f t="shared" si="26"/>
        <v>12.810388612383504</v>
      </c>
      <c r="H379" s="130">
        <f t="shared" si="27"/>
        <v>0.40412295081967214</v>
      </c>
      <c r="I379" s="130"/>
      <c r="J379" s="99">
        <v>46830</v>
      </c>
      <c r="K379" s="100">
        <v>246</v>
      </c>
      <c r="L379" s="101">
        <v>0</v>
      </c>
      <c r="M379" s="101">
        <v>366000</v>
      </c>
      <c r="N379" s="101">
        <v>232353</v>
      </c>
      <c r="O379" s="101">
        <v>218092</v>
      </c>
      <c r="P379" s="101">
        <v>49512</v>
      </c>
      <c r="Q379" s="101">
        <v>98397</v>
      </c>
      <c r="R379" s="102">
        <f t="shared" si="28"/>
        <v>147909</v>
      </c>
    </row>
    <row r="380" spans="1:18" ht="17">
      <c r="A380" s="132" t="s">
        <v>65</v>
      </c>
      <c r="B380" s="132" t="s">
        <v>198</v>
      </c>
      <c r="C380" s="132" t="s">
        <v>173</v>
      </c>
      <c r="D380" s="132">
        <v>0</v>
      </c>
      <c r="E380" s="10">
        <v>19</v>
      </c>
      <c r="F380" s="130">
        <f t="shared" si="25"/>
        <v>-0.76193591389355186</v>
      </c>
      <c r="G380" s="130">
        <f t="shared" si="26"/>
        <v>12.634993829674679</v>
      </c>
      <c r="H380" s="130">
        <f t="shared" si="27"/>
        <v>0.9824140401146132</v>
      </c>
      <c r="I380" s="130"/>
      <c r="J380" s="99">
        <v>-61729</v>
      </c>
      <c r="K380" s="100">
        <v>185</v>
      </c>
      <c r="L380" s="101">
        <v>37917</v>
      </c>
      <c r="M380" s="101">
        <v>307120</v>
      </c>
      <c r="N380" s="101">
        <v>81016</v>
      </c>
      <c r="O380" s="101">
        <v>5401</v>
      </c>
      <c r="P380" s="101">
        <v>134149</v>
      </c>
      <c r="Q380" s="101">
        <v>167570</v>
      </c>
      <c r="R380" s="102">
        <f t="shared" si="28"/>
        <v>301719</v>
      </c>
    </row>
    <row r="381" spans="1:18" ht="17">
      <c r="A381" s="132" t="s">
        <v>75</v>
      </c>
      <c r="B381" s="132" t="s">
        <v>198</v>
      </c>
      <c r="C381" s="132" t="s">
        <v>173</v>
      </c>
      <c r="D381" s="132">
        <v>1</v>
      </c>
      <c r="E381" s="10">
        <v>2</v>
      </c>
      <c r="F381" s="130">
        <f t="shared" si="25"/>
        <v>-0.31887291620182961</v>
      </c>
      <c r="G381" s="130">
        <f t="shared" si="26"/>
        <v>13.677471879915865</v>
      </c>
      <c r="H381" s="130">
        <f t="shared" si="27"/>
        <v>1.0994242679937778</v>
      </c>
      <c r="I381" s="130"/>
      <c r="J381" s="99">
        <v>-140056</v>
      </c>
      <c r="K381" s="100">
        <v>498</v>
      </c>
      <c r="L381" s="101">
        <v>52</v>
      </c>
      <c r="M381" s="101">
        <v>871065</v>
      </c>
      <c r="N381" s="101">
        <v>439222</v>
      </c>
      <c r="O381" s="101">
        <v>-86605</v>
      </c>
      <c r="P381" s="101">
        <v>613642</v>
      </c>
      <c r="Q381" s="101">
        <v>344028</v>
      </c>
      <c r="R381" s="102">
        <f t="shared" si="28"/>
        <v>957670</v>
      </c>
    </row>
    <row r="382" spans="1:18" ht="17">
      <c r="A382" s="132" t="s">
        <v>77</v>
      </c>
      <c r="B382" s="132" t="s">
        <v>198</v>
      </c>
      <c r="C382" s="132" t="s">
        <v>173</v>
      </c>
      <c r="D382" s="132">
        <v>1</v>
      </c>
      <c r="E382" s="10">
        <v>4</v>
      </c>
      <c r="F382" s="130">
        <f t="shared" si="25"/>
        <v>-0.57207739183835982</v>
      </c>
      <c r="G382" s="130">
        <f t="shared" si="26"/>
        <v>13.744760786889824</v>
      </c>
      <c r="H382" s="130">
        <f t="shared" si="27"/>
        <v>0.8181443498140486</v>
      </c>
      <c r="I382" s="130"/>
      <c r="J382" s="99">
        <v>-254313</v>
      </c>
      <c r="K382" s="100">
        <v>281</v>
      </c>
      <c r="L382" s="101">
        <v>10058</v>
      </c>
      <c r="M382" s="101">
        <v>931695</v>
      </c>
      <c r="N382" s="101">
        <v>444543</v>
      </c>
      <c r="O382" s="101">
        <v>169434</v>
      </c>
      <c r="P382" s="101">
        <v>382773</v>
      </c>
      <c r="Q382" s="101">
        <v>379488</v>
      </c>
      <c r="R382" s="102">
        <f t="shared" si="28"/>
        <v>762261</v>
      </c>
    </row>
    <row r="383" spans="1:18" ht="17">
      <c r="A383" s="132" t="s">
        <v>83</v>
      </c>
      <c r="B383" s="132" t="s">
        <v>198</v>
      </c>
      <c r="C383" s="132" t="s">
        <v>173</v>
      </c>
      <c r="D383" s="132">
        <v>0</v>
      </c>
      <c r="E383" s="10">
        <v>5</v>
      </c>
      <c r="F383" s="130">
        <f t="shared" si="25"/>
        <v>-0.19696074888275789</v>
      </c>
      <c r="G383" s="130">
        <f t="shared" si="26"/>
        <v>12.68432032402554</v>
      </c>
      <c r="H383" s="130">
        <f t="shared" si="27"/>
        <v>0.81824211449593831</v>
      </c>
      <c r="I383" s="130"/>
      <c r="J383" s="99">
        <v>-22345</v>
      </c>
      <c r="K383" s="100">
        <v>176</v>
      </c>
      <c r="L383" s="101">
        <v>1090</v>
      </c>
      <c r="M383" s="101">
        <v>322649</v>
      </c>
      <c r="N383" s="101">
        <v>113449</v>
      </c>
      <c r="O383" s="101">
        <v>58644</v>
      </c>
      <c r="P383" s="101">
        <v>101049</v>
      </c>
      <c r="Q383" s="101">
        <v>162956</v>
      </c>
      <c r="R383" s="102">
        <f t="shared" si="28"/>
        <v>264005</v>
      </c>
    </row>
    <row r="384" spans="1:18" ht="17">
      <c r="A384" s="132" t="s">
        <v>101</v>
      </c>
      <c r="B384" s="132" t="s">
        <v>198</v>
      </c>
      <c r="C384" s="132" t="s">
        <v>173</v>
      </c>
      <c r="D384" s="132">
        <v>0</v>
      </c>
      <c r="E384" s="10">
        <v>3</v>
      </c>
      <c r="F384" s="130">
        <f t="shared" si="25"/>
        <v>-0.29518452228756498</v>
      </c>
      <c r="G384" s="130">
        <f t="shared" si="26"/>
        <v>12.780382797678467</v>
      </c>
      <c r="H384" s="130">
        <f t="shared" si="27"/>
        <v>0.80621148090691785</v>
      </c>
      <c r="I384" s="130"/>
      <c r="J384" s="99">
        <v>-51951</v>
      </c>
      <c r="K384" s="100">
        <v>113</v>
      </c>
      <c r="L384" s="101">
        <v>356</v>
      </c>
      <c r="M384" s="101">
        <v>355181</v>
      </c>
      <c r="N384" s="101">
        <v>175995</v>
      </c>
      <c r="O384" s="101">
        <v>68831</v>
      </c>
      <c r="P384" s="101">
        <v>125968</v>
      </c>
      <c r="Q384" s="101">
        <v>160383</v>
      </c>
      <c r="R384" s="102">
        <f t="shared" si="28"/>
        <v>286351</v>
      </c>
    </row>
    <row r="385" spans="1:18" ht="17">
      <c r="A385" s="132" t="s">
        <v>121</v>
      </c>
      <c r="B385" s="132" t="s">
        <v>198</v>
      </c>
      <c r="C385" s="132" t="s">
        <v>173</v>
      </c>
      <c r="D385" s="132">
        <v>1</v>
      </c>
      <c r="E385" s="10">
        <v>6</v>
      </c>
      <c r="F385" s="130">
        <f t="shared" si="25"/>
        <v>-1.0651657559198542</v>
      </c>
      <c r="G385" s="130">
        <f t="shared" si="26"/>
        <v>12.80278050905021</v>
      </c>
      <c r="H385" s="130">
        <f t="shared" si="27"/>
        <v>1.9370667298045845</v>
      </c>
      <c r="I385" s="130"/>
      <c r="J385" s="99">
        <v>-219291</v>
      </c>
      <c r="K385" s="100">
        <v>455</v>
      </c>
      <c r="L385" s="101">
        <v>20531</v>
      </c>
      <c r="M385" s="101">
        <v>363226</v>
      </c>
      <c r="N385" s="101">
        <v>205875</v>
      </c>
      <c r="O385" s="101">
        <v>-340367</v>
      </c>
      <c r="P385" s="101">
        <v>460299</v>
      </c>
      <c r="Q385" s="101">
        <v>243294</v>
      </c>
      <c r="R385" s="102">
        <f t="shared" si="28"/>
        <v>703593</v>
      </c>
    </row>
    <row r="386" spans="1:18" ht="17">
      <c r="A386" s="132" t="s">
        <v>122</v>
      </c>
      <c r="B386" s="132" t="s">
        <v>198</v>
      </c>
      <c r="C386" s="132" t="s">
        <v>173</v>
      </c>
      <c r="D386" s="132">
        <v>0</v>
      </c>
      <c r="E386" s="10">
        <v>17</v>
      </c>
      <c r="F386" s="130">
        <f t="shared" ref="F386:F407" si="29">J386/N386</f>
        <v>-0.29479533748983466</v>
      </c>
      <c r="G386" s="130">
        <f t="shared" ref="G386:G407" si="30">LN(M386)</f>
        <v>11.739782114196322</v>
      </c>
      <c r="H386" s="130">
        <f t="shared" ref="H386:H407" si="31">R386/M386</f>
        <v>1.2199099350416451</v>
      </c>
      <c r="I386" s="130"/>
      <c r="J386" s="103">
        <v>-4350</v>
      </c>
      <c r="K386" s="100">
        <v>103</v>
      </c>
      <c r="L386" s="102">
        <v>587</v>
      </c>
      <c r="M386" s="102">
        <v>125465</v>
      </c>
      <c r="N386" s="102">
        <v>14756</v>
      </c>
      <c r="O386" s="102">
        <f>M386-R386</f>
        <v>-27591</v>
      </c>
      <c r="P386" s="102">
        <v>90680</v>
      </c>
      <c r="Q386" s="102">
        <v>62376</v>
      </c>
      <c r="R386" s="102">
        <f t="shared" si="28"/>
        <v>153056</v>
      </c>
    </row>
    <row r="387" spans="1:18" ht="17">
      <c r="A387" s="132" t="s">
        <v>123</v>
      </c>
      <c r="B387" s="132" t="s">
        <v>198</v>
      </c>
      <c r="C387" s="132" t="s">
        <v>173</v>
      </c>
      <c r="D387" s="132">
        <v>0</v>
      </c>
      <c r="E387" s="10">
        <v>15</v>
      </c>
      <c r="F387" s="130">
        <f t="shared" si="29"/>
        <v>-0.47243649079502209</v>
      </c>
      <c r="G387" s="130">
        <f t="shared" si="30"/>
        <v>12.487703948944798</v>
      </c>
      <c r="H387" s="130">
        <f t="shared" si="31"/>
        <v>0.9518746840314195</v>
      </c>
      <c r="I387" s="130"/>
      <c r="J387" s="99">
        <v>-36748</v>
      </c>
      <c r="K387" s="100">
        <v>197</v>
      </c>
      <c r="L387" s="101">
        <v>56552</v>
      </c>
      <c r="M387" s="101">
        <v>265058</v>
      </c>
      <c r="N387" s="101">
        <v>77784</v>
      </c>
      <c r="O387" s="101">
        <v>12756</v>
      </c>
      <c r="P387" s="101">
        <v>91614</v>
      </c>
      <c r="Q387" s="101">
        <v>160688</v>
      </c>
      <c r="R387" s="102">
        <f t="shared" si="28"/>
        <v>252302</v>
      </c>
    </row>
    <row r="388" spans="1:18" ht="17">
      <c r="A388" s="132" t="s">
        <v>124</v>
      </c>
      <c r="B388" s="132" t="s">
        <v>198</v>
      </c>
      <c r="C388" s="132" t="s">
        <v>173</v>
      </c>
      <c r="D388" s="132">
        <v>0</v>
      </c>
      <c r="E388" s="10">
        <v>11</v>
      </c>
      <c r="F388" s="130">
        <f t="shared" si="29"/>
        <v>9.9576941894264255E-3</v>
      </c>
      <c r="G388" s="130">
        <f t="shared" si="30"/>
        <v>12.388069149500183</v>
      </c>
      <c r="H388" s="130">
        <f t="shared" si="31"/>
        <v>0.88448745842398779</v>
      </c>
      <c r="I388" s="130"/>
      <c r="J388" s="99">
        <v>1384</v>
      </c>
      <c r="K388" s="100">
        <v>228</v>
      </c>
      <c r="L388" s="101">
        <v>23893</v>
      </c>
      <c r="M388" s="101">
        <v>239922</v>
      </c>
      <c r="N388" s="101">
        <v>138988</v>
      </c>
      <c r="O388" s="101">
        <v>27714</v>
      </c>
      <c r="P388" s="101">
        <v>81654</v>
      </c>
      <c r="Q388" s="101">
        <v>130554</v>
      </c>
      <c r="R388" s="102">
        <f t="shared" si="28"/>
        <v>212208</v>
      </c>
    </row>
    <row r="389" spans="1:18" ht="17">
      <c r="A389" s="132" t="s">
        <v>131</v>
      </c>
      <c r="B389" s="132" t="s">
        <v>198</v>
      </c>
      <c r="C389" s="132" t="s">
        <v>173</v>
      </c>
      <c r="D389" s="132">
        <v>0</v>
      </c>
      <c r="E389" s="10">
        <v>16</v>
      </c>
      <c r="F389" s="130">
        <f t="shared" si="29"/>
        <v>-0.45328896851804451</v>
      </c>
      <c r="G389" s="130">
        <f t="shared" si="30"/>
        <v>12.090038704315873</v>
      </c>
      <c r="H389" s="130">
        <f t="shared" si="31"/>
        <v>0.76115874646946191</v>
      </c>
      <c r="I389" s="130"/>
      <c r="J389" s="103">
        <v>-17710</v>
      </c>
      <c r="K389" s="100">
        <v>134</v>
      </c>
      <c r="L389" s="102">
        <v>10344</v>
      </c>
      <c r="M389" s="102">
        <v>178089</v>
      </c>
      <c r="N389" s="102">
        <v>39070</v>
      </c>
      <c r="O389" s="102">
        <f>M389-R389</f>
        <v>42535</v>
      </c>
      <c r="P389" s="102">
        <v>97889</v>
      </c>
      <c r="Q389" s="102">
        <v>37665</v>
      </c>
      <c r="R389" s="102">
        <f t="shared" si="28"/>
        <v>135554</v>
      </c>
    </row>
    <row r="390" spans="1:18" ht="17">
      <c r="A390" s="132" t="s">
        <v>139</v>
      </c>
      <c r="B390" s="132" t="s">
        <v>198</v>
      </c>
      <c r="C390" s="132" t="s">
        <v>173</v>
      </c>
      <c r="D390" s="132">
        <v>0</v>
      </c>
      <c r="E390" s="10">
        <v>10</v>
      </c>
      <c r="F390" s="130">
        <f t="shared" si="29"/>
        <v>-6.0612244897959182E-2</v>
      </c>
      <c r="G390" s="130">
        <f t="shared" si="30"/>
        <v>12.133319140287243</v>
      </c>
      <c r="H390" s="130">
        <f t="shared" si="31"/>
        <v>0.92329242979899551</v>
      </c>
      <c r="I390" s="130"/>
      <c r="J390" s="99">
        <v>-6831</v>
      </c>
      <c r="K390" s="100">
        <v>172</v>
      </c>
      <c r="L390" s="101">
        <v>5000</v>
      </c>
      <c r="M390" s="101">
        <v>185966</v>
      </c>
      <c r="N390" s="101">
        <v>112700</v>
      </c>
      <c r="O390" s="101">
        <v>14265</v>
      </c>
      <c r="P390" s="101">
        <v>95244</v>
      </c>
      <c r="Q390" s="101">
        <v>76457</v>
      </c>
      <c r="R390" s="102">
        <f t="shared" si="28"/>
        <v>171701</v>
      </c>
    </row>
    <row r="391" spans="1:18" ht="17">
      <c r="A391" s="58" t="s">
        <v>144</v>
      </c>
      <c r="B391" s="58" t="s">
        <v>198</v>
      </c>
      <c r="C391" s="58" t="s">
        <v>173</v>
      </c>
      <c r="D391" s="58">
        <v>0</v>
      </c>
      <c r="E391" s="58">
        <v>12</v>
      </c>
      <c r="F391" s="130">
        <f t="shared" si="29"/>
        <v>-0.88438780737704914</v>
      </c>
      <c r="G391" s="130">
        <f t="shared" si="30"/>
        <v>12.697522770767504</v>
      </c>
      <c r="H391" s="130">
        <f t="shared" si="31"/>
        <v>0.61084551457926139</v>
      </c>
      <c r="I391" s="130"/>
      <c r="J391" s="104">
        <v>-69053</v>
      </c>
      <c r="K391" s="105">
        <v>179</v>
      </c>
      <c r="L391" s="106">
        <v>15942</v>
      </c>
      <c r="M391" s="106">
        <v>326937</v>
      </c>
      <c r="N391" s="106">
        <v>78080</v>
      </c>
      <c r="O391" s="106">
        <v>127228</v>
      </c>
      <c r="P391" s="106">
        <v>100533</v>
      </c>
      <c r="Q391" s="106">
        <v>99175</v>
      </c>
      <c r="R391" s="107">
        <f t="shared" si="28"/>
        <v>199708</v>
      </c>
    </row>
    <row r="392" spans="1:18">
      <c r="A392" s="132" t="s">
        <v>155</v>
      </c>
      <c r="B392" s="132" t="s">
        <v>198</v>
      </c>
      <c r="C392" s="132" t="s">
        <v>173</v>
      </c>
      <c r="D392" s="132">
        <v>0</v>
      </c>
      <c r="E392" s="10">
        <v>9</v>
      </c>
      <c r="F392" s="130">
        <f t="shared" si="29"/>
        <v>-5.9858072146658781E-2</v>
      </c>
      <c r="G392" s="130">
        <f t="shared" si="30"/>
        <v>12.455550388136121</v>
      </c>
      <c r="H392" s="130">
        <f t="shared" si="31"/>
        <v>1.6450514471833593</v>
      </c>
      <c r="I392" s="130"/>
      <c r="J392" s="103">
        <v>-5061</v>
      </c>
      <c r="K392" s="9">
        <v>218</v>
      </c>
      <c r="L392" s="90">
        <v>576</v>
      </c>
      <c r="M392" s="43">
        <v>256671</v>
      </c>
      <c r="N392" s="102">
        <v>84550</v>
      </c>
      <c r="O392" s="102">
        <f>M392-R392</f>
        <v>-165566</v>
      </c>
      <c r="P392" s="102">
        <v>256770</v>
      </c>
      <c r="Q392" s="102">
        <v>165467</v>
      </c>
      <c r="R392" s="102">
        <f t="shared" si="28"/>
        <v>422237</v>
      </c>
    </row>
    <row r="393" spans="1:18">
      <c r="A393" s="133" t="s">
        <v>5</v>
      </c>
      <c r="B393" s="133" t="s">
        <v>199</v>
      </c>
      <c r="C393" s="133" t="s">
        <v>173</v>
      </c>
      <c r="D393" s="133">
        <v>1</v>
      </c>
      <c r="E393" s="135">
        <v>9</v>
      </c>
      <c r="F393" s="130">
        <f t="shared" si="29"/>
        <v>-0.89170511767060656</v>
      </c>
      <c r="G393" s="130">
        <f t="shared" si="30"/>
        <v>11.586594054895428</v>
      </c>
      <c r="H393" s="130">
        <f t="shared" si="31"/>
        <v>1.5476241348878257</v>
      </c>
      <c r="I393" s="130"/>
      <c r="J393" s="69">
        <v>-42323</v>
      </c>
      <c r="K393">
        <v>134</v>
      </c>
      <c r="L393" s="32">
        <v>56223</v>
      </c>
      <c r="M393" s="32">
        <v>107645</v>
      </c>
      <c r="N393" s="32">
        <v>47463</v>
      </c>
      <c r="O393" s="32">
        <f>M393-R393</f>
        <v>-58949</v>
      </c>
      <c r="P393" s="32">
        <v>128952</v>
      </c>
      <c r="Q393" s="32">
        <v>37642</v>
      </c>
      <c r="R393" s="32">
        <f t="shared" si="28"/>
        <v>166594</v>
      </c>
    </row>
    <row r="394" spans="1:18">
      <c r="A394" s="133" t="s">
        <v>13</v>
      </c>
      <c r="B394" s="133" t="s">
        <v>199</v>
      </c>
      <c r="C394" s="133" t="s">
        <v>173</v>
      </c>
      <c r="D394" s="133">
        <v>0</v>
      </c>
      <c r="E394" s="135">
        <v>5</v>
      </c>
      <c r="F394" s="130">
        <f t="shared" si="29"/>
        <v>-1.0255196001052356</v>
      </c>
      <c r="G394" s="130">
        <f t="shared" si="30"/>
        <v>11.719085611244024</v>
      </c>
      <c r="H394" s="130">
        <f t="shared" si="31"/>
        <v>1.3819602099353105</v>
      </c>
      <c r="I394" s="130"/>
      <c r="J394" s="69">
        <v>-89654</v>
      </c>
      <c r="L394" s="32">
        <v>65489</v>
      </c>
      <c r="M394" s="32">
        <v>122895</v>
      </c>
      <c r="N394" s="32">
        <v>87423</v>
      </c>
      <c r="O394" s="32">
        <f>M394-R394</f>
        <v>-46941</v>
      </c>
      <c r="P394" s="32"/>
      <c r="Q394" s="32"/>
      <c r="R394" s="32">
        <v>169836</v>
      </c>
    </row>
    <row r="395" spans="1:18">
      <c r="A395" s="133" t="s">
        <v>157</v>
      </c>
      <c r="B395" s="133" t="s">
        <v>199</v>
      </c>
      <c r="C395" s="133" t="s">
        <v>173</v>
      </c>
      <c r="D395" s="133">
        <v>0</v>
      </c>
      <c r="E395" s="135">
        <v>18</v>
      </c>
      <c r="F395" s="130">
        <f t="shared" si="29"/>
        <v>-1.2416786870968619</v>
      </c>
      <c r="G395" s="130">
        <f t="shared" si="30"/>
        <v>11.085736084387904</v>
      </c>
      <c r="H395" s="130">
        <f t="shared" si="31"/>
        <v>1.3656682098292301</v>
      </c>
      <c r="I395" s="130"/>
      <c r="J395" s="69">
        <v>-45623</v>
      </c>
      <c r="K395">
        <v>94</v>
      </c>
      <c r="L395" s="32">
        <v>26356</v>
      </c>
      <c r="M395" s="32">
        <v>65234</v>
      </c>
      <c r="N395" s="32">
        <v>36743</v>
      </c>
      <c r="O395" s="32">
        <f>M395-R395</f>
        <v>-23854</v>
      </c>
      <c r="P395" s="32">
        <v>62545</v>
      </c>
      <c r="Q395" s="32">
        <v>26543</v>
      </c>
      <c r="R395" s="32">
        <f>P395+Q395</f>
        <v>89088</v>
      </c>
    </row>
    <row r="396" spans="1:18">
      <c r="A396" s="133" t="s">
        <v>20</v>
      </c>
      <c r="B396" s="133" t="s">
        <v>199</v>
      </c>
      <c r="C396" s="133" t="s">
        <v>173</v>
      </c>
      <c r="D396" s="133">
        <v>0</v>
      </c>
      <c r="E396" s="135">
        <v>7</v>
      </c>
      <c r="F396" s="130">
        <f t="shared" si="29"/>
        <v>0.38553594893936549</v>
      </c>
      <c r="G396" s="130">
        <f t="shared" si="30"/>
        <v>12.157118717952248</v>
      </c>
      <c r="H396" s="130">
        <f t="shared" si="31"/>
        <v>1.4121452387828506</v>
      </c>
      <c r="I396" s="130"/>
      <c r="J396" s="69">
        <v>24645</v>
      </c>
      <c r="L396" s="32">
        <v>74563</v>
      </c>
      <c r="M396" s="32">
        <v>190445</v>
      </c>
      <c r="N396" s="32">
        <v>63924</v>
      </c>
      <c r="O396" s="32">
        <f>M396-R396</f>
        <v>-78491</v>
      </c>
      <c r="P396" s="32"/>
      <c r="Q396" s="32"/>
      <c r="R396" s="32">
        <v>268936</v>
      </c>
    </row>
    <row r="397" spans="1:18" ht="17">
      <c r="A397" s="133" t="s">
        <v>31</v>
      </c>
      <c r="B397" s="133" t="s">
        <v>199</v>
      </c>
      <c r="C397" s="133" t="s">
        <v>173</v>
      </c>
      <c r="D397" s="133">
        <v>1</v>
      </c>
      <c r="E397" s="135">
        <v>6</v>
      </c>
      <c r="F397" s="130">
        <f t="shared" si="29"/>
        <v>-0.62721539382221614</v>
      </c>
      <c r="G397" s="130">
        <f t="shared" si="30"/>
        <v>11.815308940274901</v>
      </c>
      <c r="H397" s="130">
        <f t="shared" si="31"/>
        <v>2.0168504449108702</v>
      </c>
      <c r="I397" s="130"/>
      <c r="J397" s="72">
        <v>-40875</v>
      </c>
      <c r="K397" s="24">
        <v>344</v>
      </c>
      <c r="L397" s="38">
        <v>9533</v>
      </c>
      <c r="M397" s="38">
        <v>135308</v>
      </c>
      <c r="N397" s="38">
        <v>65169</v>
      </c>
      <c r="O397" s="38">
        <v>-137588</v>
      </c>
      <c r="P397" s="38">
        <v>204231</v>
      </c>
      <c r="Q397" s="38">
        <v>68665</v>
      </c>
      <c r="R397" s="32">
        <f>P397+Q397</f>
        <v>272896</v>
      </c>
    </row>
    <row r="398" spans="1:18" ht="18">
      <c r="A398" s="133" t="s">
        <v>158</v>
      </c>
      <c r="B398" s="133" t="s">
        <v>199</v>
      </c>
      <c r="C398" s="133" t="s">
        <v>173</v>
      </c>
      <c r="D398" s="133">
        <v>0</v>
      </c>
      <c r="E398" s="135">
        <v>8</v>
      </c>
      <c r="F398" s="130">
        <f t="shared" si="29"/>
        <v>0.15068305261425358</v>
      </c>
      <c r="G398" s="130">
        <f t="shared" si="30"/>
        <v>11.498035152475033</v>
      </c>
      <c r="H398" s="130">
        <f t="shared" si="31"/>
        <v>1.8973833255516535</v>
      </c>
      <c r="I398" s="130"/>
      <c r="J398" s="77">
        <v>5493</v>
      </c>
      <c r="K398" s="21"/>
      <c r="L398" s="40">
        <v>98754</v>
      </c>
      <c r="M398" s="40">
        <v>98522</v>
      </c>
      <c r="N398" s="40">
        <v>36454</v>
      </c>
      <c r="O398" s="40">
        <f>M398-R398</f>
        <v>-88412</v>
      </c>
      <c r="P398" s="40"/>
      <c r="Q398" s="32"/>
      <c r="R398" s="32">
        <v>186934</v>
      </c>
    </row>
    <row r="399" spans="1:18" ht="17">
      <c r="A399" s="133" t="s">
        <v>58</v>
      </c>
      <c r="B399" s="133" t="s">
        <v>199</v>
      </c>
      <c r="C399" s="133" t="s">
        <v>173</v>
      </c>
      <c r="D399" s="133">
        <v>0</v>
      </c>
      <c r="E399" s="135">
        <v>2</v>
      </c>
      <c r="F399" s="130">
        <f t="shared" si="29"/>
        <v>-0.22716901105980886</v>
      </c>
      <c r="G399" s="130">
        <f t="shared" si="30"/>
        <v>12.23434907248183</v>
      </c>
      <c r="H399" s="130">
        <f t="shared" si="31"/>
        <v>1.3607973325037912</v>
      </c>
      <c r="I399" s="130"/>
      <c r="J399" s="72">
        <v>-16925</v>
      </c>
      <c r="K399" s="24">
        <v>497</v>
      </c>
      <c r="L399" s="38">
        <v>39383</v>
      </c>
      <c r="M399" s="38">
        <v>205736</v>
      </c>
      <c r="N399" s="38">
        <v>74504</v>
      </c>
      <c r="O399" s="38">
        <v>-74228</v>
      </c>
      <c r="P399" s="38">
        <v>195462</v>
      </c>
      <c r="Q399" s="38">
        <v>84503</v>
      </c>
      <c r="R399" s="32">
        <f>P399+Q399</f>
        <v>279965</v>
      </c>
    </row>
    <row r="400" spans="1:18" ht="17">
      <c r="A400" s="133" t="s">
        <v>62</v>
      </c>
      <c r="B400" s="133" t="s">
        <v>199</v>
      </c>
      <c r="C400" s="133" t="s">
        <v>173</v>
      </c>
      <c r="D400" s="133">
        <v>0</v>
      </c>
      <c r="E400" s="135">
        <v>13</v>
      </c>
      <c r="F400" s="130">
        <f t="shared" si="29"/>
        <v>-0.30931953725659267</v>
      </c>
      <c r="G400" s="130">
        <f t="shared" si="30"/>
        <v>12.066764600128197</v>
      </c>
      <c r="H400" s="130">
        <f t="shared" si="31"/>
        <v>1.3717009977470229</v>
      </c>
      <c r="I400" s="130"/>
      <c r="J400" s="72">
        <v>-21524</v>
      </c>
      <c r="K400" s="24">
        <v>631</v>
      </c>
      <c r="L400" s="38">
        <v>27922</v>
      </c>
      <c r="M400" s="38">
        <v>173992</v>
      </c>
      <c r="N400" s="38">
        <v>69585</v>
      </c>
      <c r="O400" s="38">
        <v>-64673</v>
      </c>
      <c r="P400" s="38">
        <v>147776</v>
      </c>
      <c r="Q400" s="38">
        <v>90889</v>
      </c>
      <c r="R400" s="32">
        <f>P400+Q400</f>
        <v>238665</v>
      </c>
    </row>
    <row r="401" spans="1:18" ht="18">
      <c r="A401" s="133" t="s">
        <v>153</v>
      </c>
      <c r="B401" s="133" t="s">
        <v>199</v>
      </c>
      <c r="C401" s="133" t="s">
        <v>173</v>
      </c>
      <c r="D401" s="133">
        <v>0</v>
      </c>
      <c r="E401" s="135">
        <v>16</v>
      </c>
      <c r="F401" s="130">
        <f t="shared" si="29"/>
        <v>-2.6273777340869993</v>
      </c>
      <c r="G401" s="130">
        <f t="shared" si="30"/>
        <v>11.158177235153772</v>
      </c>
      <c r="H401" s="130">
        <f t="shared" si="31"/>
        <v>1.6427461324588295</v>
      </c>
      <c r="I401" s="130"/>
      <c r="J401" s="118">
        <v>-53454</v>
      </c>
      <c r="K401" s="21">
        <v>124</v>
      </c>
      <c r="L401" s="40">
        <v>5324</v>
      </c>
      <c r="M401" s="40">
        <v>70135</v>
      </c>
      <c r="N401" s="40">
        <v>20345</v>
      </c>
      <c r="O401" s="40">
        <f t="shared" ref="O401:O406" si="32">M401-R401</f>
        <v>-45079</v>
      </c>
      <c r="P401" s="40">
        <v>89765</v>
      </c>
      <c r="Q401" s="32">
        <v>25449</v>
      </c>
      <c r="R401" s="32">
        <f>P401+Q401</f>
        <v>115214</v>
      </c>
    </row>
    <row r="402" spans="1:18" ht="18">
      <c r="A402" s="133" t="s">
        <v>71</v>
      </c>
      <c r="B402" s="133" t="s">
        <v>199</v>
      </c>
      <c r="C402" s="133" t="s">
        <v>173</v>
      </c>
      <c r="D402" s="133">
        <v>0</v>
      </c>
      <c r="E402" s="135">
        <v>12</v>
      </c>
      <c r="F402" s="130">
        <f t="shared" si="29"/>
        <v>-0.83942158795940425</v>
      </c>
      <c r="G402" s="130">
        <f t="shared" si="30"/>
        <v>11.812681848654782</v>
      </c>
      <c r="H402" s="130">
        <f t="shared" si="31"/>
        <v>0.99777700384578338</v>
      </c>
      <c r="I402" s="130"/>
      <c r="J402" s="77">
        <v>-75349</v>
      </c>
      <c r="K402" s="21"/>
      <c r="L402" s="40">
        <v>54373</v>
      </c>
      <c r="M402" s="32">
        <v>134953</v>
      </c>
      <c r="N402" s="40">
        <v>89763</v>
      </c>
      <c r="O402" s="40">
        <f t="shared" si="32"/>
        <v>300</v>
      </c>
      <c r="P402" s="40"/>
      <c r="Q402" s="32"/>
      <c r="R402" s="32">
        <v>134653</v>
      </c>
    </row>
    <row r="403" spans="1:18" ht="18">
      <c r="A403" s="133" t="s">
        <v>76</v>
      </c>
      <c r="B403" s="133" t="s">
        <v>199</v>
      </c>
      <c r="C403" s="133" t="s">
        <v>173</v>
      </c>
      <c r="D403" s="133">
        <v>1</v>
      </c>
      <c r="E403" s="135">
        <v>4</v>
      </c>
      <c r="F403" s="130">
        <f t="shared" si="29"/>
        <v>-0.738242041067532</v>
      </c>
      <c r="G403" s="130">
        <f t="shared" si="30"/>
        <v>11.774027394566664</v>
      </c>
      <c r="H403" s="130">
        <f t="shared" si="31"/>
        <v>1.4217397332018855</v>
      </c>
      <c r="I403" s="130"/>
      <c r="J403" s="77">
        <v>-65973</v>
      </c>
      <c r="K403" s="21"/>
      <c r="L403" s="40">
        <v>49567</v>
      </c>
      <c r="M403" s="40">
        <v>129836</v>
      </c>
      <c r="N403" s="40">
        <v>89365</v>
      </c>
      <c r="O403" s="40">
        <f t="shared" si="32"/>
        <v>-54757</v>
      </c>
      <c r="P403" s="40"/>
      <c r="Q403" s="32"/>
      <c r="R403" s="32">
        <v>184593</v>
      </c>
    </row>
    <row r="404" spans="1:18" ht="18">
      <c r="A404" s="133" t="s">
        <v>79</v>
      </c>
      <c r="B404" s="133" t="s">
        <v>199</v>
      </c>
      <c r="C404" s="133" t="s">
        <v>173</v>
      </c>
      <c r="D404" s="133">
        <v>0</v>
      </c>
      <c r="E404" s="135">
        <v>11</v>
      </c>
      <c r="F404" s="130">
        <f t="shared" si="29"/>
        <v>-1.2514326803651974</v>
      </c>
      <c r="G404" s="130">
        <f t="shared" si="30"/>
        <v>12.091525618346022</v>
      </c>
      <c r="H404" s="130">
        <f t="shared" si="31"/>
        <v>0.81660069300380145</v>
      </c>
      <c r="I404" s="130"/>
      <c r="J404" s="77">
        <v>-57432</v>
      </c>
      <c r="K404" s="21"/>
      <c r="L404" s="40">
        <v>35684</v>
      </c>
      <c r="M404" s="32">
        <v>178354</v>
      </c>
      <c r="N404" s="40">
        <v>45893</v>
      </c>
      <c r="O404" s="40">
        <f t="shared" si="32"/>
        <v>32710</v>
      </c>
      <c r="P404" s="40"/>
      <c r="Q404" s="32"/>
      <c r="R404" s="32">
        <v>145644</v>
      </c>
    </row>
    <row r="405" spans="1:18" ht="18">
      <c r="A405" s="133" t="s">
        <v>80</v>
      </c>
      <c r="B405" s="133" t="s">
        <v>199</v>
      </c>
      <c r="C405" s="133" t="s">
        <v>173</v>
      </c>
      <c r="D405" s="133">
        <v>0</v>
      </c>
      <c r="E405" s="135">
        <v>14</v>
      </c>
      <c r="F405" s="130">
        <f t="shared" si="29"/>
        <v>0.11201856641746094</v>
      </c>
      <c r="G405" s="130">
        <f t="shared" si="30"/>
        <v>11.732350109715686</v>
      </c>
      <c r="H405" s="130">
        <f t="shared" si="31"/>
        <v>0.92619804715102461</v>
      </c>
      <c r="I405" s="130"/>
      <c r="J405" s="77">
        <v>6323</v>
      </c>
      <c r="K405" s="21"/>
      <c r="L405" s="40">
        <v>64285</v>
      </c>
      <c r="M405" s="40">
        <v>124536</v>
      </c>
      <c r="N405" s="40">
        <v>56446</v>
      </c>
      <c r="O405" s="40">
        <f t="shared" si="32"/>
        <v>9191</v>
      </c>
      <c r="P405" s="40"/>
      <c r="Q405" s="32"/>
      <c r="R405" s="32">
        <v>115345</v>
      </c>
    </row>
    <row r="406" spans="1:18" ht="18">
      <c r="A406" s="133" t="s">
        <v>81</v>
      </c>
      <c r="B406" s="133" t="s">
        <v>199</v>
      </c>
      <c r="C406" s="133" t="s">
        <v>173</v>
      </c>
      <c r="D406" s="133">
        <v>0</v>
      </c>
      <c r="E406" s="135">
        <v>3</v>
      </c>
      <c r="F406" s="130">
        <f t="shared" si="29"/>
        <v>-0.19739463258499898</v>
      </c>
      <c r="G406" s="130">
        <f t="shared" si="30"/>
        <v>12.447700308221537</v>
      </c>
      <c r="H406" s="130">
        <f t="shared" si="31"/>
        <v>1.0387530235918701</v>
      </c>
      <c r="I406" s="130"/>
      <c r="J406" s="77">
        <v>-17638</v>
      </c>
      <c r="K406" s="21"/>
      <c r="L406" s="40">
        <v>82976</v>
      </c>
      <c r="M406" s="40">
        <v>254664</v>
      </c>
      <c r="N406" s="40">
        <v>89354</v>
      </c>
      <c r="O406" s="40">
        <f t="shared" si="32"/>
        <v>-9869</v>
      </c>
      <c r="P406" s="40"/>
      <c r="Q406" s="32"/>
      <c r="R406" s="32">
        <v>264533</v>
      </c>
    </row>
    <row r="407" spans="1:18" ht="17">
      <c r="A407" s="133" t="s">
        <v>142</v>
      </c>
      <c r="B407" s="133" t="s">
        <v>199</v>
      </c>
      <c r="C407" s="133" t="s">
        <v>173</v>
      </c>
      <c r="D407" s="133">
        <v>1</v>
      </c>
      <c r="E407" s="135">
        <v>1</v>
      </c>
      <c r="F407" s="130">
        <f t="shared" si="29"/>
        <v>-0.42745974955277283</v>
      </c>
      <c r="G407" s="130">
        <f t="shared" si="30"/>
        <v>11.421588381953585</v>
      </c>
      <c r="H407" s="130">
        <f t="shared" si="31"/>
        <v>1.4993700079981593</v>
      </c>
      <c r="I407" s="130"/>
      <c r="J407" s="72">
        <v>-19116</v>
      </c>
      <c r="K407" s="24">
        <v>139</v>
      </c>
      <c r="L407" s="38">
        <v>11593</v>
      </c>
      <c r="M407" s="38">
        <v>91271</v>
      </c>
      <c r="N407" s="38">
        <v>44720</v>
      </c>
      <c r="O407" s="38">
        <v>-45578</v>
      </c>
      <c r="P407" s="38">
        <v>82754</v>
      </c>
      <c r="Q407" s="38">
        <v>54095</v>
      </c>
      <c r="R407" s="32">
        <f>P407+Q407</f>
        <v>136849</v>
      </c>
    </row>
  </sheetData>
  <dataValidations count="2">
    <dataValidation allowBlank="1" showInputMessage="1" showErrorMessage="1" promptTitle="NOO" sqref="A1:E6 J1:R6 F1:I407" xr:uid="{BB661C73-69F9-3C40-B184-3E1C05AA6960}"/>
    <dataValidation allowBlank="1" showInputMessage="1" showErrorMessage="1" errorTitle="jjmb" error="mn" promptTitle="bbj" sqref="L117:M117 K115:M115 O115:P115 J29:P40 A27:E40 J27:P27" xr:uid="{78173420-AB6F-C548-9A74-46CE4CE9BF7C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0B53-6BD1-7745-AA07-B1B92BB98BA6}">
  <dimension ref="A1:AX470"/>
  <sheetViews>
    <sheetView workbookViewId="0">
      <pane xSplit="3" ySplit="2" topLeftCell="M374" activePane="bottomRight" state="frozen"/>
      <selection pane="topRight"/>
      <selection pane="bottomLeft"/>
      <selection pane="bottomRight" activeCell="I83" sqref="I83"/>
    </sheetView>
  </sheetViews>
  <sheetFormatPr baseColWidth="10" defaultColWidth="11" defaultRowHeight="16"/>
  <cols>
    <col min="1" max="1" width="24.33203125" style="138" bestFit="1" customWidth="1"/>
    <col min="2" max="2" width="22" style="138" bestFit="1" customWidth="1"/>
    <col min="3" max="3" width="12.83203125" style="138" bestFit="1" customWidth="1"/>
    <col min="4" max="4" width="34.6640625" style="138" customWidth="1"/>
    <col min="5" max="5" width="28" style="138" bestFit="1" customWidth="1"/>
    <col min="6" max="8" width="28" style="138" customWidth="1"/>
    <col min="9" max="9" width="14.83203125" style="138" bestFit="1" customWidth="1"/>
    <col min="10" max="10" width="14.83203125" style="138" customWidth="1"/>
    <col min="11" max="11" width="33.5" style="140" bestFit="1" customWidth="1"/>
    <col min="12" max="12" width="29" style="138" bestFit="1" customWidth="1"/>
    <col min="13" max="13" width="37.6640625" style="52" customWidth="1"/>
    <col min="14" max="14" width="14.83203125" style="52" customWidth="1"/>
    <col min="15" max="15" width="22.5" style="52" customWidth="1"/>
    <col min="16" max="16" width="14" style="52" customWidth="1"/>
    <col min="17" max="17" width="26" style="52" customWidth="1"/>
    <col min="18" max="18" width="19.83203125" style="52" customWidth="1"/>
    <col min="19" max="19" width="18" style="52" customWidth="1"/>
    <col min="20" max="20" width="19.5" style="138" bestFit="1" customWidth="1"/>
    <col min="21" max="22" width="14.83203125" style="138" bestFit="1" customWidth="1"/>
    <col min="23" max="23" width="34.1640625" style="138" bestFit="1" customWidth="1"/>
    <col min="24" max="24" width="14.83203125" style="138" bestFit="1" customWidth="1"/>
    <col min="25" max="25" width="20.33203125" style="138" customWidth="1"/>
    <col min="26" max="27" width="14.83203125" style="138" bestFit="1" customWidth="1"/>
    <col min="28" max="16384" width="11" style="138"/>
  </cols>
  <sheetData>
    <row r="1" spans="1:50">
      <c r="D1" s="138" t="s">
        <v>160</v>
      </c>
      <c r="E1" s="138" t="s">
        <v>255</v>
      </c>
      <c r="F1" s="138" t="s">
        <v>256</v>
      </c>
      <c r="G1" s="138" t="s">
        <v>161</v>
      </c>
      <c r="H1" s="138" t="s">
        <v>162</v>
      </c>
      <c r="I1" s="138" t="s">
        <v>163</v>
      </c>
      <c r="AT1" s="141" t="s">
        <v>164</v>
      </c>
      <c r="AX1" s="138" t="s">
        <v>165</v>
      </c>
    </row>
    <row r="2" spans="1:50">
      <c r="A2" s="142" t="s">
        <v>166</v>
      </c>
      <c r="B2" s="142" t="s">
        <v>0</v>
      </c>
      <c r="C2" s="142" t="s">
        <v>167</v>
      </c>
      <c r="D2" s="142" t="s">
        <v>168</v>
      </c>
      <c r="E2" s="142" t="s">
        <v>169</v>
      </c>
      <c r="F2" s="142" t="s">
        <v>233</v>
      </c>
      <c r="G2" s="142" t="s">
        <v>232</v>
      </c>
      <c r="H2" s="142" t="s">
        <v>231</v>
      </c>
      <c r="I2" s="142" t="s">
        <v>247</v>
      </c>
      <c r="J2" s="142"/>
      <c r="K2" s="143" t="s">
        <v>207</v>
      </c>
      <c r="L2" s="142" t="s">
        <v>170</v>
      </c>
      <c r="M2" s="144" t="s">
        <v>208</v>
      </c>
      <c r="N2" s="144" t="s">
        <v>209</v>
      </c>
      <c r="O2" s="144" t="s">
        <v>210</v>
      </c>
      <c r="P2" s="144" t="s">
        <v>211</v>
      </c>
      <c r="Q2" s="144" t="s">
        <v>212</v>
      </c>
      <c r="R2" s="144" t="s">
        <v>213</v>
      </c>
      <c r="S2" s="144" t="s">
        <v>214</v>
      </c>
      <c r="AT2" s="138" t="s">
        <v>171</v>
      </c>
    </row>
    <row r="3" spans="1:50">
      <c r="A3" s="131" t="s">
        <v>26</v>
      </c>
      <c r="B3" s="131" t="s">
        <v>193</v>
      </c>
      <c r="C3" s="131" t="s">
        <v>205</v>
      </c>
      <c r="D3" s="131">
        <v>0</v>
      </c>
      <c r="E3" s="131">
        <v>16</v>
      </c>
      <c r="F3" s="131">
        <f t="shared" ref="F3:F66" si="0">K3/O3</f>
        <v>-5.9855437342645985E-2</v>
      </c>
      <c r="G3" s="131">
        <f t="shared" ref="G3:G66" si="1">LN(N3)</f>
        <v>12.49419087285259</v>
      </c>
      <c r="H3" s="131">
        <f t="shared" ref="H3:H66" si="2">S3/N3</f>
        <v>0.48306676212502297</v>
      </c>
      <c r="I3" s="131">
        <v>-4.1028228065055766E-3</v>
      </c>
      <c r="J3" s="131"/>
      <c r="K3" s="145">
        <v>-5896</v>
      </c>
      <c r="L3" s="131">
        <v>324</v>
      </c>
      <c r="M3" s="139">
        <v>20034</v>
      </c>
      <c r="N3" s="139">
        <v>266783</v>
      </c>
      <c r="O3" s="139">
        <v>98504</v>
      </c>
      <c r="P3" s="139">
        <f>N3-S3</f>
        <v>137909</v>
      </c>
      <c r="Q3" s="139">
        <v>89890</v>
      </c>
      <c r="R3" s="139">
        <v>38984</v>
      </c>
      <c r="S3" s="139">
        <f t="shared" ref="S3:S14" si="3">Q3+R3</f>
        <v>128874</v>
      </c>
      <c r="T3" s="146"/>
      <c r="U3" s="146"/>
      <c r="V3" s="146"/>
      <c r="W3" s="146"/>
      <c r="X3" s="146"/>
      <c r="Y3" s="146"/>
      <c r="Z3" s="146"/>
      <c r="AA3" s="146"/>
      <c r="AB3" s="146"/>
      <c r="AT3" s="138" t="s">
        <v>227</v>
      </c>
      <c r="AX3" s="138" t="s">
        <v>174</v>
      </c>
    </row>
    <row r="4" spans="1:50">
      <c r="A4" s="131" t="s">
        <v>27</v>
      </c>
      <c r="B4" s="131" t="s">
        <v>193</v>
      </c>
      <c r="C4" s="131" t="s">
        <v>205</v>
      </c>
      <c r="D4" s="131">
        <v>0</v>
      </c>
      <c r="E4" s="131">
        <v>2</v>
      </c>
      <c r="F4" s="131">
        <f t="shared" si="0"/>
        <v>8.6179020361654188E-2</v>
      </c>
      <c r="G4" s="131">
        <f t="shared" si="1"/>
        <v>13.706203375563934</v>
      </c>
      <c r="H4" s="131">
        <f t="shared" si="2"/>
        <v>0.93785744962100714</v>
      </c>
      <c r="I4" s="131">
        <v>2.7767455485272353E-2</v>
      </c>
      <c r="J4" s="131"/>
      <c r="K4" s="145">
        <v>33580</v>
      </c>
      <c r="L4" s="151">
        <v>964</v>
      </c>
      <c r="M4" s="139">
        <v>41534</v>
      </c>
      <c r="N4" s="139">
        <v>896455</v>
      </c>
      <c r="O4" s="139">
        <v>389654</v>
      </c>
      <c r="P4" s="151">
        <f>N4-S4</f>
        <v>55708</v>
      </c>
      <c r="Q4" s="139">
        <v>95053</v>
      </c>
      <c r="R4" s="139">
        <v>745694</v>
      </c>
      <c r="S4" s="139">
        <f t="shared" si="3"/>
        <v>840747</v>
      </c>
      <c r="T4" s="147"/>
      <c r="W4" s="148">
        <f t="shared" ref="W4" si="4">U4+V4</f>
        <v>0</v>
      </c>
      <c r="X4" s="149"/>
      <c r="Y4" s="149"/>
      <c r="Z4" s="149"/>
      <c r="AA4" s="146"/>
      <c r="AB4" s="146"/>
      <c r="AC4" s="146"/>
      <c r="AD4" s="146"/>
      <c r="AE4" s="146"/>
      <c r="AF4" s="146"/>
      <c r="AG4" s="146"/>
      <c r="AH4" s="146"/>
      <c r="AT4" s="138" t="s">
        <v>175</v>
      </c>
      <c r="AX4" s="138" t="s">
        <v>176</v>
      </c>
    </row>
    <row r="5" spans="1:50">
      <c r="A5" s="131" t="s">
        <v>28</v>
      </c>
      <c r="B5" s="131" t="s">
        <v>193</v>
      </c>
      <c r="C5" s="131" t="s">
        <v>205</v>
      </c>
      <c r="D5" s="131">
        <v>0</v>
      </c>
      <c r="E5" s="131">
        <v>1</v>
      </c>
      <c r="F5" s="131">
        <f t="shared" si="0"/>
        <v>1.7912925705048387E-2</v>
      </c>
      <c r="G5" s="131">
        <f t="shared" si="1"/>
        <v>13.779442868802397</v>
      </c>
      <c r="H5" s="131">
        <f t="shared" si="2"/>
        <v>0.7257279112562528</v>
      </c>
      <c r="I5" s="131">
        <v>-2.2261978058110393E-2</v>
      </c>
      <c r="J5" s="131"/>
      <c r="K5" s="145">
        <v>13120</v>
      </c>
      <c r="L5" s="151">
        <v>1194</v>
      </c>
      <c r="M5" s="139">
        <v>148434</v>
      </c>
      <c r="N5" s="139">
        <v>964575</v>
      </c>
      <c r="O5" s="139">
        <v>732432</v>
      </c>
      <c r="P5" s="139">
        <f>N5-S5</f>
        <v>264556</v>
      </c>
      <c r="Q5" s="139">
        <v>454343</v>
      </c>
      <c r="R5" s="139">
        <v>245676</v>
      </c>
      <c r="S5" s="139">
        <f t="shared" si="3"/>
        <v>700019</v>
      </c>
      <c r="T5" s="147"/>
      <c r="W5" s="149"/>
      <c r="X5" s="149"/>
      <c r="Y5" s="149"/>
      <c r="Z5" s="149"/>
      <c r="AD5" s="147"/>
      <c r="AT5" s="138" t="s">
        <v>177</v>
      </c>
      <c r="AX5" s="138" t="s">
        <v>178</v>
      </c>
    </row>
    <row r="6" spans="1:50">
      <c r="A6" s="131" t="s">
        <v>43</v>
      </c>
      <c r="B6" s="131" t="s">
        <v>193</v>
      </c>
      <c r="C6" s="131" t="s">
        <v>205</v>
      </c>
      <c r="D6" s="131">
        <v>0</v>
      </c>
      <c r="E6" s="131">
        <v>13</v>
      </c>
      <c r="F6" s="131">
        <f t="shared" si="0"/>
        <v>0.2091187369099404</v>
      </c>
      <c r="G6" s="131">
        <f t="shared" si="1"/>
        <v>12.814715304311671</v>
      </c>
      <c r="H6" s="131">
        <f t="shared" si="2"/>
        <v>1.1184889563559104</v>
      </c>
      <c r="I6" s="131">
        <v>3.545430790338143E-2</v>
      </c>
      <c r="J6" s="131"/>
      <c r="K6" s="145">
        <v>12980</v>
      </c>
      <c r="L6" s="131">
        <v>201</v>
      </c>
      <c r="M6" s="139">
        <v>20925</v>
      </c>
      <c r="N6" s="139">
        <v>367587</v>
      </c>
      <c r="O6" s="131">
        <v>62070</v>
      </c>
      <c r="P6" s="139">
        <f>N6-S6</f>
        <v>-43555</v>
      </c>
      <c r="Q6" s="139">
        <v>268467</v>
      </c>
      <c r="R6" s="139">
        <v>142675</v>
      </c>
      <c r="S6" s="139">
        <f t="shared" si="3"/>
        <v>411142</v>
      </c>
      <c r="T6" s="147"/>
      <c r="W6" s="138" t="s">
        <v>248</v>
      </c>
      <c r="X6" s="149"/>
      <c r="Y6" s="149"/>
      <c r="Z6" s="149"/>
      <c r="AD6" s="147"/>
      <c r="AT6" s="138" t="s">
        <v>179</v>
      </c>
      <c r="AX6" s="138" t="s">
        <v>180</v>
      </c>
    </row>
    <row r="7" spans="1:50">
      <c r="A7" s="131" t="s">
        <v>56</v>
      </c>
      <c r="B7" s="131" t="s">
        <v>193</v>
      </c>
      <c r="C7" s="131" t="s">
        <v>205</v>
      </c>
      <c r="D7" s="131">
        <v>0</v>
      </c>
      <c r="E7" s="131">
        <v>11</v>
      </c>
      <c r="F7" s="131">
        <f t="shared" si="0"/>
        <v>8.0156365876038568E-2</v>
      </c>
      <c r="G7" s="131">
        <f t="shared" si="1"/>
        <v>12.161221712392278</v>
      </c>
      <c r="H7" s="131">
        <f t="shared" si="2"/>
        <v>0.7750643211245215</v>
      </c>
      <c r="I7" s="131">
        <v>0.31716808322668699</v>
      </c>
      <c r="J7" s="131"/>
      <c r="K7" s="145">
        <v>6377</v>
      </c>
      <c r="L7" s="131">
        <v>340</v>
      </c>
      <c r="M7" s="139">
        <v>0</v>
      </c>
      <c r="N7" s="139">
        <v>191228</v>
      </c>
      <c r="O7" s="139">
        <v>79557</v>
      </c>
      <c r="P7" s="139">
        <v>43014</v>
      </c>
      <c r="Q7" s="139">
        <v>70628</v>
      </c>
      <c r="R7" s="139">
        <v>77586</v>
      </c>
      <c r="S7" s="139">
        <f t="shared" si="3"/>
        <v>148214</v>
      </c>
      <c r="T7" s="147"/>
      <c r="V7" s="138">
        <f>199680+1179329</f>
        <v>1379009</v>
      </c>
      <c r="W7" s="138">
        <f>199680+1179329</f>
        <v>1379009</v>
      </c>
      <c r="X7" s="149"/>
      <c r="Y7" s="149"/>
      <c r="Z7" s="149"/>
      <c r="AD7" s="147"/>
      <c r="AT7" s="138" t="s">
        <v>223</v>
      </c>
    </row>
    <row r="8" spans="1:50">
      <c r="A8" s="131" t="s">
        <v>66</v>
      </c>
      <c r="B8" s="131" t="s">
        <v>193</v>
      </c>
      <c r="C8" s="131" t="s">
        <v>205</v>
      </c>
      <c r="D8" s="131">
        <v>0</v>
      </c>
      <c r="E8" s="131">
        <v>8</v>
      </c>
      <c r="F8" s="131">
        <f t="shared" si="0"/>
        <v>8.7861959539865128E-2</v>
      </c>
      <c r="G8" s="131">
        <f t="shared" si="1"/>
        <v>11.546872682269886</v>
      </c>
      <c r="H8" s="131">
        <f t="shared" si="2"/>
        <v>1.4933834688215906</v>
      </c>
      <c r="I8" s="131">
        <v>0.38779828199043131</v>
      </c>
      <c r="J8" s="131"/>
      <c r="K8" s="145">
        <v>4430</v>
      </c>
      <c r="L8" s="131">
        <v>281</v>
      </c>
      <c r="M8" s="139">
        <v>61534</v>
      </c>
      <c r="N8" s="139">
        <v>103453</v>
      </c>
      <c r="O8" s="139">
        <v>50420</v>
      </c>
      <c r="P8" s="139">
        <f>N8-S8</f>
        <v>-51042</v>
      </c>
      <c r="Q8" s="139">
        <v>56786</v>
      </c>
      <c r="R8" s="139">
        <v>97709</v>
      </c>
      <c r="S8" s="139">
        <f t="shared" si="3"/>
        <v>154495</v>
      </c>
      <c r="T8" s="147"/>
      <c r="W8" s="138">
        <f>504964+1802612</f>
        <v>2307576</v>
      </c>
      <c r="X8" s="149"/>
      <c r="Y8" s="149"/>
      <c r="Z8" s="149"/>
      <c r="AD8" s="147"/>
      <c r="AT8" s="138" t="s">
        <v>224</v>
      </c>
      <c r="AX8" s="138" t="s">
        <v>181</v>
      </c>
    </row>
    <row r="9" spans="1:50">
      <c r="A9" s="131" t="s">
        <v>67</v>
      </c>
      <c r="B9" s="131" t="s">
        <v>193</v>
      </c>
      <c r="C9" s="131" t="s">
        <v>205</v>
      </c>
      <c r="D9" s="131">
        <v>0</v>
      </c>
      <c r="E9" s="131">
        <v>10</v>
      </c>
      <c r="F9" s="131">
        <f t="shared" si="0"/>
        <v>-9.2119772669437619E-3</v>
      </c>
      <c r="G9" s="131">
        <f t="shared" si="1"/>
        <v>12.069490890992887</v>
      </c>
      <c r="H9" s="131">
        <f t="shared" si="2"/>
        <v>0.69984581611422214</v>
      </c>
      <c r="I9" s="131">
        <v>3.5243265400000001E-2</v>
      </c>
      <c r="J9" s="131"/>
      <c r="K9" s="145">
        <v>-543</v>
      </c>
      <c r="L9" s="131">
        <v>234</v>
      </c>
      <c r="M9" s="139">
        <v>9674</v>
      </c>
      <c r="N9" s="139">
        <v>174467</v>
      </c>
      <c r="O9" s="139">
        <v>58945</v>
      </c>
      <c r="P9" s="139">
        <f>N9-S9</f>
        <v>52367</v>
      </c>
      <c r="Q9" s="139">
        <v>46735</v>
      </c>
      <c r="R9" s="139">
        <v>75365</v>
      </c>
      <c r="S9" s="139">
        <f t="shared" si="3"/>
        <v>122100</v>
      </c>
      <c r="T9" s="147"/>
      <c r="X9" s="149"/>
      <c r="Y9" s="149"/>
      <c r="Z9" s="149"/>
      <c r="AD9" s="147"/>
    </row>
    <row r="10" spans="1:50">
      <c r="A10" s="131" t="s">
        <v>117</v>
      </c>
      <c r="B10" s="131" t="s">
        <v>193</v>
      </c>
      <c r="C10" s="131" t="s">
        <v>205</v>
      </c>
      <c r="D10" s="131">
        <v>0</v>
      </c>
      <c r="E10" s="131">
        <v>6</v>
      </c>
      <c r="F10" s="131">
        <f t="shared" si="0"/>
        <v>6.9533299729879934E-3</v>
      </c>
      <c r="G10" s="131">
        <f t="shared" si="1"/>
        <v>11.729793365516766</v>
      </c>
      <c r="H10" s="131">
        <f t="shared" si="2"/>
        <v>0.95309858474617204</v>
      </c>
      <c r="I10" s="131">
        <v>0.1506615696103239</v>
      </c>
      <c r="J10" s="131"/>
      <c r="K10" s="145">
        <v>538</v>
      </c>
      <c r="L10" s="131">
        <v>243</v>
      </c>
      <c r="M10" s="139">
        <v>9542</v>
      </c>
      <c r="N10" s="139">
        <v>124218</v>
      </c>
      <c r="O10" s="139">
        <v>77373</v>
      </c>
      <c r="P10" s="139">
        <v>5826</v>
      </c>
      <c r="Q10" s="139">
        <v>38102</v>
      </c>
      <c r="R10" s="139">
        <v>80290</v>
      </c>
      <c r="S10" s="139">
        <f t="shared" si="3"/>
        <v>118392</v>
      </c>
      <c r="T10" s="147"/>
      <c r="W10" s="138" t="s">
        <v>249</v>
      </c>
      <c r="X10" s="149"/>
      <c r="Y10" s="149"/>
      <c r="Z10" s="149"/>
      <c r="AD10" s="147"/>
      <c r="AX10" s="138" t="s">
        <v>182</v>
      </c>
    </row>
    <row r="11" spans="1:50">
      <c r="A11" s="131" t="s">
        <v>118</v>
      </c>
      <c r="B11" s="131" t="s">
        <v>193</v>
      </c>
      <c r="C11" s="131" t="s">
        <v>205</v>
      </c>
      <c r="D11" s="131">
        <v>0</v>
      </c>
      <c r="E11" s="131">
        <v>3</v>
      </c>
      <c r="F11" s="131">
        <f t="shared" si="0"/>
        <v>4.1674130596945094E-2</v>
      </c>
      <c r="G11" s="131">
        <f t="shared" si="1"/>
        <v>13.900793358492733</v>
      </c>
      <c r="H11" s="131">
        <f t="shared" si="2"/>
        <v>0.49757443584858013</v>
      </c>
      <c r="I11" s="131">
        <v>8.2351442791935014E-4</v>
      </c>
      <c r="J11" s="131"/>
      <c r="K11" s="145">
        <v>31174</v>
      </c>
      <c r="L11" s="131">
        <v>811</v>
      </c>
      <c r="M11" s="139">
        <v>107564</v>
      </c>
      <c r="N11" s="139">
        <v>1089025</v>
      </c>
      <c r="O11" s="139">
        <v>748042</v>
      </c>
      <c r="P11" s="139">
        <v>494566</v>
      </c>
      <c r="Q11" s="139">
        <v>176436</v>
      </c>
      <c r="R11" s="139">
        <v>365435</v>
      </c>
      <c r="S11" s="139">
        <f t="shared" si="3"/>
        <v>541871</v>
      </c>
      <c r="T11" s="147"/>
      <c r="X11" s="149"/>
      <c r="Y11" s="149"/>
      <c r="Z11" s="149"/>
      <c r="AD11" s="147"/>
    </row>
    <row r="12" spans="1:50">
      <c r="A12" s="131" t="s">
        <v>126</v>
      </c>
      <c r="B12" s="131" t="s">
        <v>193</v>
      </c>
      <c r="C12" s="131" t="s">
        <v>205</v>
      </c>
      <c r="D12" s="131">
        <v>0</v>
      </c>
      <c r="E12" s="131">
        <v>7</v>
      </c>
      <c r="F12" s="131">
        <f t="shared" si="0"/>
        <v>0.15573110566300433</v>
      </c>
      <c r="G12" s="131">
        <f t="shared" si="1"/>
        <v>12.411215145734831</v>
      </c>
      <c r="H12" s="131">
        <f t="shared" si="2"/>
        <v>0.58880834079986966</v>
      </c>
      <c r="I12" s="131">
        <v>0.32375485042356866</v>
      </c>
      <c r="J12" s="131"/>
      <c r="K12" s="145">
        <v>25726</v>
      </c>
      <c r="L12" s="131">
        <v>432</v>
      </c>
      <c r="M12" s="139">
        <v>1006</v>
      </c>
      <c r="N12" s="139">
        <v>245540</v>
      </c>
      <c r="O12" s="139">
        <v>165195</v>
      </c>
      <c r="P12" s="139">
        <v>100964</v>
      </c>
      <c r="Q12" s="139">
        <v>32212</v>
      </c>
      <c r="R12" s="139">
        <v>112364</v>
      </c>
      <c r="S12" s="139">
        <f t="shared" si="3"/>
        <v>144576</v>
      </c>
      <c r="T12" s="147"/>
      <c r="W12" s="138" t="s">
        <v>215</v>
      </c>
      <c r="X12" s="149"/>
      <c r="Z12" s="149"/>
      <c r="AD12" s="147"/>
      <c r="AX12" s="138" t="s">
        <v>183</v>
      </c>
    </row>
    <row r="13" spans="1:50">
      <c r="A13" s="131" t="s">
        <v>145</v>
      </c>
      <c r="B13" s="131" t="s">
        <v>193</v>
      </c>
      <c r="C13" s="131" t="s">
        <v>205</v>
      </c>
      <c r="D13" s="131">
        <v>0</v>
      </c>
      <c r="E13" s="131">
        <v>4</v>
      </c>
      <c r="F13" s="131">
        <f t="shared" si="0"/>
        <v>-0.32903964245485268</v>
      </c>
      <c r="G13" s="131">
        <f t="shared" si="1"/>
        <v>13.148327376562124</v>
      </c>
      <c r="H13" s="131">
        <f t="shared" si="2"/>
        <v>0.90838581940633578</v>
      </c>
      <c r="I13" s="131">
        <v>6.6610545176915142E-2</v>
      </c>
      <c r="J13" s="131"/>
      <c r="K13" s="145">
        <v>-36222</v>
      </c>
      <c r="L13" s="131">
        <v>393</v>
      </c>
      <c r="M13" s="139">
        <v>14501</v>
      </c>
      <c r="N13" s="139">
        <v>513152</v>
      </c>
      <c r="O13" s="139">
        <v>110084</v>
      </c>
      <c r="P13" s="139">
        <v>47012</v>
      </c>
      <c r="Q13" s="139">
        <v>315985</v>
      </c>
      <c r="R13" s="139">
        <v>150155</v>
      </c>
      <c r="S13" s="139">
        <f t="shared" si="3"/>
        <v>466140</v>
      </c>
      <c r="T13" s="147"/>
      <c r="V13" s="149"/>
      <c r="W13" s="138" t="s">
        <v>216</v>
      </c>
      <c r="X13" s="149"/>
      <c r="Y13" s="149"/>
      <c r="Z13" s="149"/>
      <c r="AD13" s="147"/>
    </row>
    <row r="14" spans="1:50">
      <c r="A14" s="131" t="s">
        <v>147</v>
      </c>
      <c r="B14" s="131" t="s">
        <v>193</v>
      </c>
      <c r="C14" s="131" t="s">
        <v>205</v>
      </c>
      <c r="D14" s="131">
        <v>0</v>
      </c>
      <c r="E14" s="131">
        <v>5</v>
      </c>
      <c r="F14" s="131">
        <f t="shared" si="0"/>
        <v>2.8524000825074405E-2</v>
      </c>
      <c r="G14" s="131">
        <f t="shared" si="1"/>
        <v>12.235966343144312</v>
      </c>
      <c r="H14" s="131">
        <f t="shared" si="2"/>
        <v>0.59083607917736292</v>
      </c>
      <c r="I14" s="131">
        <v>8.0040629695157656E-2</v>
      </c>
      <c r="J14" s="131"/>
      <c r="K14" s="145">
        <v>2904</v>
      </c>
      <c r="L14" s="131">
        <v>380</v>
      </c>
      <c r="M14" s="139">
        <v>0</v>
      </c>
      <c r="N14" s="139">
        <v>206069</v>
      </c>
      <c r="O14" s="139">
        <v>101809</v>
      </c>
      <c r="P14" s="139">
        <v>84316</v>
      </c>
      <c r="Q14" s="139">
        <v>34225</v>
      </c>
      <c r="R14" s="139">
        <v>87528</v>
      </c>
      <c r="S14" s="139">
        <f t="shared" si="3"/>
        <v>121753</v>
      </c>
      <c r="T14" s="147"/>
      <c r="W14" s="138" t="s">
        <v>250</v>
      </c>
      <c r="X14" s="149"/>
      <c r="Y14" s="149"/>
      <c r="Z14" s="149"/>
      <c r="AD14" s="147"/>
      <c r="AX14" s="138" t="s">
        <v>184</v>
      </c>
    </row>
    <row r="15" spans="1:50">
      <c r="A15" s="134" t="s">
        <v>17</v>
      </c>
      <c r="B15" s="134" t="s">
        <v>200</v>
      </c>
      <c r="C15" s="134" t="s">
        <v>205</v>
      </c>
      <c r="D15" s="134">
        <v>0</v>
      </c>
      <c r="E15" s="134">
        <v>13</v>
      </c>
      <c r="F15" s="134">
        <f t="shared" si="0"/>
        <v>0.15619158878504674</v>
      </c>
      <c r="G15" s="134">
        <f t="shared" si="1"/>
        <v>10.891112413014609</v>
      </c>
      <c r="H15" s="134">
        <f t="shared" si="2"/>
        <v>0.73041324468778512</v>
      </c>
      <c r="I15" s="134">
        <v>-5.210307394662992E-2</v>
      </c>
      <c r="J15" s="134"/>
      <c r="K15" s="152">
        <v>4011</v>
      </c>
      <c r="L15" s="134"/>
      <c r="M15" s="153"/>
      <c r="N15" s="153">
        <v>53697</v>
      </c>
      <c r="O15" s="153">
        <v>25680</v>
      </c>
      <c r="P15" s="153">
        <v>14476</v>
      </c>
      <c r="Q15" s="153"/>
      <c r="R15" s="153"/>
      <c r="S15" s="153">
        <v>39221</v>
      </c>
      <c r="T15" s="147"/>
      <c r="V15" s="149"/>
      <c r="X15" s="149"/>
      <c r="Y15" s="149"/>
      <c r="Z15" s="149"/>
      <c r="AD15" s="147"/>
      <c r="AX15" s="138" t="s">
        <v>185</v>
      </c>
    </row>
    <row r="16" spans="1:50">
      <c r="A16" s="134" t="s">
        <v>18</v>
      </c>
      <c r="B16" s="134" t="s">
        <v>200</v>
      </c>
      <c r="C16" s="134" t="s">
        <v>205</v>
      </c>
      <c r="D16" s="134">
        <v>0</v>
      </c>
      <c r="E16" s="134">
        <v>14</v>
      </c>
      <c r="F16" s="134">
        <f t="shared" si="0"/>
        <v>0.15619158878504674</v>
      </c>
      <c r="G16" s="134">
        <f t="shared" si="1"/>
        <v>10.891112413014609</v>
      </c>
      <c r="H16" s="134">
        <f t="shared" si="2"/>
        <v>0.73041324468778512</v>
      </c>
      <c r="I16" s="134">
        <v>0.29496957226804327</v>
      </c>
      <c r="J16" s="134"/>
      <c r="K16" s="152">
        <v>4011</v>
      </c>
      <c r="L16" s="134"/>
      <c r="M16" s="153"/>
      <c r="N16" s="153">
        <v>53697</v>
      </c>
      <c r="O16" s="153">
        <v>25680</v>
      </c>
      <c r="P16" s="153">
        <v>14476</v>
      </c>
      <c r="Q16" s="153"/>
      <c r="R16" s="153"/>
      <c r="S16" s="153">
        <v>39221</v>
      </c>
      <c r="T16" s="147"/>
      <c r="W16" s="138" t="s">
        <v>217</v>
      </c>
      <c r="X16" s="149"/>
      <c r="Y16" s="149"/>
      <c r="Z16" s="149"/>
      <c r="AD16" s="147"/>
      <c r="AX16" s="138" t="s">
        <v>186</v>
      </c>
    </row>
    <row r="17" spans="1:50">
      <c r="A17" s="134" t="s">
        <v>22</v>
      </c>
      <c r="B17" s="134" t="s">
        <v>200</v>
      </c>
      <c r="C17" s="134" t="s">
        <v>205</v>
      </c>
      <c r="D17" s="134">
        <v>1</v>
      </c>
      <c r="E17" s="134">
        <v>2</v>
      </c>
      <c r="F17" s="134">
        <f t="shared" si="0"/>
        <v>0.15619158878504674</v>
      </c>
      <c r="G17" s="134">
        <f t="shared" si="1"/>
        <v>10.891112413014609</v>
      </c>
      <c r="H17" s="134">
        <f t="shared" si="2"/>
        <v>0.73041324468778512</v>
      </c>
      <c r="I17" s="134">
        <v>-4.0383939079430706E-2</v>
      </c>
      <c r="J17" s="134"/>
      <c r="K17" s="152">
        <v>4011</v>
      </c>
      <c r="L17" s="134"/>
      <c r="M17" s="153"/>
      <c r="N17" s="153">
        <v>53697</v>
      </c>
      <c r="O17" s="153">
        <v>25680</v>
      </c>
      <c r="P17" s="153">
        <v>14476</v>
      </c>
      <c r="Q17" s="153"/>
      <c r="R17" s="153"/>
      <c r="S17" s="153">
        <v>39221</v>
      </c>
      <c r="T17" s="147"/>
      <c r="W17" s="138" t="s">
        <v>218</v>
      </c>
      <c r="X17" s="149"/>
      <c r="Y17" s="149"/>
      <c r="Z17" s="149"/>
      <c r="AD17" s="147"/>
      <c r="AX17" s="138" t="s">
        <v>187</v>
      </c>
    </row>
    <row r="18" spans="1:50">
      <c r="A18" s="134" t="s">
        <v>23</v>
      </c>
      <c r="B18" s="134" t="s">
        <v>200</v>
      </c>
      <c r="C18" s="134" t="s">
        <v>205</v>
      </c>
      <c r="D18" s="134">
        <v>0</v>
      </c>
      <c r="E18" s="134">
        <v>7</v>
      </c>
      <c r="F18" s="134">
        <f t="shared" si="0"/>
        <v>0.15619158878504674</v>
      </c>
      <c r="G18" s="134">
        <f t="shared" si="1"/>
        <v>10.891112413014609</v>
      </c>
      <c r="H18" s="134">
        <f t="shared" si="2"/>
        <v>0.73041324468778512</v>
      </c>
      <c r="I18" s="134">
        <v>6.4337873105626039E-2</v>
      </c>
      <c r="J18" s="134"/>
      <c r="K18" s="152">
        <v>4011</v>
      </c>
      <c r="L18" s="134"/>
      <c r="M18" s="153"/>
      <c r="N18" s="153">
        <v>53697</v>
      </c>
      <c r="O18" s="153">
        <v>25680</v>
      </c>
      <c r="P18" s="153">
        <v>14476</v>
      </c>
      <c r="Q18" s="153"/>
      <c r="R18" s="153"/>
      <c r="S18" s="153">
        <v>39221</v>
      </c>
      <c r="T18" s="147"/>
      <c r="W18" s="138" t="s">
        <v>251</v>
      </c>
      <c r="X18" s="149"/>
      <c r="Y18" s="149"/>
      <c r="Z18" s="149"/>
      <c r="AD18" s="147"/>
      <c r="AX18" s="138" t="s">
        <v>188</v>
      </c>
    </row>
    <row r="19" spans="1:50">
      <c r="A19" s="134" t="s">
        <v>40</v>
      </c>
      <c r="B19" s="134" t="s">
        <v>200</v>
      </c>
      <c r="C19" s="134" t="s">
        <v>205</v>
      </c>
      <c r="D19" s="134">
        <v>0</v>
      </c>
      <c r="E19" s="134">
        <v>16</v>
      </c>
      <c r="F19" s="134">
        <f t="shared" si="0"/>
        <v>0.15619158878504674</v>
      </c>
      <c r="G19" s="134">
        <f t="shared" si="1"/>
        <v>10.891112413014609</v>
      </c>
      <c r="H19" s="134">
        <f t="shared" si="2"/>
        <v>0.73041324468778512</v>
      </c>
      <c r="I19" s="134">
        <v>-3.62432642E-2</v>
      </c>
      <c r="J19" s="134"/>
      <c r="K19" s="152">
        <v>4011</v>
      </c>
      <c r="L19" s="134"/>
      <c r="M19" s="153"/>
      <c r="N19" s="153">
        <v>53697</v>
      </c>
      <c r="O19" s="153">
        <v>25680</v>
      </c>
      <c r="P19" s="153">
        <v>14476</v>
      </c>
      <c r="Q19" s="153"/>
      <c r="R19" s="153"/>
      <c r="S19" s="153">
        <v>39221</v>
      </c>
      <c r="T19" s="147"/>
      <c r="X19" s="149"/>
      <c r="Y19" s="149"/>
      <c r="Z19" s="149"/>
      <c r="AD19" s="147"/>
      <c r="AX19" s="138" t="s">
        <v>189</v>
      </c>
    </row>
    <row r="20" spans="1:50">
      <c r="A20" s="134" t="s">
        <v>51</v>
      </c>
      <c r="B20" s="134" t="s">
        <v>200</v>
      </c>
      <c r="C20" s="134" t="s">
        <v>205</v>
      </c>
      <c r="D20" s="134">
        <v>0</v>
      </c>
      <c r="E20" s="134">
        <v>11</v>
      </c>
      <c r="F20" s="134">
        <f t="shared" si="0"/>
        <v>0.15619158878504674</v>
      </c>
      <c r="G20" s="134">
        <f t="shared" si="1"/>
        <v>10.891112413014609</v>
      </c>
      <c r="H20" s="134">
        <f t="shared" si="2"/>
        <v>0.73041324468778512</v>
      </c>
      <c r="I20" s="134">
        <v>-2.7152510999992316E-2</v>
      </c>
      <c r="J20" s="134"/>
      <c r="K20" s="152">
        <v>4011</v>
      </c>
      <c r="L20" s="134"/>
      <c r="M20" s="153"/>
      <c r="N20" s="153">
        <v>53697</v>
      </c>
      <c r="O20" s="153">
        <v>25680</v>
      </c>
      <c r="P20" s="153">
        <v>14476</v>
      </c>
      <c r="Q20" s="153"/>
      <c r="R20" s="153"/>
      <c r="S20" s="153">
        <v>39221</v>
      </c>
      <c r="T20" s="147"/>
      <c r="W20" s="138" t="s">
        <v>219</v>
      </c>
      <c r="X20" s="149"/>
      <c r="Y20" s="149"/>
      <c r="Z20" s="149"/>
      <c r="AB20" s="149"/>
      <c r="AC20" s="149"/>
      <c r="AD20" s="149"/>
      <c r="AE20" s="149"/>
      <c r="AF20" s="149"/>
      <c r="AG20" s="149"/>
      <c r="AH20" s="149"/>
      <c r="AX20" s="138" t="s">
        <v>190</v>
      </c>
    </row>
    <row r="21" spans="1:50">
      <c r="A21" s="134" t="s">
        <v>52</v>
      </c>
      <c r="B21" s="134" t="s">
        <v>200</v>
      </c>
      <c r="C21" s="134" t="s">
        <v>205</v>
      </c>
      <c r="D21" s="134">
        <v>0</v>
      </c>
      <c r="E21" s="134">
        <v>17</v>
      </c>
      <c r="F21" s="134">
        <f t="shared" si="0"/>
        <v>0.15619158878504674</v>
      </c>
      <c r="G21" s="134">
        <f t="shared" si="1"/>
        <v>10.891112413014609</v>
      </c>
      <c r="H21" s="134">
        <f t="shared" si="2"/>
        <v>0.73041324468778512</v>
      </c>
      <c r="I21" s="134">
        <v>0.13643261000000001</v>
      </c>
      <c r="J21" s="134"/>
      <c r="K21" s="152">
        <v>4011</v>
      </c>
      <c r="L21" s="134"/>
      <c r="M21" s="153"/>
      <c r="N21" s="153">
        <v>53697</v>
      </c>
      <c r="O21" s="153">
        <v>25680</v>
      </c>
      <c r="P21" s="153">
        <v>14476</v>
      </c>
      <c r="Q21" s="153"/>
      <c r="R21" s="153"/>
      <c r="S21" s="153">
        <v>39221</v>
      </c>
      <c r="T21" s="147"/>
      <c r="W21" s="138" t="s">
        <v>220</v>
      </c>
      <c r="X21" s="149"/>
      <c r="Y21" s="149"/>
      <c r="Z21" s="149"/>
      <c r="AB21" s="149"/>
      <c r="AC21" s="149"/>
      <c r="AD21" s="149"/>
      <c r="AE21" s="149"/>
      <c r="AF21" s="149"/>
      <c r="AG21" s="149"/>
      <c r="AH21" s="149"/>
      <c r="AX21" s="138" t="s">
        <v>191</v>
      </c>
    </row>
    <row r="22" spans="1:50">
      <c r="A22" s="134" t="s">
        <v>68</v>
      </c>
      <c r="B22" s="134" t="s">
        <v>200</v>
      </c>
      <c r="C22" s="134" t="s">
        <v>205</v>
      </c>
      <c r="D22" s="134">
        <v>0</v>
      </c>
      <c r="E22" s="134">
        <v>6</v>
      </c>
      <c r="F22" s="134">
        <f t="shared" si="0"/>
        <v>0.15619158878504674</v>
      </c>
      <c r="G22" s="134">
        <f t="shared" si="1"/>
        <v>10.891112413014609</v>
      </c>
      <c r="H22" s="134">
        <f t="shared" si="2"/>
        <v>0.73041324468778512</v>
      </c>
      <c r="I22" s="134">
        <v>5.8498584645161139E-2</v>
      </c>
      <c r="J22" s="134"/>
      <c r="K22" s="152">
        <v>4011</v>
      </c>
      <c r="L22" s="134"/>
      <c r="M22" s="153"/>
      <c r="N22" s="153">
        <v>53697</v>
      </c>
      <c r="O22" s="153">
        <v>25680</v>
      </c>
      <c r="P22" s="153">
        <v>14476</v>
      </c>
      <c r="Q22" s="153"/>
      <c r="R22" s="153"/>
      <c r="S22" s="153">
        <v>39221</v>
      </c>
      <c r="T22" s="147"/>
      <c r="W22" s="138" t="s">
        <v>252</v>
      </c>
      <c r="X22" s="149"/>
      <c r="Y22" s="149"/>
      <c r="Z22" s="149"/>
      <c r="AB22" s="149"/>
      <c r="AC22" s="149"/>
      <c r="AD22" s="149"/>
      <c r="AE22" s="149"/>
      <c r="AF22" s="149"/>
      <c r="AG22" s="149"/>
      <c r="AH22" s="149"/>
      <c r="AX22" s="138" t="s">
        <v>192</v>
      </c>
    </row>
    <row r="23" spans="1:50">
      <c r="A23" s="134" t="s">
        <v>89</v>
      </c>
      <c r="B23" s="134" t="s">
        <v>200</v>
      </c>
      <c r="C23" s="134" t="s">
        <v>205</v>
      </c>
      <c r="D23" s="134">
        <v>0</v>
      </c>
      <c r="E23" s="134">
        <v>12</v>
      </c>
      <c r="F23" s="134">
        <f t="shared" si="0"/>
        <v>0.15619158878504674</v>
      </c>
      <c r="G23" s="134">
        <f t="shared" si="1"/>
        <v>10.891112413014609</v>
      </c>
      <c r="H23" s="134">
        <f t="shared" si="2"/>
        <v>0.73041324468778512</v>
      </c>
      <c r="I23" s="134">
        <v>0.37035770276595231</v>
      </c>
      <c r="J23" s="134"/>
      <c r="K23" s="152">
        <v>4011</v>
      </c>
      <c r="L23" s="134"/>
      <c r="M23" s="153"/>
      <c r="N23" s="153">
        <v>53697</v>
      </c>
      <c r="O23" s="153">
        <v>25680</v>
      </c>
      <c r="P23" s="153">
        <v>14476</v>
      </c>
      <c r="Q23" s="153"/>
      <c r="R23" s="153"/>
      <c r="S23" s="153">
        <v>39221</v>
      </c>
      <c r="T23" s="147"/>
      <c r="X23" s="149"/>
      <c r="Y23" s="149"/>
      <c r="Z23" s="149"/>
      <c r="AC23" s="149"/>
      <c r="AD23" s="149"/>
      <c r="AE23" s="149"/>
      <c r="AF23" s="149"/>
      <c r="AG23" s="149"/>
      <c r="AH23" s="149"/>
      <c r="AX23" s="138" t="s">
        <v>194</v>
      </c>
    </row>
    <row r="24" spans="1:50">
      <c r="A24" s="134" t="s">
        <v>96</v>
      </c>
      <c r="B24" s="134" t="s">
        <v>200</v>
      </c>
      <c r="C24" s="134" t="s">
        <v>205</v>
      </c>
      <c r="D24" s="134">
        <v>0</v>
      </c>
      <c r="E24" s="134">
        <v>20</v>
      </c>
      <c r="F24" s="134">
        <f t="shared" si="0"/>
        <v>0.15619158878504674</v>
      </c>
      <c r="G24" s="134">
        <f t="shared" si="1"/>
        <v>10.891112413014609</v>
      </c>
      <c r="H24" s="134">
        <f t="shared" si="2"/>
        <v>0.73041324468778512</v>
      </c>
      <c r="I24" s="134">
        <v>7.7111669913787137E-2</v>
      </c>
      <c r="J24" s="134"/>
      <c r="K24" s="152">
        <v>4011</v>
      </c>
      <c r="L24" s="134"/>
      <c r="M24" s="153"/>
      <c r="N24" s="153">
        <v>53697</v>
      </c>
      <c r="O24" s="153">
        <v>25680</v>
      </c>
      <c r="P24" s="153">
        <v>14476</v>
      </c>
      <c r="Q24" s="153"/>
      <c r="R24" s="153"/>
      <c r="S24" s="153">
        <v>39221</v>
      </c>
      <c r="W24" s="138" t="s">
        <v>221</v>
      </c>
      <c r="AB24" s="149"/>
      <c r="AC24" s="149"/>
      <c r="AD24" s="149"/>
      <c r="AE24" s="149"/>
      <c r="AF24" s="149"/>
      <c r="AG24" s="149"/>
      <c r="AH24" s="149"/>
      <c r="AX24" s="138" t="s">
        <v>195</v>
      </c>
    </row>
    <row r="25" spans="1:50">
      <c r="A25" s="134" t="s">
        <v>98</v>
      </c>
      <c r="B25" s="134" t="s">
        <v>200</v>
      </c>
      <c r="C25" s="134" t="s">
        <v>205</v>
      </c>
      <c r="D25" s="134">
        <v>0</v>
      </c>
      <c r="E25" s="134">
        <v>10</v>
      </c>
      <c r="F25" s="134">
        <f t="shared" si="0"/>
        <v>0.15619158878504674</v>
      </c>
      <c r="G25" s="134">
        <f t="shared" si="1"/>
        <v>10.891112413014609</v>
      </c>
      <c r="H25" s="134">
        <f t="shared" si="2"/>
        <v>0.73041324468778512</v>
      </c>
      <c r="I25" s="134">
        <v>-2.1330977643742796E-3</v>
      </c>
      <c r="J25" s="134"/>
      <c r="K25" s="152">
        <v>4011</v>
      </c>
      <c r="L25" s="134"/>
      <c r="M25" s="153"/>
      <c r="N25" s="153">
        <v>53697</v>
      </c>
      <c r="O25" s="153">
        <v>25680</v>
      </c>
      <c r="P25" s="153">
        <v>14476</v>
      </c>
      <c r="Q25" s="153"/>
      <c r="R25" s="153"/>
      <c r="S25" s="153">
        <v>39221</v>
      </c>
      <c r="W25" s="138" t="s">
        <v>222</v>
      </c>
      <c r="AC25" s="149"/>
      <c r="AD25" s="149"/>
      <c r="AE25" s="149"/>
      <c r="AF25" s="149"/>
      <c r="AG25" s="149"/>
      <c r="AH25" s="149"/>
      <c r="AX25" s="138" t="s">
        <v>196</v>
      </c>
    </row>
    <row r="26" spans="1:50">
      <c r="A26" s="134" t="s">
        <v>100</v>
      </c>
      <c r="B26" s="134" t="s">
        <v>200</v>
      </c>
      <c r="C26" s="134" t="s">
        <v>205</v>
      </c>
      <c r="D26" s="134">
        <v>0</v>
      </c>
      <c r="E26" s="134">
        <v>9</v>
      </c>
      <c r="F26" s="134">
        <f t="shared" si="0"/>
        <v>0.15619158878504674</v>
      </c>
      <c r="G26" s="134">
        <f t="shared" si="1"/>
        <v>10.891112413014609</v>
      </c>
      <c r="H26" s="134">
        <f t="shared" si="2"/>
        <v>0.73041324468778512</v>
      </c>
      <c r="I26" s="134">
        <v>4.9953517971894311E-2</v>
      </c>
      <c r="J26" s="134"/>
      <c r="K26" s="152">
        <v>4011</v>
      </c>
      <c r="L26" s="134"/>
      <c r="M26" s="153"/>
      <c r="N26" s="153">
        <v>53697</v>
      </c>
      <c r="O26" s="153">
        <v>25680</v>
      </c>
      <c r="P26" s="153">
        <v>14476</v>
      </c>
      <c r="Q26" s="153"/>
      <c r="R26" s="153"/>
      <c r="S26" s="153">
        <v>39221</v>
      </c>
      <c r="AB26" s="149"/>
      <c r="AC26" s="149"/>
      <c r="AD26" s="149"/>
      <c r="AE26" s="149"/>
      <c r="AF26" s="149"/>
      <c r="AG26" s="149"/>
      <c r="AH26" s="149"/>
    </row>
    <row r="27" spans="1:50">
      <c r="A27" s="134" t="s">
        <v>105</v>
      </c>
      <c r="B27" s="134" t="s">
        <v>200</v>
      </c>
      <c r="C27" s="134" t="s">
        <v>205</v>
      </c>
      <c r="D27" s="134">
        <v>0</v>
      </c>
      <c r="E27" s="134">
        <v>8</v>
      </c>
      <c r="F27" s="134">
        <f t="shared" si="0"/>
        <v>0.15619158878504674</v>
      </c>
      <c r="G27" s="134">
        <f t="shared" si="1"/>
        <v>10.891112413014609</v>
      </c>
      <c r="H27" s="134">
        <f t="shared" si="2"/>
        <v>0.73041324468778512</v>
      </c>
      <c r="I27" s="134">
        <v>0.72065295251534411</v>
      </c>
      <c r="J27" s="134"/>
      <c r="K27" s="152">
        <v>4011</v>
      </c>
      <c r="L27" s="134"/>
      <c r="M27" s="153"/>
      <c r="N27" s="153">
        <v>53697</v>
      </c>
      <c r="O27" s="153">
        <v>25680</v>
      </c>
      <c r="P27" s="153">
        <v>14476</v>
      </c>
      <c r="Q27" s="153"/>
      <c r="R27" s="153"/>
      <c r="S27" s="153">
        <v>39221</v>
      </c>
      <c r="AB27" s="149"/>
      <c r="AC27" s="149"/>
      <c r="AD27" s="149"/>
      <c r="AF27" s="149"/>
      <c r="AG27" s="149"/>
      <c r="AH27" s="149"/>
    </row>
    <row r="28" spans="1:50">
      <c r="A28" s="134" t="s">
        <v>106</v>
      </c>
      <c r="B28" s="134" t="s">
        <v>200</v>
      </c>
      <c r="C28" s="134" t="s">
        <v>205</v>
      </c>
      <c r="D28" s="134">
        <v>1</v>
      </c>
      <c r="E28" s="134">
        <v>4</v>
      </c>
      <c r="F28" s="134">
        <f t="shared" si="0"/>
        <v>0.15619158878504674</v>
      </c>
      <c r="G28" s="134">
        <f t="shared" si="1"/>
        <v>10.891112413014609</v>
      </c>
      <c r="H28" s="134">
        <f t="shared" si="2"/>
        <v>0.73041324468778512</v>
      </c>
      <c r="I28" s="134">
        <v>0.16997471399467082</v>
      </c>
      <c r="J28" s="134"/>
      <c r="K28" s="152">
        <v>4011</v>
      </c>
      <c r="L28" s="134"/>
      <c r="M28" s="153"/>
      <c r="N28" s="153">
        <v>53697</v>
      </c>
      <c r="O28" s="153">
        <v>25680</v>
      </c>
      <c r="P28" s="153">
        <v>14476</v>
      </c>
      <c r="Q28" s="153"/>
      <c r="R28" s="153"/>
      <c r="S28" s="153">
        <v>39221</v>
      </c>
      <c r="AC28" s="149"/>
      <c r="AD28" s="149"/>
      <c r="AE28" s="149"/>
      <c r="AF28" s="149"/>
      <c r="AG28" s="149"/>
      <c r="AH28" s="149"/>
    </row>
    <row r="29" spans="1:50">
      <c r="A29" s="134" t="s">
        <v>107</v>
      </c>
      <c r="B29" s="134" t="s">
        <v>200</v>
      </c>
      <c r="C29" s="134" t="s">
        <v>205</v>
      </c>
      <c r="D29" s="134">
        <v>0</v>
      </c>
      <c r="E29" s="134">
        <v>3</v>
      </c>
      <c r="F29" s="134">
        <f t="shared" si="0"/>
        <v>0.15619158878504674</v>
      </c>
      <c r="G29" s="134">
        <f t="shared" si="1"/>
        <v>10.891112413014609</v>
      </c>
      <c r="H29" s="134">
        <f t="shared" si="2"/>
        <v>0.73041324468778512</v>
      </c>
      <c r="I29" s="134">
        <v>-7.2366571812844782E-2</v>
      </c>
      <c r="J29" s="134"/>
      <c r="K29" s="152">
        <v>4011</v>
      </c>
      <c r="L29" s="134"/>
      <c r="M29" s="153"/>
      <c r="N29" s="153">
        <v>53697</v>
      </c>
      <c r="O29" s="153">
        <v>25680</v>
      </c>
      <c r="P29" s="153">
        <v>14476</v>
      </c>
      <c r="Q29" s="153"/>
      <c r="R29" s="153"/>
      <c r="S29" s="153">
        <v>39221</v>
      </c>
      <c r="AB29" s="149"/>
      <c r="AC29" s="149"/>
      <c r="AD29" s="149"/>
      <c r="AE29" s="149"/>
      <c r="AF29" s="149"/>
      <c r="AG29" s="149"/>
      <c r="AH29" s="149"/>
    </row>
    <row r="30" spans="1:50">
      <c r="A30" s="134" t="s">
        <v>111</v>
      </c>
      <c r="B30" s="134" t="s">
        <v>200</v>
      </c>
      <c r="C30" s="134" t="s">
        <v>205</v>
      </c>
      <c r="D30" s="134">
        <v>1</v>
      </c>
      <c r="E30" s="134">
        <v>1</v>
      </c>
      <c r="F30" s="134">
        <f t="shared" si="0"/>
        <v>0.15619158878504674</v>
      </c>
      <c r="G30" s="134">
        <f t="shared" si="1"/>
        <v>10.891112413014609</v>
      </c>
      <c r="H30" s="134">
        <f t="shared" si="2"/>
        <v>0.73041324468778512</v>
      </c>
      <c r="I30" s="134">
        <v>-3.6417454034003149E-4</v>
      </c>
      <c r="J30" s="134"/>
      <c r="K30" s="152">
        <v>4011</v>
      </c>
      <c r="L30" s="134"/>
      <c r="M30" s="153"/>
      <c r="N30" s="153">
        <v>53697</v>
      </c>
      <c r="O30" s="153">
        <v>25680</v>
      </c>
      <c r="P30" s="153">
        <v>14476</v>
      </c>
      <c r="Q30" s="153"/>
      <c r="R30" s="153"/>
      <c r="S30" s="153">
        <v>39221</v>
      </c>
      <c r="AB30" s="149"/>
      <c r="AC30" s="149"/>
      <c r="AD30" s="149"/>
      <c r="AE30" s="149"/>
      <c r="AF30" s="149"/>
      <c r="AG30" s="149"/>
      <c r="AH30" s="149"/>
    </row>
    <row r="31" spans="1:50">
      <c r="A31" s="134" t="s">
        <v>116</v>
      </c>
      <c r="B31" s="134" t="s">
        <v>200</v>
      </c>
      <c r="C31" s="134" t="s">
        <v>205</v>
      </c>
      <c r="D31" s="134">
        <v>0</v>
      </c>
      <c r="E31" s="134">
        <v>15</v>
      </c>
      <c r="F31" s="134">
        <f t="shared" si="0"/>
        <v>0.15619158878504674</v>
      </c>
      <c r="G31" s="134">
        <f t="shared" si="1"/>
        <v>10.891112413014609</v>
      </c>
      <c r="H31" s="134">
        <f t="shared" si="2"/>
        <v>0.73041324468778512</v>
      </c>
      <c r="I31" s="134">
        <v>0.13336581240703765</v>
      </c>
      <c r="J31" s="134"/>
      <c r="K31" s="152">
        <v>4011</v>
      </c>
      <c r="L31" s="134"/>
      <c r="M31" s="153"/>
      <c r="N31" s="153">
        <v>53697</v>
      </c>
      <c r="O31" s="153">
        <v>25680</v>
      </c>
      <c r="P31" s="153">
        <v>14476</v>
      </c>
      <c r="Q31" s="153"/>
      <c r="R31" s="153"/>
      <c r="S31" s="153">
        <v>39221</v>
      </c>
      <c r="AB31" s="149"/>
      <c r="AC31" s="149"/>
      <c r="AD31" s="149"/>
      <c r="AE31" s="149"/>
      <c r="AF31" s="149"/>
      <c r="AG31" s="149"/>
      <c r="AH31" s="149"/>
    </row>
    <row r="32" spans="1:50">
      <c r="A32" s="134" t="s">
        <v>135</v>
      </c>
      <c r="B32" s="134" t="s">
        <v>200</v>
      </c>
      <c r="C32" s="134" t="s">
        <v>205</v>
      </c>
      <c r="D32" s="134">
        <v>0</v>
      </c>
      <c r="E32" s="134">
        <v>5</v>
      </c>
      <c r="F32" s="134">
        <f t="shared" si="0"/>
        <v>0.15619158878504674</v>
      </c>
      <c r="G32" s="134">
        <f t="shared" si="1"/>
        <v>10.891112413014609</v>
      </c>
      <c r="H32" s="134">
        <f t="shared" si="2"/>
        <v>0.73041324468778512</v>
      </c>
      <c r="I32" s="134">
        <v>0.14225234370334108</v>
      </c>
      <c r="J32" s="134"/>
      <c r="K32" s="152">
        <v>4011</v>
      </c>
      <c r="L32" s="134"/>
      <c r="M32" s="153"/>
      <c r="N32" s="153">
        <v>53697</v>
      </c>
      <c r="O32" s="153">
        <v>25680</v>
      </c>
      <c r="P32" s="153">
        <v>14476</v>
      </c>
      <c r="Q32" s="153"/>
      <c r="R32" s="153"/>
      <c r="S32" s="153">
        <v>39221</v>
      </c>
    </row>
    <row r="33" spans="1:35">
      <c r="A33" s="134" t="s">
        <v>141</v>
      </c>
      <c r="B33" s="134" t="s">
        <v>200</v>
      </c>
      <c r="C33" s="134" t="s">
        <v>205</v>
      </c>
      <c r="D33" s="134">
        <v>0</v>
      </c>
      <c r="E33" s="134">
        <v>18</v>
      </c>
      <c r="F33" s="134">
        <f t="shared" si="0"/>
        <v>0.15619158878504674</v>
      </c>
      <c r="G33" s="134">
        <f t="shared" si="1"/>
        <v>10.891112413014609</v>
      </c>
      <c r="H33" s="134">
        <f t="shared" si="2"/>
        <v>0.73041324468778512</v>
      </c>
      <c r="I33" s="134">
        <v>-2.0417083565494643E-2</v>
      </c>
      <c r="J33" s="134"/>
      <c r="K33" s="152">
        <v>4011</v>
      </c>
      <c r="L33" s="134"/>
      <c r="M33" s="153"/>
      <c r="N33" s="153">
        <v>53697</v>
      </c>
      <c r="O33" s="153">
        <v>25680</v>
      </c>
      <c r="P33" s="153">
        <v>14476</v>
      </c>
      <c r="Q33" s="153"/>
      <c r="R33" s="153"/>
      <c r="S33" s="153">
        <v>39221</v>
      </c>
    </row>
    <row r="34" spans="1:35">
      <c r="A34" s="134" t="s">
        <v>143</v>
      </c>
      <c r="B34" s="134" t="s">
        <v>200</v>
      </c>
      <c r="C34" s="134" t="s">
        <v>205</v>
      </c>
      <c r="D34" s="134">
        <v>0</v>
      </c>
      <c r="E34" s="134">
        <v>19</v>
      </c>
      <c r="F34" s="134">
        <f t="shared" si="0"/>
        <v>0.15619158878504674</v>
      </c>
      <c r="G34" s="134">
        <f t="shared" si="1"/>
        <v>10.891112413014609</v>
      </c>
      <c r="H34" s="134">
        <f t="shared" si="2"/>
        <v>0.73041324468778512</v>
      </c>
      <c r="I34" s="134">
        <v>0.16542375400000001</v>
      </c>
      <c r="J34" s="134"/>
      <c r="K34" s="152">
        <v>4011</v>
      </c>
      <c r="L34" s="134"/>
      <c r="M34" s="153"/>
      <c r="N34" s="153">
        <v>53697</v>
      </c>
      <c r="O34" s="153">
        <v>25680</v>
      </c>
      <c r="P34" s="153">
        <v>14476</v>
      </c>
      <c r="Q34" s="153"/>
      <c r="R34" s="153"/>
      <c r="S34" s="153">
        <v>39221</v>
      </c>
    </row>
    <row r="35" spans="1:35">
      <c r="A35" s="130" t="s">
        <v>21</v>
      </c>
      <c r="B35" s="130" t="s">
        <v>172</v>
      </c>
      <c r="C35" s="130" t="s">
        <v>205</v>
      </c>
      <c r="D35" s="130">
        <v>0</v>
      </c>
      <c r="E35" s="130">
        <v>6</v>
      </c>
      <c r="F35" s="130">
        <f t="shared" si="0"/>
        <v>0.14023885821766313</v>
      </c>
      <c r="G35" s="130">
        <f t="shared" si="1"/>
        <v>13.974365583556121</v>
      </c>
      <c r="H35" s="130">
        <f t="shared" si="2"/>
        <v>0.59194074569515631</v>
      </c>
      <c r="I35" s="130">
        <v>-7.1129912080084932E-3</v>
      </c>
      <c r="J35" s="130"/>
      <c r="K35" s="154">
        <v>64419</v>
      </c>
      <c r="L35" s="130">
        <v>733</v>
      </c>
      <c r="M35" s="148">
        <v>9687</v>
      </c>
      <c r="N35" s="148">
        <v>1172168</v>
      </c>
      <c r="O35" s="148">
        <v>459352</v>
      </c>
      <c r="P35" s="148">
        <v>478314</v>
      </c>
      <c r="Q35" s="148">
        <v>413739</v>
      </c>
      <c r="R35" s="148">
        <v>280115</v>
      </c>
      <c r="S35" s="148">
        <f t="shared" ref="S35:S79" si="5">Q35+R35</f>
        <v>693854</v>
      </c>
    </row>
    <row r="36" spans="1:35">
      <c r="A36" s="130" t="s">
        <v>33</v>
      </c>
      <c r="B36" s="130" t="s">
        <v>172</v>
      </c>
      <c r="C36" s="130" t="s">
        <v>205</v>
      </c>
      <c r="D36" s="130">
        <v>0</v>
      </c>
      <c r="E36" s="130">
        <v>12</v>
      </c>
      <c r="F36" s="130">
        <f t="shared" si="0"/>
        <v>-7.8228694730129542E-2</v>
      </c>
      <c r="G36" s="130">
        <f t="shared" si="1"/>
        <v>11.675979251406526</v>
      </c>
      <c r="H36" s="130">
        <f t="shared" si="2"/>
        <v>1.3210092600458754</v>
      </c>
      <c r="I36" s="130">
        <v>-0.15014413173515828</v>
      </c>
      <c r="J36" s="130"/>
      <c r="K36" s="154">
        <v>-10550</v>
      </c>
      <c r="L36" s="130">
        <v>582</v>
      </c>
      <c r="M36" s="148">
        <v>16700</v>
      </c>
      <c r="N36" s="148">
        <v>117710</v>
      </c>
      <c r="O36" s="148">
        <v>134861</v>
      </c>
      <c r="P36" s="148">
        <v>-37801</v>
      </c>
      <c r="Q36" s="148">
        <v>32644</v>
      </c>
      <c r="R36" s="148">
        <v>122852</v>
      </c>
      <c r="S36" s="148">
        <f t="shared" si="5"/>
        <v>155496</v>
      </c>
      <c r="W36" s="146"/>
      <c r="X36" s="146"/>
      <c r="AB36" s="146"/>
      <c r="AC36" s="146"/>
      <c r="AD36" s="146"/>
      <c r="AE36" s="146"/>
      <c r="AF36" s="146"/>
      <c r="AG36" s="146"/>
      <c r="AH36" s="146"/>
      <c r="AI36" s="146"/>
    </row>
    <row r="37" spans="1:35">
      <c r="A37" s="130" t="s">
        <v>36</v>
      </c>
      <c r="B37" s="130" t="s">
        <v>172</v>
      </c>
      <c r="C37" s="130" t="s">
        <v>205</v>
      </c>
      <c r="D37" s="130">
        <v>0</v>
      </c>
      <c r="E37" s="130">
        <v>15</v>
      </c>
      <c r="F37" s="130">
        <f t="shared" si="0"/>
        <v>0.1218765740663993</v>
      </c>
      <c r="G37" s="130">
        <f t="shared" si="1"/>
        <v>11.654563906488647</v>
      </c>
      <c r="H37" s="130">
        <f t="shared" si="2"/>
        <v>2.0797545479794475</v>
      </c>
      <c r="I37" s="130">
        <v>6.7011776657836281E-2</v>
      </c>
      <c r="J37" s="130"/>
      <c r="K37" s="154">
        <v>19115</v>
      </c>
      <c r="L37" s="130">
        <v>294</v>
      </c>
      <c r="M37" s="148">
        <v>180048</v>
      </c>
      <c r="N37" s="148">
        <v>115216</v>
      </c>
      <c r="O37" s="148">
        <v>156839</v>
      </c>
      <c r="P37" s="148">
        <v>-124405</v>
      </c>
      <c r="Q37" s="148">
        <v>10241</v>
      </c>
      <c r="R37" s="148">
        <v>229380</v>
      </c>
      <c r="S37" s="148">
        <f t="shared" si="5"/>
        <v>239621</v>
      </c>
    </row>
    <row r="38" spans="1:35">
      <c r="A38" s="130" t="s">
        <v>37</v>
      </c>
      <c r="B38" s="130" t="s">
        <v>172</v>
      </c>
      <c r="C38" s="130" t="s">
        <v>205</v>
      </c>
      <c r="D38" s="130">
        <v>0</v>
      </c>
      <c r="E38" s="130">
        <v>7</v>
      </c>
      <c r="F38" s="130">
        <f t="shared" si="0"/>
        <v>0.26702880742494939</v>
      </c>
      <c r="G38" s="130">
        <f t="shared" si="1"/>
        <v>11.925803032793846</v>
      </c>
      <c r="H38" s="130">
        <f t="shared" si="2"/>
        <v>0.46465629053177693</v>
      </c>
      <c r="I38" s="130">
        <v>-1.2999841360713483E-2</v>
      </c>
      <c r="J38" s="130"/>
      <c r="K38" s="154">
        <v>41833</v>
      </c>
      <c r="L38" s="130">
        <v>184</v>
      </c>
      <c r="M38" s="148">
        <v>669</v>
      </c>
      <c r="N38" s="148">
        <v>151116</v>
      </c>
      <c r="O38" s="148">
        <v>156661</v>
      </c>
      <c r="P38" s="148">
        <v>80898</v>
      </c>
      <c r="Q38" s="148">
        <v>11834</v>
      </c>
      <c r="R38" s="148">
        <v>58383</v>
      </c>
      <c r="S38" s="148">
        <f t="shared" si="5"/>
        <v>70217</v>
      </c>
    </row>
    <row r="39" spans="1:35">
      <c r="A39" s="130" t="s">
        <v>44</v>
      </c>
      <c r="B39" s="130" t="s">
        <v>172</v>
      </c>
      <c r="C39" s="130" t="s">
        <v>205</v>
      </c>
      <c r="D39" s="130">
        <v>0</v>
      </c>
      <c r="E39" s="130">
        <v>5</v>
      </c>
      <c r="F39" s="130">
        <f t="shared" si="0"/>
        <v>0.1398873954085818</v>
      </c>
      <c r="G39" s="130">
        <f t="shared" si="1"/>
        <v>13.654560984617987</v>
      </c>
      <c r="H39" s="130">
        <f t="shared" si="2"/>
        <v>0.48020814368021991</v>
      </c>
      <c r="I39" s="130">
        <v>3.3797748432529244E-2</v>
      </c>
      <c r="J39" s="130"/>
      <c r="K39" s="154">
        <v>69916</v>
      </c>
      <c r="L39" s="130">
        <v>756</v>
      </c>
      <c r="M39" s="148">
        <v>0</v>
      </c>
      <c r="N39" s="148">
        <v>851335</v>
      </c>
      <c r="O39" s="148">
        <v>499802</v>
      </c>
      <c r="P39" s="148">
        <v>442518</v>
      </c>
      <c r="Q39" s="148">
        <v>51190</v>
      </c>
      <c r="R39" s="148">
        <v>357628</v>
      </c>
      <c r="S39" s="148">
        <f t="shared" si="5"/>
        <v>408818</v>
      </c>
    </row>
    <row r="40" spans="1:35">
      <c r="A40" s="130" t="s">
        <v>47</v>
      </c>
      <c r="B40" s="130" t="s">
        <v>172</v>
      </c>
      <c r="C40" s="130" t="s">
        <v>205</v>
      </c>
      <c r="D40" s="130">
        <v>0</v>
      </c>
      <c r="E40" s="130">
        <v>11</v>
      </c>
      <c r="F40" s="130">
        <f t="shared" si="0"/>
        <v>-0.23856304790283744</v>
      </c>
      <c r="G40" s="130">
        <f t="shared" si="1"/>
        <v>12.235335287415715</v>
      </c>
      <c r="H40" s="130">
        <f t="shared" si="2"/>
        <v>0.63682449657422824</v>
      </c>
      <c r="I40" s="130">
        <v>2.1073560366597199E-2</v>
      </c>
      <c r="J40" s="130"/>
      <c r="K40" s="154">
        <v>-35867</v>
      </c>
      <c r="L40" s="130">
        <v>227</v>
      </c>
      <c r="M40" s="148">
        <v>25689</v>
      </c>
      <c r="N40" s="148">
        <v>205939</v>
      </c>
      <c r="O40" s="148">
        <v>150346</v>
      </c>
      <c r="P40" s="148">
        <v>30688</v>
      </c>
      <c r="Q40" s="148">
        <v>25689</v>
      </c>
      <c r="R40" s="148">
        <v>105458</v>
      </c>
      <c r="S40" s="148">
        <f t="shared" si="5"/>
        <v>131147</v>
      </c>
    </row>
    <row r="41" spans="1:35">
      <c r="A41" s="130" t="s">
        <v>57</v>
      </c>
      <c r="B41" s="130" t="s">
        <v>172</v>
      </c>
      <c r="C41" s="130" t="s">
        <v>205</v>
      </c>
      <c r="D41" s="130">
        <v>0</v>
      </c>
      <c r="E41" s="130">
        <v>8</v>
      </c>
      <c r="F41" s="130">
        <f t="shared" si="0"/>
        <v>-6.9231340443503847E-2</v>
      </c>
      <c r="G41" s="130">
        <f t="shared" si="1"/>
        <v>12.985012126975004</v>
      </c>
      <c r="H41" s="130">
        <f t="shared" si="2"/>
        <v>0.67757300978358637</v>
      </c>
      <c r="I41" s="130">
        <v>-3.1809751610099154E-3</v>
      </c>
      <c r="J41" s="130"/>
      <c r="K41" s="154">
        <v>-14917</v>
      </c>
      <c r="L41" s="130">
        <v>427</v>
      </c>
      <c r="M41" s="148">
        <v>85645</v>
      </c>
      <c r="N41" s="148">
        <v>435832</v>
      </c>
      <c r="O41" s="148">
        <v>215466</v>
      </c>
      <c r="P41" s="148">
        <v>140524</v>
      </c>
      <c r="Q41" s="148">
        <v>65149</v>
      </c>
      <c r="R41" s="148">
        <v>230159</v>
      </c>
      <c r="S41" s="148">
        <f t="shared" si="5"/>
        <v>295308</v>
      </c>
    </row>
    <row r="42" spans="1:35">
      <c r="A42" s="130" t="s">
        <v>87</v>
      </c>
      <c r="B42" s="130" t="s">
        <v>172</v>
      </c>
      <c r="C42" s="130" t="s">
        <v>205</v>
      </c>
      <c r="D42" s="130">
        <v>0</v>
      </c>
      <c r="E42" s="130">
        <v>9</v>
      </c>
      <c r="F42" s="130">
        <f t="shared" si="0"/>
        <v>-5.7713977757091764E-2</v>
      </c>
      <c r="G42" s="130">
        <f t="shared" si="1"/>
        <v>10.971468797650715</v>
      </c>
      <c r="H42" s="130">
        <f t="shared" si="2"/>
        <v>0.31606805293005669</v>
      </c>
      <c r="I42" s="130">
        <v>3.5045360140734783</v>
      </c>
      <c r="J42" s="130"/>
      <c r="K42" s="154">
        <v>-1178</v>
      </c>
      <c r="L42" s="130">
        <v>167</v>
      </c>
      <c r="M42" s="148">
        <v>10200</v>
      </c>
      <c r="N42" s="148">
        <f>55521+2669</f>
        <v>58190</v>
      </c>
      <c r="O42" s="148">
        <v>20411</v>
      </c>
      <c r="P42" s="148">
        <v>35633</v>
      </c>
      <c r="Q42" s="148">
        <v>8712</v>
      </c>
      <c r="R42" s="148">
        <v>9680</v>
      </c>
      <c r="S42" s="148">
        <f t="shared" si="5"/>
        <v>18392</v>
      </c>
    </row>
    <row r="43" spans="1:35">
      <c r="A43" s="130" t="s">
        <v>90</v>
      </c>
      <c r="B43" s="130" t="s">
        <v>172</v>
      </c>
      <c r="C43" s="130" t="s">
        <v>205</v>
      </c>
      <c r="D43" s="130">
        <v>0</v>
      </c>
      <c r="E43" s="130">
        <v>4</v>
      </c>
      <c r="F43" s="130">
        <f t="shared" si="0"/>
        <v>0.23293381869250104</v>
      </c>
      <c r="G43" s="130">
        <f t="shared" si="1"/>
        <v>13.539655601956079</v>
      </c>
      <c r="H43" s="130">
        <f t="shared" si="2"/>
        <v>0.68749003522096441</v>
      </c>
      <c r="I43" s="130">
        <v>8.5008311777743206E-2</v>
      </c>
      <c r="J43" s="130"/>
      <c r="K43" s="154">
        <v>120748</v>
      </c>
      <c r="L43" s="130">
        <v>837</v>
      </c>
      <c r="M43" s="148">
        <v>113815</v>
      </c>
      <c r="N43" s="148">
        <v>758923</v>
      </c>
      <c r="O43" s="148">
        <v>518379</v>
      </c>
      <c r="P43" s="148">
        <v>237172</v>
      </c>
      <c r="Q43" s="148">
        <v>140346</v>
      </c>
      <c r="R43" s="148">
        <v>381406</v>
      </c>
      <c r="S43" s="148">
        <f t="shared" si="5"/>
        <v>521752</v>
      </c>
    </row>
    <row r="44" spans="1:35">
      <c r="A44" s="130" t="s">
        <v>94</v>
      </c>
      <c r="B44" s="130" t="s">
        <v>172</v>
      </c>
      <c r="C44" s="130" t="s">
        <v>205</v>
      </c>
      <c r="D44" s="130">
        <v>1</v>
      </c>
      <c r="E44" s="130">
        <v>1</v>
      </c>
      <c r="F44" s="130">
        <f t="shared" si="0"/>
        <v>2.0856159162066044E-2</v>
      </c>
      <c r="G44" s="130">
        <f t="shared" si="1"/>
        <v>14.123001140047874</v>
      </c>
      <c r="H44" s="130">
        <f t="shared" si="2"/>
        <v>0.38123525743966213</v>
      </c>
      <c r="I44" s="130">
        <v>6.9889359779751289E-2</v>
      </c>
      <c r="J44" s="130"/>
      <c r="K44" s="154">
        <v>11764</v>
      </c>
      <c r="L44" s="130">
        <v>449</v>
      </c>
      <c r="M44" s="148">
        <v>14797</v>
      </c>
      <c r="N44" s="148">
        <v>1360008</v>
      </c>
      <c r="O44" s="148">
        <v>564054</v>
      </c>
      <c r="P44" s="148">
        <v>841525</v>
      </c>
      <c r="Q44" s="148">
        <v>125666</v>
      </c>
      <c r="R44" s="148">
        <v>392817</v>
      </c>
      <c r="S44" s="148">
        <f t="shared" si="5"/>
        <v>518483</v>
      </c>
    </row>
    <row r="45" spans="1:35">
      <c r="A45" s="130" t="s">
        <v>95</v>
      </c>
      <c r="B45" s="130" t="s">
        <v>172</v>
      </c>
      <c r="C45" s="130" t="s">
        <v>205</v>
      </c>
      <c r="D45" s="130">
        <v>0</v>
      </c>
      <c r="E45" s="130">
        <v>2</v>
      </c>
      <c r="F45" s="130">
        <f t="shared" si="0"/>
        <v>-6.3804339976891972E-2</v>
      </c>
      <c r="G45" s="130">
        <f t="shared" si="1"/>
        <v>14.370646038580784</v>
      </c>
      <c r="H45" s="130">
        <f t="shared" si="2"/>
        <v>0.72369053201827371</v>
      </c>
      <c r="I45" s="130">
        <v>1.5635992558439483E-2</v>
      </c>
      <c r="J45" s="130"/>
      <c r="K45" s="154">
        <v>-42411</v>
      </c>
      <c r="L45" s="130">
        <v>922</v>
      </c>
      <c r="M45" s="148">
        <v>4227</v>
      </c>
      <c r="N45" s="148">
        <v>1742177</v>
      </c>
      <c r="O45" s="148">
        <v>664704</v>
      </c>
      <c r="P45" s="148">
        <v>481380</v>
      </c>
      <c r="Q45" s="148">
        <v>740699</v>
      </c>
      <c r="R45" s="148">
        <v>520098</v>
      </c>
      <c r="S45" s="148">
        <f t="shared" si="5"/>
        <v>1260797</v>
      </c>
    </row>
    <row r="46" spans="1:35">
      <c r="A46" s="130" t="s">
        <v>102</v>
      </c>
      <c r="B46" s="130" t="s">
        <v>172</v>
      </c>
      <c r="C46" s="130" t="s">
        <v>205</v>
      </c>
      <c r="D46" s="130">
        <v>0</v>
      </c>
      <c r="E46" s="130">
        <v>10</v>
      </c>
      <c r="F46" s="130">
        <f t="shared" si="0"/>
        <v>0.10445476145502987</v>
      </c>
      <c r="G46" s="130">
        <f t="shared" si="1"/>
        <v>12.551755901591676</v>
      </c>
      <c r="H46" s="130">
        <f t="shared" si="2"/>
        <v>1.0047453740564987</v>
      </c>
      <c r="I46" s="130">
        <v>2.1872754405161753E-2</v>
      </c>
      <c r="J46" s="130"/>
      <c r="K46" s="154">
        <v>21014</v>
      </c>
      <c r="L46" s="130">
        <v>271</v>
      </c>
      <c r="M46" s="148">
        <v>39386</v>
      </c>
      <c r="N46" s="148">
        <v>282591</v>
      </c>
      <c r="O46" s="148">
        <v>201178</v>
      </c>
      <c r="P46" s="148">
        <v>-1341</v>
      </c>
      <c r="Q46" s="148">
        <v>169957</v>
      </c>
      <c r="R46" s="148">
        <v>113975</v>
      </c>
      <c r="S46" s="148">
        <f t="shared" si="5"/>
        <v>283932</v>
      </c>
    </row>
    <row r="47" spans="1:35">
      <c r="A47" s="130" t="s">
        <v>129</v>
      </c>
      <c r="B47" s="130" t="s">
        <v>172</v>
      </c>
      <c r="C47" s="130" t="s">
        <v>205</v>
      </c>
      <c r="D47" s="130">
        <v>0</v>
      </c>
      <c r="E47" s="130">
        <v>17</v>
      </c>
      <c r="F47" s="130">
        <f t="shared" si="0"/>
        <v>0.18651180306897727</v>
      </c>
      <c r="G47" s="130">
        <f t="shared" si="1"/>
        <v>12.569437164286198</v>
      </c>
      <c r="H47" s="130">
        <f t="shared" si="2"/>
        <v>0.63194637592479275</v>
      </c>
      <c r="I47" s="130">
        <v>2.5999485961884033E-2</v>
      </c>
      <c r="J47" s="130"/>
      <c r="K47" s="154">
        <v>31201</v>
      </c>
      <c r="L47" s="130">
        <v>385</v>
      </c>
      <c r="M47" s="148">
        <v>46366</v>
      </c>
      <c r="N47" s="148">
        <v>287632</v>
      </c>
      <c r="O47" s="148">
        <v>167287</v>
      </c>
      <c r="P47" s="148">
        <v>105864</v>
      </c>
      <c r="Q47" s="148">
        <v>57193</v>
      </c>
      <c r="R47" s="148">
        <v>124575</v>
      </c>
      <c r="S47" s="148">
        <f t="shared" si="5"/>
        <v>181768</v>
      </c>
    </row>
    <row r="48" spans="1:35">
      <c r="A48" s="130" t="s">
        <v>140</v>
      </c>
      <c r="B48" s="130" t="s">
        <v>172</v>
      </c>
      <c r="C48" s="130" t="s">
        <v>205</v>
      </c>
      <c r="D48" s="130">
        <v>0</v>
      </c>
      <c r="E48" s="130">
        <v>3</v>
      </c>
      <c r="F48" s="130">
        <f t="shared" si="0"/>
        <v>0.29670035145288948</v>
      </c>
      <c r="G48" s="130">
        <f t="shared" si="1"/>
        <v>14.197019665450178</v>
      </c>
      <c r="H48" s="130">
        <f t="shared" si="2"/>
        <v>0.74204997907125536</v>
      </c>
      <c r="I48" s="130">
        <v>6.0425948194212216E-2</v>
      </c>
      <c r="J48" s="130"/>
      <c r="K48" s="154">
        <v>127307</v>
      </c>
      <c r="L48" s="130">
        <v>485</v>
      </c>
      <c r="M48" s="148">
        <v>639</v>
      </c>
      <c r="N48" s="148">
        <v>1464493</v>
      </c>
      <c r="O48" s="148">
        <v>429076</v>
      </c>
      <c r="P48" s="148">
        <v>377766</v>
      </c>
      <c r="Q48" s="148">
        <v>768549</v>
      </c>
      <c r="R48" s="148">
        <v>318178</v>
      </c>
      <c r="S48" s="148">
        <f t="shared" si="5"/>
        <v>1086727</v>
      </c>
    </row>
    <row r="49" spans="1:19">
      <c r="A49" s="130" t="s">
        <v>148</v>
      </c>
      <c r="B49" s="130" t="s">
        <v>172</v>
      </c>
      <c r="C49" s="130" t="s">
        <v>205</v>
      </c>
      <c r="D49" s="130">
        <v>0</v>
      </c>
      <c r="E49" s="130">
        <v>14</v>
      </c>
      <c r="F49" s="130">
        <f t="shared" si="0"/>
        <v>-0.23963436574496941</v>
      </c>
      <c r="G49" s="130">
        <f t="shared" si="1"/>
        <v>12.278783928481756</v>
      </c>
      <c r="H49" s="130">
        <f t="shared" si="2"/>
        <v>1.1460266686503877</v>
      </c>
      <c r="I49" s="130">
        <v>2.4528258014123755E-2</v>
      </c>
      <c r="J49" s="130"/>
      <c r="K49" s="154">
        <v>-34631</v>
      </c>
      <c r="L49" s="130">
        <v>292</v>
      </c>
      <c r="M49" s="148">
        <v>26531</v>
      </c>
      <c r="N49" s="148">
        <v>215084</v>
      </c>
      <c r="O49" s="148">
        <v>144516</v>
      </c>
      <c r="P49" s="148">
        <v>-31408</v>
      </c>
      <c r="Q49" s="148">
        <v>107005</v>
      </c>
      <c r="R49" s="148">
        <v>139487</v>
      </c>
      <c r="S49" s="148">
        <f t="shared" si="5"/>
        <v>246492</v>
      </c>
    </row>
    <row r="50" spans="1:19">
      <c r="A50" s="130" t="s">
        <v>150</v>
      </c>
      <c r="B50" s="130" t="s">
        <v>172</v>
      </c>
      <c r="C50" s="130" t="s">
        <v>205</v>
      </c>
      <c r="D50" s="130">
        <v>0</v>
      </c>
      <c r="E50" s="130">
        <v>13</v>
      </c>
      <c r="F50" s="130">
        <f t="shared" si="0"/>
        <v>0.1042697214267118</v>
      </c>
      <c r="G50" s="130">
        <f t="shared" si="1"/>
        <v>12.253981469052059</v>
      </c>
      <c r="H50" s="130">
        <f t="shared" si="2"/>
        <v>1.275985987655792</v>
      </c>
      <c r="I50" s="130">
        <v>0.14258207254727998</v>
      </c>
      <c r="J50" s="130"/>
      <c r="K50" s="154">
        <v>20826</v>
      </c>
      <c r="L50" s="130">
        <v>435</v>
      </c>
      <c r="M50" s="148">
        <v>89518</v>
      </c>
      <c r="N50" s="148">
        <v>209815</v>
      </c>
      <c r="O50" s="148">
        <v>199732</v>
      </c>
      <c r="P50" s="148">
        <v>-57906</v>
      </c>
      <c r="Q50" s="148">
        <v>88784</v>
      </c>
      <c r="R50" s="148">
        <v>178937</v>
      </c>
      <c r="S50" s="148">
        <f t="shared" si="5"/>
        <v>267721</v>
      </c>
    </row>
    <row r="51" spans="1:19">
      <c r="A51" s="132" t="s">
        <v>3</v>
      </c>
      <c r="B51" s="132" t="s">
        <v>198</v>
      </c>
      <c r="C51" s="132" t="s">
        <v>205</v>
      </c>
      <c r="D51" s="132">
        <v>1</v>
      </c>
      <c r="E51" s="132">
        <v>6</v>
      </c>
      <c r="F51" s="132">
        <f t="shared" si="0"/>
        <v>-0.50478673972953925</v>
      </c>
      <c r="G51" s="132">
        <f t="shared" si="1"/>
        <v>12.983480548495667</v>
      </c>
      <c r="H51" s="132">
        <f t="shared" si="2"/>
        <v>1.0828260544850803</v>
      </c>
      <c r="I51" s="132">
        <v>6.34479398799324E-2</v>
      </c>
      <c r="J51" s="132"/>
      <c r="K51" s="155">
        <v>-126019</v>
      </c>
      <c r="L51" s="132">
        <v>339</v>
      </c>
      <c r="M51" s="156">
        <v>140271</v>
      </c>
      <c r="N51" s="156">
        <v>435165</v>
      </c>
      <c r="O51" s="156">
        <v>249648</v>
      </c>
      <c r="P51" s="156">
        <v>-36043</v>
      </c>
      <c r="Q51" s="156">
        <v>46042</v>
      </c>
      <c r="R51" s="156">
        <v>425166</v>
      </c>
      <c r="S51" s="156">
        <f t="shared" si="5"/>
        <v>471208</v>
      </c>
    </row>
    <row r="52" spans="1:19">
      <c r="A52" s="132" t="s">
        <v>25</v>
      </c>
      <c r="B52" s="132" t="s">
        <v>198</v>
      </c>
      <c r="C52" s="132" t="s">
        <v>205</v>
      </c>
      <c r="D52" s="132">
        <v>0</v>
      </c>
      <c r="E52" s="132">
        <v>7</v>
      </c>
      <c r="F52" s="132">
        <f t="shared" si="0"/>
        <v>0.15663300355035664</v>
      </c>
      <c r="G52" s="132">
        <f t="shared" si="1"/>
        <v>12.043194828110421</v>
      </c>
      <c r="H52" s="132">
        <f t="shared" si="2"/>
        <v>0.69616744831969113</v>
      </c>
      <c r="I52" s="132">
        <v>-4.2197373730551643E-3</v>
      </c>
      <c r="J52" s="132"/>
      <c r="K52" s="155">
        <v>24397</v>
      </c>
      <c r="L52" s="132">
        <v>156</v>
      </c>
      <c r="M52" s="156">
        <v>1049</v>
      </c>
      <c r="N52" s="156">
        <v>169939</v>
      </c>
      <c r="O52" s="156">
        <v>155759</v>
      </c>
      <c r="P52" s="156">
        <v>51632</v>
      </c>
      <c r="Q52" s="156">
        <v>43758</v>
      </c>
      <c r="R52" s="156">
        <v>74548</v>
      </c>
      <c r="S52" s="156">
        <f t="shared" si="5"/>
        <v>118306</v>
      </c>
    </row>
    <row r="53" spans="1:19">
      <c r="A53" s="132" t="s">
        <v>32</v>
      </c>
      <c r="B53" s="132" t="s">
        <v>198</v>
      </c>
      <c r="C53" s="132" t="s">
        <v>205</v>
      </c>
      <c r="D53" s="132">
        <v>0</v>
      </c>
      <c r="E53" s="132">
        <v>15</v>
      </c>
      <c r="F53" s="132">
        <f t="shared" si="0"/>
        <v>-5.1920486990249419E-2</v>
      </c>
      <c r="G53" s="132">
        <f t="shared" si="1"/>
        <v>11.66899715561698</v>
      </c>
      <c r="H53" s="132">
        <f t="shared" si="2"/>
        <v>0.73926991812885512</v>
      </c>
      <c r="I53" s="132">
        <v>-3.068300245235572E-2</v>
      </c>
      <c r="J53" s="132"/>
      <c r="K53" s="155">
        <v>-4819</v>
      </c>
      <c r="L53" s="132">
        <v>172</v>
      </c>
      <c r="M53" s="156">
        <v>9819</v>
      </c>
      <c r="N53" s="156">
        <v>116891</v>
      </c>
      <c r="O53" s="156">
        <v>92815</v>
      </c>
      <c r="P53" s="156">
        <v>30477</v>
      </c>
      <c r="Q53" s="156">
        <v>31422</v>
      </c>
      <c r="R53" s="156">
        <v>54992</v>
      </c>
      <c r="S53" s="156">
        <f t="shared" si="5"/>
        <v>86414</v>
      </c>
    </row>
    <row r="54" spans="1:19">
      <c r="A54" s="132" t="s">
        <v>59</v>
      </c>
      <c r="B54" s="132" t="s">
        <v>198</v>
      </c>
      <c r="C54" s="132" t="s">
        <v>205</v>
      </c>
      <c r="D54" s="132">
        <v>0</v>
      </c>
      <c r="E54" s="132">
        <v>8</v>
      </c>
      <c r="F54" s="132">
        <f t="shared" si="0"/>
        <v>-0.14004128462387788</v>
      </c>
      <c r="G54" s="132">
        <f t="shared" si="1"/>
        <v>12.353267762848551</v>
      </c>
      <c r="H54" s="132">
        <f t="shared" si="2"/>
        <v>0.61219337464827639</v>
      </c>
      <c r="I54" s="132">
        <v>0.85422224629558374</v>
      </c>
      <c r="J54" s="132"/>
      <c r="K54" s="155">
        <v>-14586</v>
      </c>
      <c r="L54" s="132">
        <v>183</v>
      </c>
      <c r="M54" s="156">
        <v>12930</v>
      </c>
      <c r="N54" s="156">
        <v>231716</v>
      </c>
      <c r="O54" s="156">
        <v>104155</v>
      </c>
      <c r="P54" s="156">
        <v>89862</v>
      </c>
      <c r="Q54" s="156">
        <v>39587</v>
      </c>
      <c r="R54" s="156">
        <v>102268</v>
      </c>
      <c r="S54" s="156">
        <f t="shared" si="5"/>
        <v>141855</v>
      </c>
    </row>
    <row r="55" spans="1:19">
      <c r="A55" s="132" t="s">
        <v>65</v>
      </c>
      <c r="B55" s="132" t="s">
        <v>198</v>
      </c>
      <c r="C55" s="132" t="s">
        <v>205</v>
      </c>
      <c r="D55" s="132">
        <v>0</v>
      </c>
      <c r="E55" s="132">
        <v>12</v>
      </c>
      <c r="F55" s="132">
        <f t="shared" si="0"/>
        <v>-3.9816433925243616E-2</v>
      </c>
      <c r="G55" s="132">
        <f t="shared" si="1"/>
        <v>12.299248731593673</v>
      </c>
      <c r="H55" s="132">
        <f t="shared" si="2"/>
        <v>1.0715252060073521</v>
      </c>
      <c r="I55" s="132">
        <v>-2.0124046586775274E-2</v>
      </c>
      <c r="J55" s="132"/>
      <c r="K55" s="155">
        <v>-4850</v>
      </c>
      <c r="L55" s="132">
        <v>163</v>
      </c>
      <c r="M55" s="156">
        <v>30197</v>
      </c>
      <c r="N55" s="156">
        <v>219531</v>
      </c>
      <c r="O55" s="156">
        <v>121809</v>
      </c>
      <c r="P55" s="156">
        <v>-15703</v>
      </c>
      <c r="Q55" s="156">
        <v>86208</v>
      </c>
      <c r="R55" s="156">
        <v>149025</v>
      </c>
      <c r="S55" s="156">
        <f t="shared" si="5"/>
        <v>235233</v>
      </c>
    </row>
    <row r="56" spans="1:19">
      <c r="A56" s="132" t="s">
        <v>75</v>
      </c>
      <c r="B56" s="132" t="s">
        <v>198</v>
      </c>
      <c r="C56" s="132" t="s">
        <v>205</v>
      </c>
      <c r="D56" s="132">
        <v>1</v>
      </c>
      <c r="E56" s="132">
        <v>4</v>
      </c>
      <c r="F56" s="132">
        <f t="shared" si="0"/>
        <v>-5.1165739646675694E-2</v>
      </c>
      <c r="G56" s="132">
        <f t="shared" si="1"/>
        <v>13.653364500117695</v>
      </c>
      <c r="H56" s="132">
        <f t="shared" si="2"/>
        <v>0.99549226935366453</v>
      </c>
      <c r="I56" s="132">
        <v>6.6583611764254896E-2</v>
      </c>
      <c r="J56" s="132"/>
      <c r="K56" s="155">
        <v>-17754</v>
      </c>
      <c r="L56" s="132">
        <v>449</v>
      </c>
      <c r="M56" s="156">
        <v>6251</v>
      </c>
      <c r="N56" s="156">
        <v>850317</v>
      </c>
      <c r="O56" s="156">
        <v>346990</v>
      </c>
      <c r="P56" s="156">
        <v>3832</v>
      </c>
      <c r="Q56" s="156">
        <v>426048</v>
      </c>
      <c r="R56" s="156">
        <v>420436</v>
      </c>
      <c r="S56" s="156">
        <f t="shared" si="5"/>
        <v>846484</v>
      </c>
    </row>
    <row r="57" spans="1:19">
      <c r="A57" s="132" t="s">
        <v>77</v>
      </c>
      <c r="B57" s="132" t="s">
        <v>198</v>
      </c>
      <c r="C57" s="132" t="s">
        <v>205</v>
      </c>
      <c r="D57" s="132">
        <v>0</v>
      </c>
      <c r="E57" s="132">
        <v>1</v>
      </c>
      <c r="F57" s="132">
        <f t="shared" si="0"/>
        <v>-3.8104183137858676E-2</v>
      </c>
      <c r="G57" s="132">
        <f t="shared" si="1"/>
        <v>13.557604739837775</v>
      </c>
      <c r="H57" s="132">
        <f t="shared" si="2"/>
        <v>0.90675814191865067</v>
      </c>
      <c r="I57" s="132">
        <v>-2.0699570628289754E-2</v>
      </c>
      <c r="J57" s="132"/>
      <c r="K57" s="155">
        <v>-19230</v>
      </c>
      <c r="L57" s="132">
        <v>236</v>
      </c>
      <c r="M57" s="156">
        <v>52393</v>
      </c>
      <c r="N57" s="156">
        <v>772668</v>
      </c>
      <c r="O57" s="156">
        <v>504669</v>
      </c>
      <c r="P57" s="156">
        <v>72045</v>
      </c>
      <c r="Q57" s="156">
        <v>387945</v>
      </c>
      <c r="R57" s="156">
        <v>312678</v>
      </c>
      <c r="S57" s="156">
        <f t="shared" si="5"/>
        <v>700623</v>
      </c>
    </row>
    <row r="58" spans="1:19">
      <c r="A58" s="132" t="s">
        <v>83</v>
      </c>
      <c r="B58" s="132" t="s">
        <v>198</v>
      </c>
      <c r="C58" s="132" t="s">
        <v>205</v>
      </c>
      <c r="D58" s="132">
        <v>0</v>
      </c>
      <c r="E58" s="132">
        <v>5</v>
      </c>
      <c r="F58" s="132">
        <f t="shared" si="0"/>
        <v>0.19335662161041545</v>
      </c>
      <c r="G58" s="132">
        <f t="shared" si="1"/>
        <v>12.445640575258526</v>
      </c>
      <c r="H58" s="132">
        <f t="shared" si="2"/>
        <v>0.77350279373573616</v>
      </c>
      <c r="I58" s="132">
        <v>-8.8213990180376095E-2</v>
      </c>
      <c r="J58" s="132"/>
      <c r="K58" s="155">
        <v>37307</v>
      </c>
      <c r="L58" s="132">
        <v>188</v>
      </c>
      <c r="M58" s="156">
        <v>0</v>
      </c>
      <c r="N58" s="156">
        <v>254140</v>
      </c>
      <c r="O58" s="156">
        <v>192944</v>
      </c>
      <c r="P58" s="156">
        <v>57562</v>
      </c>
      <c r="Q58" s="156">
        <v>96722</v>
      </c>
      <c r="R58" s="156">
        <v>99856</v>
      </c>
      <c r="S58" s="156">
        <f t="shared" si="5"/>
        <v>196578</v>
      </c>
    </row>
    <row r="59" spans="1:19">
      <c r="A59" s="132" t="s">
        <v>101</v>
      </c>
      <c r="B59" s="132" t="s">
        <v>198</v>
      </c>
      <c r="C59" s="132" t="s">
        <v>205</v>
      </c>
      <c r="D59" s="132">
        <v>0</v>
      </c>
      <c r="E59" s="132">
        <v>2</v>
      </c>
      <c r="F59" s="132">
        <f t="shared" si="0"/>
        <v>-3.4373954973517008E-2</v>
      </c>
      <c r="G59" s="132">
        <f t="shared" si="1"/>
        <v>12.555090851319905</v>
      </c>
      <c r="H59" s="132">
        <f t="shared" si="2"/>
        <v>0.58996596540109691</v>
      </c>
      <c r="I59" s="132">
        <v>3.3371481389394581E-2</v>
      </c>
      <c r="J59" s="132"/>
      <c r="K59" s="155">
        <v>-6373</v>
      </c>
      <c r="L59" s="132">
        <v>105</v>
      </c>
      <c r="M59" s="156">
        <v>0</v>
      </c>
      <c r="N59" s="156">
        <v>283535</v>
      </c>
      <c r="O59" s="156">
        <v>185402</v>
      </c>
      <c r="P59" s="156">
        <v>116259</v>
      </c>
      <c r="Q59" s="156">
        <v>55567</v>
      </c>
      <c r="R59" s="156">
        <v>111709</v>
      </c>
      <c r="S59" s="156">
        <f t="shared" si="5"/>
        <v>167276</v>
      </c>
    </row>
    <row r="60" spans="1:19">
      <c r="A60" s="132" t="s">
        <v>121</v>
      </c>
      <c r="B60" s="132" t="s">
        <v>198</v>
      </c>
      <c r="C60" s="132" t="s">
        <v>205</v>
      </c>
      <c r="D60" s="132">
        <v>1</v>
      </c>
      <c r="E60" s="132">
        <v>3</v>
      </c>
      <c r="F60" s="132">
        <f t="shared" si="0"/>
        <v>-7.9596927005453594E-2</v>
      </c>
      <c r="G60" s="132">
        <f t="shared" si="1"/>
        <v>13.074724450307126</v>
      </c>
      <c r="H60" s="132">
        <f t="shared" si="2"/>
        <v>1.2211356738173298</v>
      </c>
      <c r="I60" s="132">
        <v>-3.6223363745698164E-2</v>
      </c>
      <c r="J60" s="132"/>
      <c r="K60" s="155">
        <v>-25498</v>
      </c>
      <c r="L60" s="132">
        <v>348</v>
      </c>
      <c r="M60" s="156">
        <v>37762</v>
      </c>
      <c r="N60" s="156">
        <v>476739</v>
      </c>
      <c r="O60" s="156">
        <v>320339</v>
      </c>
      <c r="P60" s="156">
        <v>-105424</v>
      </c>
      <c r="Q60" s="156">
        <v>342188</v>
      </c>
      <c r="R60" s="156">
        <v>239975</v>
      </c>
      <c r="S60" s="156">
        <f t="shared" si="5"/>
        <v>582163</v>
      </c>
    </row>
    <row r="61" spans="1:19">
      <c r="A61" s="132" t="s">
        <v>123</v>
      </c>
      <c r="B61" s="132" t="s">
        <v>198</v>
      </c>
      <c r="C61" s="132" t="s">
        <v>205</v>
      </c>
      <c r="D61" s="132">
        <v>0</v>
      </c>
      <c r="E61" s="132">
        <v>10</v>
      </c>
      <c r="F61" s="132">
        <f t="shared" si="0"/>
        <v>8.6712854049309701E-2</v>
      </c>
      <c r="G61" s="132">
        <f t="shared" si="1"/>
        <v>12.322476953400276</v>
      </c>
      <c r="H61" s="132">
        <f t="shared" si="2"/>
        <v>0.79970626196092398</v>
      </c>
      <c r="I61" s="132">
        <v>-0.1086261221963865</v>
      </c>
      <c r="J61" s="132"/>
      <c r="K61" s="155">
        <v>12053</v>
      </c>
      <c r="L61" s="132">
        <v>158</v>
      </c>
      <c r="M61" s="156">
        <v>13720</v>
      </c>
      <c r="N61" s="156">
        <v>224690</v>
      </c>
      <c r="O61" s="156">
        <v>138999</v>
      </c>
      <c r="P61" s="156">
        <v>45004</v>
      </c>
      <c r="Q61" s="156">
        <v>56529</v>
      </c>
      <c r="R61" s="156">
        <v>123157</v>
      </c>
      <c r="S61" s="156">
        <f t="shared" si="5"/>
        <v>179686</v>
      </c>
    </row>
    <row r="62" spans="1:19">
      <c r="A62" s="132" t="s">
        <v>124</v>
      </c>
      <c r="B62" s="132" t="s">
        <v>198</v>
      </c>
      <c r="C62" s="132" t="s">
        <v>205</v>
      </c>
      <c r="D62" s="132">
        <v>0</v>
      </c>
      <c r="E62" s="132">
        <v>11</v>
      </c>
      <c r="F62" s="132">
        <f t="shared" si="0"/>
        <v>7.7692777290243806E-2</v>
      </c>
      <c r="G62" s="132">
        <f t="shared" si="1"/>
        <v>12.074082921067221</v>
      </c>
      <c r="H62" s="132">
        <f t="shared" si="2"/>
        <v>0.84461687681862274</v>
      </c>
      <c r="I62" s="132">
        <v>0.14234960438141481</v>
      </c>
      <c r="J62" s="132"/>
      <c r="K62" s="155">
        <v>8145</v>
      </c>
      <c r="L62" s="132">
        <v>159</v>
      </c>
      <c r="M62" s="156">
        <v>26649</v>
      </c>
      <c r="N62" s="156">
        <v>175270</v>
      </c>
      <c r="O62" s="156">
        <v>104836</v>
      </c>
      <c r="P62" s="156">
        <v>27233</v>
      </c>
      <c r="Q62" s="156">
        <v>41128</v>
      </c>
      <c r="R62" s="156">
        <v>106908</v>
      </c>
      <c r="S62" s="156">
        <f t="shared" si="5"/>
        <v>148036</v>
      </c>
    </row>
    <row r="63" spans="1:19">
      <c r="A63" s="132" t="s">
        <v>139</v>
      </c>
      <c r="B63" s="132" t="s">
        <v>198</v>
      </c>
      <c r="C63" s="132" t="s">
        <v>205</v>
      </c>
      <c r="D63" s="132">
        <v>0</v>
      </c>
      <c r="E63" s="132">
        <v>9</v>
      </c>
      <c r="F63" s="132">
        <f t="shared" si="0"/>
        <v>-0.13280477847965277</v>
      </c>
      <c r="G63" s="132">
        <f t="shared" si="1"/>
        <v>11.904460667544894</v>
      </c>
      <c r="H63" s="132">
        <f t="shared" si="2"/>
        <v>0.6740172384654386</v>
      </c>
      <c r="I63" s="132">
        <v>6.4138477371339486E-2</v>
      </c>
      <c r="J63" s="132"/>
      <c r="K63" s="155">
        <v>-12362</v>
      </c>
      <c r="L63" s="132">
        <v>148</v>
      </c>
      <c r="M63" s="156">
        <v>0</v>
      </c>
      <c r="N63" s="156">
        <v>147925</v>
      </c>
      <c r="O63" s="156">
        <v>93084</v>
      </c>
      <c r="P63" s="156">
        <v>48221</v>
      </c>
      <c r="Q63" s="156">
        <v>34112</v>
      </c>
      <c r="R63" s="156">
        <v>65592</v>
      </c>
      <c r="S63" s="156">
        <f t="shared" si="5"/>
        <v>99704</v>
      </c>
    </row>
    <row r="64" spans="1:19">
      <c r="A64" s="132" t="s">
        <v>144</v>
      </c>
      <c r="B64" s="132" t="s">
        <v>198</v>
      </c>
      <c r="C64" s="132" t="s">
        <v>205</v>
      </c>
      <c r="D64" s="132">
        <v>0</v>
      </c>
      <c r="E64" s="132">
        <v>14</v>
      </c>
      <c r="F64" s="132">
        <f t="shared" si="0"/>
        <v>-0.21624448392458021</v>
      </c>
      <c r="G64" s="132">
        <f t="shared" si="1"/>
        <v>11.744251448691996</v>
      </c>
      <c r="H64" s="132">
        <f t="shared" si="2"/>
        <v>0.97325176351099363</v>
      </c>
      <c r="I64" s="132">
        <v>9.4004487104646706E-2</v>
      </c>
      <c r="J64" s="132"/>
      <c r="K64" s="155">
        <v>-15093</v>
      </c>
      <c r="L64" s="132">
        <v>111</v>
      </c>
      <c r="M64" s="156">
        <v>2505</v>
      </c>
      <c r="N64" s="156">
        <v>126027</v>
      </c>
      <c r="O64" s="156">
        <v>69796</v>
      </c>
      <c r="P64" s="156">
        <v>3371</v>
      </c>
      <c r="Q64" s="156">
        <v>52065</v>
      </c>
      <c r="R64" s="156">
        <v>70591</v>
      </c>
      <c r="S64" s="156">
        <f t="shared" si="5"/>
        <v>122656</v>
      </c>
    </row>
    <row r="65" spans="1:19">
      <c r="A65" s="132" t="s">
        <v>155</v>
      </c>
      <c r="B65" s="132" t="s">
        <v>198</v>
      </c>
      <c r="C65" s="132" t="s">
        <v>205</v>
      </c>
      <c r="D65" s="132">
        <v>0</v>
      </c>
      <c r="E65" s="132">
        <v>19</v>
      </c>
      <c r="F65" s="132">
        <f t="shared" si="0"/>
        <v>0.12625400213447172</v>
      </c>
      <c r="G65" s="132">
        <f t="shared" si="1"/>
        <v>11.535997252537985</v>
      </c>
      <c r="H65" s="132">
        <f t="shared" si="2"/>
        <v>0.78687435261008076</v>
      </c>
      <c r="I65" s="132">
        <v>0.12159028054706429</v>
      </c>
      <c r="J65" s="132"/>
      <c r="K65" s="155">
        <v>8281</v>
      </c>
      <c r="L65" s="132">
        <v>142</v>
      </c>
      <c r="M65" s="156">
        <v>5774</v>
      </c>
      <c r="N65" s="156">
        <v>102334</v>
      </c>
      <c r="O65" s="156">
        <v>65590</v>
      </c>
      <c r="P65" s="156">
        <f t="shared" ref="P65:P79" si="6">N65-S65</f>
        <v>21810</v>
      </c>
      <c r="Q65" s="156">
        <v>33767</v>
      </c>
      <c r="R65" s="156">
        <v>46757</v>
      </c>
      <c r="S65" s="156">
        <f t="shared" si="5"/>
        <v>80524</v>
      </c>
    </row>
    <row r="66" spans="1:19">
      <c r="A66" s="133" t="s">
        <v>9</v>
      </c>
      <c r="B66" s="133" t="s">
        <v>199</v>
      </c>
      <c r="C66" s="133" t="s">
        <v>205</v>
      </c>
      <c r="D66" s="133">
        <v>0</v>
      </c>
      <c r="E66" s="133">
        <v>11</v>
      </c>
      <c r="F66" s="133">
        <f t="shared" si="0"/>
        <v>-0.89170511767060656</v>
      </c>
      <c r="G66" s="133">
        <f t="shared" si="1"/>
        <v>11.586594054895428</v>
      </c>
      <c r="H66" s="133">
        <f t="shared" si="2"/>
        <v>1.5476241348878257</v>
      </c>
      <c r="I66" s="133">
        <v>0.25746654600000002</v>
      </c>
      <c r="J66" s="133"/>
      <c r="K66" s="158">
        <v>-42323</v>
      </c>
      <c r="L66" s="133">
        <v>134</v>
      </c>
      <c r="M66" s="159">
        <v>56223</v>
      </c>
      <c r="N66" s="159">
        <v>107645</v>
      </c>
      <c r="O66" s="159">
        <v>47463</v>
      </c>
      <c r="P66" s="159">
        <f t="shared" si="6"/>
        <v>-58949</v>
      </c>
      <c r="Q66" s="159">
        <v>128952</v>
      </c>
      <c r="R66" s="159">
        <v>37642</v>
      </c>
      <c r="S66" s="159">
        <f t="shared" si="5"/>
        <v>166594</v>
      </c>
    </row>
    <row r="67" spans="1:19">
      <c r="A67" s="133" t="s">
        <v>13</v>
      </c>
      <c r="B67" s="133" t="s">
        <v>199</v>
      </c>
      <c r="C67" s="133" t="s">
        <v>205</v>
      </c>
      <c r="D67" s="133">
        <v>0</v>
      </c>
      <c r="E67" s="133">
        <v>12</v>
      </c>
      <c r="F67" s="133">
        <f t="shared" ref="F67:F130" si="7">K67/O67</f>
        <v>-0.89170511767060656</v>
      </c>
      <c r="G67" s="133">
        <f t="shared" ref="G67:G130" si="8">LN(N67)</f>
        <v>11.586594054895428</v>
      </c>
      <c r="H67" s="133">
        <f t="shared" ref="H67:H130" si="9">S67/N67</f>
        <v>1.5476241348878257</v>
      </c>
      <c r="I67" s="133">
        <v>0.45616087517016962</v>
      </c>
      <c r="J67" s="133"/>
      <c r="K67" s="158">
        <v>-42323</v>
      </c>
      <c r="L67" s="133">
        <v>134</v>
      </c>
      <c r="M67" s="159">
        <v>56223</v>
      </c>
      <c r="N67" s="159">
        <v>107645</v>
      </c>
      <c r="O67" s="159">
        <v>47463</v>
      </c>
      <c r="P67" s="159">
        <f t="shared" si="6"/>
        <v>-58949</v>
      </c>
      <c r="Q67" s="159">
        <v>128952</v>
      </c>
      <c r="R67" s="159">
        <v>37642</v>
      </c>
      <c r="S67" s="159">
        <f t="shared" si="5"/>
        <v>166594</v>
      </c>
    </row>
    <row r="68" spans="1:19">
      <c r="A68" s="133" t="s">
        <v>20</v>
      </c>
      <c r="B68" s="133" t="s">
        <v>199</v>
      </c>
      <c r="C68" s="133" t="s">
        <v>205</v>
      </c>
      <c r="D68" s="133">
        <v>0</v>
      </c>
      <c r="E68" s="133">
        <v>14</v>
      </c>
      <c r="F68" s="133">
        <f t="shared" si="7"/>
        <v>-0.89170511767060656</v>
      </c>
      <c r="G68" s="133">
        <f t="shared" si="8"/>
        <v>11.586594054895428</v>
      </c>
      <c r="H68" s="133">
        <f t="shared" si="9"/>
        <v>1.5476241348878257</v>
      </c>
      <c r="I68" s="133">
        <v>0.1742155148707592</v>
      </c>
      <c r="J68" s="133"/>
      <c r="K68" s="158">
        <v>-42323</v>
      </c>
      <c r="L68" s="133">
        <v>134</v>
      </c>
      <c r="M68" s="159">
        <v>56223</v>
      </c>
      <c r="N68" s="159">
        <v>107645</v>
      </c>
      <c r="O68" s="159">
        <v>47463</v>
      </c>
      <c r="P68" s="159">
        <f t="shared" si="6"/>
        <v>-58949</v>
      </c>
      <c r="Q68" s="159">
        <v>128952</v>
      </c>
      <c r="R68" s="159">
        <v>37642</v>
      </c>
      <c r="S68" s="159">
        <f t="shared" si="5"/>
        <v>166594</v>
      </c>
    </row>
    <row r="69" spans="1:19">
      <c r="A69" s="133" t="s">
        <v>31</v>
      </c>
      <c r="B69" s="133" t="s">
        <v>199</v>
      </c>
      <c r="C69" s="133" t="s">
        <v>205</v>
      </c>
      <c r="D69" s="133">
        <v>1</v>
      </c>
      <c r="E69" s="133">
        <v>4</v>
      </c>
      <c r="F69" s="133">
        <f t="shared" si="7"/>
        <v>-0.89170511767060656</v>
      </c>
      <c r="G69" s="133">
        <f t="shared" si="8"/>
        <v>11.586594054895428</v>
      </c>
      <c r="H69" s="133">
        <f t="shared" si="9"/>
        <v>1.5476241348878257</v>
      </c>
      <c r="I69" s="133">
        <v>-0.18012895525254674</v>
      </c>
      <c r="J69" s="133"/>
      <c r="K69" s="158">
        <v>-42323</v>
      </c>
      <c r="L69" s="133">
        <v>134</v>
      </c>
      <c r="M69" s="159">
        <v>56223</v>
      </c>
      <c r="N69" s="159">
        <v>107645</v>
      </c>
      <c r="O69" s="159">
        <v>47463</v>
      </c>
      <c r="P69" s="159">
        <f t="shared" si="6"/>
        <v>-58949</v>
      </c>
      <c r="Q69" s="159">
        <v>128952</v>
      </c>
      <c r="R69" s="159">
        <v>37642</v>
      </c>
      <c r="S69" s="159">
        <f t="shared" si="5"/>
        <v>166594</v>
      </c>
    </row>
    <row r="70" spans="1:19">
      <c r="A70" s="133" t="s">
        <v>38</v>
      </c>
      <c r="B70" s="133" t="s">
        <v>199</v>
      </c>
      <c r="C70" s="133" t="s">
        <v>205</v>
      </c>
      <c r="D70" s="133">
        <v>0</v>
      </c>
      <c r="E70" s="133">
        <v>13</v>
      </c>
      <c r="F70" s="133">
        <f t="shared" si="7"/>
        <v>-0.89170511767060656</v>
      </c>
      <c r="G70" s="133">
        <f t="shared" si="8"/>
        <v>11.586594054895428</v>
      </c>
      <c r="H70" s="133">
        <f t="shared" si="9"/>
        <v>1.5476241348878257</v>
      </c>
      <c r="I70" s="133">
        <v>5.2462352599999998E-2</v>
      </c>
      <c r="J70" s="133"/>
      <c r="K70" s="158">
        <v>-42323</v>
      </c>
      <c r="L70" s="133">
        <v>134</v>
      </c>
      <c r="M70" s="159">
        <v>56223</v>
      </c>
      <c r="N70" s="159">
        <v>107645</v>
      </c>
      <c r="O70" s="159">
        <v>47463</v>
      </c>
      <c r="P70" s="159">
        <f t="shared" si="6"/>
        <v>-58949</v>
      </c>
      <c r="Q70" s="159">
        <v>128952</v>
      </c>
      <c r="R70" s="159">
        <v>37642</v>
      </c>
      <c r="S70" s="159">
        <f t="shared" si="5"/>
        <v>166594</v>
      </c>
    </row>
    <row r="71" spans="1:19">
      <c r="A71" s="133" t="s">
        <v>58</v>
      </c>
      <c r="B71" s="133" t="s">
        <v>199</v>
      </c>
      <c r="C71" s="133" t="s">
        <v>205</v>
      </c>
      <c r="D71" s="133">
        <v>1</v>
      </c>
      <c r="E71" s="133">
        <v>2</v>
      </c>
      <c r="F71" s="133">
        <f t="shared" si="7"/>
        <v>-0.89170511767060656</v>
      </c>
      <c r="G71" s="133">
        <f t="shared" si="8"/>
        <v>11.586594054895428</v>
      </c>
      <c r="H71" s="133">
        <f t="shared" si="9"/>
        <v>1.5476241348878257</v>
      </c>
      <c r="I71" s="133">
        <v>-5.9864160503771385E-2</v>
      </c>
      <c r="J71" s="133"/>
      <c r="K71" s="158">
        <v>-42323</v>
      </c>
      <c r="L71" s="133">
        <v>134</v>
      </c>
      <c r="M71" s="159">
        <v>56223</v>
      </c>
      <c r="N71" s="159">
        <v>107645</v>
      </c>
      <c r="O71" s="159">
        <v>47463</v>
      </c>
      <c r="P71" s="159">
        <f t="shared" si="6"/>
        <v>-58949</v>
      </c>
      <c r="Q71" s="159">
        <v>128952</v>
      </c>
      <c r="R71" s="159">
        <v>37642</v>
      </c>
      <c r="S71" s="159">
        <f t="shared" si="5"/>
        <v>166594</v>
      </c>
    </row>
    <row r="72" spans="1:19">
      <c r="A72" s="133" t="s">
        <v>62</v>
      </c>
      <c r="B72" s="133" t="s">
        <v>199</v>
      </c>
      <c r="C72" s="133" t="s">
        <v>205</v>
      </c>
      <c r="D72" s="133">
        <v>1</v>
      </c>
      <c r="E72" s="133">
        <v>1</v>
      </c>
      <c r="F72" s="133">
        <f t="shared" si="7"/>
        <v>-0.89170511767060656</v>
      </c>
      <c r="G72" s="133">
        <f t="shared" si="8"/>
        <v>11.586594054895428</v>
      </c>
      <c r="H72" s="133">
        <f t="shared" si="9"/>
        <v>1.5476241348878257</v>
      </c>
      <c r="I72" s="133">
        <v>-6.5112129455285467E-2</v>
      </c>
      <c r="J72" s="133"/>
      <c r="K72" s="158">
        <v>-42323</v>
      </c>
      <c r="L72" s="133">
        <v>134</v>
      </c>
      <c r="M72" s="159">
        <v>56223</v>
      </c>
      <c r="N72" s="159">
        <v>107645</v>
      </c>
      <c r="O72" s="159">
        <v>47463</v>
      </c>
      <c r="P72" s="159">
        <f t="shared" si="6"/>
        <v>-58949</v>
      </c>
      <c r="Q72" s="159">
        <v>128952</v>
      </c>
      <c r="R72" s="159">
        <v>37642</v>
      </c>
      <c r="S72" s="159">
        <f t="shared" si="5"/>
        <v>166594</v>
      </c>
    </row>
    <row r="73" spans="1:19">
      <c r="A73" s="133" t="s">
        <v>76</v>
      </c>
      <c r="B73" s="133" t="s">
        <v>199</v>
      </c>
      <c r="C73" s="133" t="s">
        <v>205</v>
      </c>
      <c r="D73" s="133">
        <v>0</v>
      </c>
      <c r="E73" s="133">
        <v>3</v>
      </c>
      <c r="F73" s="133">
        <f t="shared" si="7"/>
        <v>-0.89170511767060656</v>
      </c>
      <c r="G73" s="133">
        <f t="shared" si="8"/>
        <v>11.586594054895428</v>
      </c>
      <c r="H73" s="133">
        <f t="shared" si="9"/>
        <v>1.5476241348878257</v>
      </c>
      <c r="I73" s="133">
        <v>-2.4665750695632344E-2</v>
      </c>
      <c r="J73" s="133"/>
      <c r="K73" s="158">
        <v>-42323</v>
      </c>
      <c r="L73" s="133">
        <v>134</v>
      </c>
      <c r="M73" s="159">
        <v>56223</v>
      </c>
      <c r="N73" s="159">
        <v>107645</v>
      </c>
      <c r="O73" s="159">
        <v>47463</v>
      </c>
      <c r="P73" s="159">
        <f t="shared" si="6"/>
        <v>-58949</v>
      </c>
      <c r="Q73" s="159">
        <v>128952</v>
      </c>
      <c r="R73" s="159">
        <v>37642</v>
      </c>
      <c r="S73" s="159">
        <f t="shared" si="5"/>
        <v>166594</v>
      </c>
    </row>
    <row r="74" spans="1:19">
      <c r="A74" s="133" t="s">
        <v>78</v>
      </c>
      <c r="B74" s="133" t="s">
        <v>199</v>
      </c>
      <c r="C74" s="133" t="s">
        <v>205</v>
      </c>
      <c r="D74" s="133">
        <v>0</v>
      </c>
      <c r="E74" s="133">
        <v>18</v>
      </c>
      <c r="F74" s="133">
        <f t="shared" si="7"/>
        <v>-0.89170511767060656</v>
      </c>
      <c r="G74" s="133">
        <f t="shared" si="8"/>
        <v>11.586594054895428</v>
      </c>
      <c r="H74" s="133">
        <f t="shared" si="9"/>
        <v>1.5476241348878257</v>
      </c>
      <c r="I74" s="133">
        <v>-0.25463429999999998</v>
      </c>
      <c r="J74" s="133"/>
      <c r="K74" s="158">
        <v>-42323</v>
      </c>
      <c r="L74" s="133">
        <v>134</v>
      </c>
      <c r="M74" s="159">
        <v>56223</v>
      </c>
      <c r="N74" s="159">
        <v>107645</v>
      </c>
      <c r="O74" s="159">
        <v>47463</v>
      </c>
      <c r="P74" s="159">
        <f t="shared" si="6"/>
        <v>-58949</v>
      </c>
      <c r="Q74" s="159">
        <v>128952</v>
      </c>
      <c r="R74" s="159">
        <v>37642</v>
      </c>
      <c r="S74" s="159">
        <f t="shared" si="5"/>
        <v>166594</v>
      </c>
    </row>
    <row r="75" spans="1:19">
      <c r="A75" s="133" t="s">
        <v>79</v>
      </c>
      <c r="B75" s="133" t="s">
        <v>199</v>
      </c>
      <c r="C75" s="133" t="s">
        <v>205</v>
      </c>
      <c r="D75" s="133">
        <v>0</v>
      </c>
      <c r="E75" s="133">
        <v>8</v>
      </c>
      <c r="F75" s="133">
        <f t="shared" si="7"/>
        <v>-0.89170511767060656</v>
      </c>
      <c r="G75" s="133">
        <f t="shared" si="8"/>
        <v>11.586594054895428</v>
      </c>
      <c r="H75" s="133">
        <f t="shared" si="9"/>
        <v>1.5476241348878257</v>
      </c>
      <c r="I75" s="133">
        <v>-0.19288791859792087</v>
      </c>
      <c r="J75" s="133"/>
      <c r="K75" s="158">
        <v>-42323</v>
      </c>
      <c r="L75" s="133">
        <v>134</v>
      </c>
      <c r="M75" s="159">
        <v>56223</v>
      </c>
      <c r="N75" s="159">
        <v>107645</v>
      </c>
      <c r="O75" s="159">
        <v>47463</v>
      </c>
      <c r="P75" s="159">
        <f t="shared" si="6"/>
        <v>-58949</v>
      </c>
      <c r="Q75" s="159">
        <v>128952</v>
      </c>
      <c r="R75" s="159">
        <v>37642</v>
      </c>
      <c r="S75" s="159">
        <f t="shared" si="5"/>
        <v>166594</v>
      </c>
    </row>
    <row r="76" spans="1:19">
      <c r="A76" s="133" t="s">
        <v>80</v>
      </c>
      <c r="B76" s="133" t="s">
        <v>199</v>
      </c>
      <c r="C76" s="133" t="s">
        <v>205</v>
      </c>
      <c r="D76" s="133">
        <v>0</v>
      </c>
      <c r="E76" s="133">
        <v>9</v>
      </c>
      <c r="F76" s="133">
        <f t="shared" si="7"/>
        <v>-0.89170511767060656</v>
      </c>
      <c r="G76" s="133">
        <f t="shared" si="8"/>
        <v>11.586594054895428</v>
      </c>
      <c r="H76" s="133">
        <f t="shared" si="9"/>
        <v>1.5476241348878257</v>
      </c>
      <c r="I76" s="133">
        <v>-0.21747669476043405</v>
      </c>
      <c r="J76" s="133"/>
      <c r="K76" s="158">
        <v>-42323</v>
      </c>
      <c r="L76" s="133">
        <v>134</v>
      </c>
      <c r="M76" s="159">
        <v>56223</v>
      </c>
      <c r="N76" s="159">
        <v>107645</v>
      </c>
      <c r="O76" s="159">
        <v>47463</v>
      </c>
      <c r="P76" s="159">
        <f t="shared" si="6"/>
        <v>-58949</v>
      </c>
      <c r="Q76" s="159">
        <v>128952</v>
      </c>
      <c r="R76" s="159">
        <v>37642</v>
      </c>
      <c r="S76" s="159">
        <f t="shared" si="5"/>
        <v>166594</v>
      </c>
    </row>
    <row r="77" spans="1:19">
      <c r="A77" s="133" t="s">
        <v>81</v>
      </c>
      <c r="B77" s="133" t="s">
        <v>199</v>
      </c>
      <c r="C77" s="133" t="s">
        <v>205</v>
      </c>
      <c r="D77" s="133">
        <v>0</v>
      </c>
      <c r="E77" s="133">
        <v>15</v>
      </c>
      <c r="F77" s="133">
        <f t="shared" si="7"/>
        <v>-0.89170511767060656</v>
      </c>
      <c r="G77" s="133">
        <f t="shared" si="8"/>
        <v>11.586594054895428</v>
      </c>
      <c r="H77" s="133">
        <f t="shared" si="9"/>
        <v>1.5476241348878257</v>
      </c>
      <c r="I77" s="133">
        <v>0.66973224453553903</v>
      </c>
      <c r="J77" s="133"/>
      <c r="K77" s="158">
        <v>-42323</v>
      </c>
      <c r="L77" s="133">
        <v>134</v>
      </c>
      <c r="M77" s="159">
        <v>56223</v>
      </c>
      <c r="N77" s="159">
        <v>107645</v>
      </c>
      <c r="O77" s="159">
        <v>47463</v>
      </c>
      <c r="P77" s="159">
        <f t="shared" si="6"/>
        <v>-58949</v>
      </c>
      <c r="Q77" s="159">
        <v>128952</v>
      </c>
      <c r="R77" s="159">
        <v>37642</v>
      </c>
      <c r="S77" s="159">
        <f t="shared" si="5"/>
        <v>166594</v>
      </c>
    </row>
    <row r="78" spans="1:19">
      <c r="A78" s="133" t="s">
        <v>109</v>
      </c>
      <c r="B78" s="133" t="s">
        <v>199</v>
      </c>
      <c r="C78" s="133" t="s">
        <v>205</v>
      </c>
      <c r="D78" s="133">
        <v>0</v>
      </c>
      <c r="E78" s="133">
        <v>16</v>
      </c>
      <c r="F78" s="133">
        <f t="shared" si="7"/>
        <v>-0.89170511767060656</v>
      </c>
      <c r="G78" s="133">
        <f t="shared" si="8"/>
        <v>11.586594054895428</v>
      </c>
      <c r="H78" s="133">
        <f t="shared" si="9"/>
        <v>1.5476241348878257</v>
      </c>
      <c r="I78" s="133">
        <v>0.45363464999999997</v>
      </c>
      <c r="J78" s="133"/>
      <c r="K78" s="158">
        <v>-42323</v>
      </c>
      <c r="L78" s="133">
        <v>134</v>
      </c>
      <c r="M78" s="159">
        <v>56223</v>
      </c>
      <c r="N78" s="159">
        <v>107645</v>
      </c>
      <c r="O78" s="159">
        <v>47463</v>
      </c>
      <c r="P78" s="159">
        <f t="shared" si="6"/>
        <v>-58949</v>
      </c>
      <c r="Q78" s="159">
        <v>128952</v>
      </c>
      <c r="R78" s="159">
        <v>37642</v>
      </c>
      <c r="S78" s="159">
        <f t="shared" si="5"/>
        <v>166594</v>
      </c>
    </row>
    <row r="79" spans="1:19">
      <c r="A79" s="133" t="s">
        <v>142</v>
      </c>
      <c r="B79" s="133" t="s">
        <v>199</v>
      </c>
      <c r="C79" s="133" t="s">
        <v>205</v>
      </c>
      <c r="D79" s="133">
        <v>1</v>
      </c>
      <c r="E79" s="133">
        <v>5</v>
      </c>
      <c r="F79" s="133">
        <f t="shared" si="7"/>
        <v>-0.89170511767060656</v>
      </c>
      <c r="G79" s="133">
        <f t="shared" si="8"/>
        <v>11.586594054895428</v>
      </c>
      <c r="H79" s="133">
        <f t="shared" si="9"/>
        <v>1.5476241348878257</v>
      </c>
      <c r="I79" s="133">
        <v>2.6065313771163029E-2</v>
      </c>
      <c r="J79" s="133"/>
      <c r="K79" s="158">
        <v>-42323</v>
      </c>
      <c r="L79" s="133">
        <v>134</v>
      </c>
      <c r="M79" s="159">
        <v>56223</v>
      </c>
      <c r="N79" s="159">
        <v>107645</v>
      </c>
      <c r="O79" s="159">
        <v>47463</v>
      </c>
      <c r="P79" s="159">
        <f t="shared" si="6"/>
        <v>-58949</v>
      </c>
      <c r="Q79" s="159">
        <v>128952</v>
      </c>
      <c r="R79" s="159">
        <v>37642</v>
      </c>
      <c r="S79" s="159">
        <f t="shared" si="5"/>
        <v>166594</v>
      </c>
    </row>
    <row r="80" spans="1:19">
      <c r="A80" s="134" t="s">
        <v>52</v>
      </c>
      <c r="B80" s="134" t="s">
        <v>200</v>
      </c>
      <c r="C80" s="134" t="s">
        <v>204</v>
      </c>
      <c r="D80" s="134">
        <v>0</v>
      </c>
      <c r="E80" s="134">
        <v>20</v>
      </c>
      <c r="F80" s="134">
        <f t="shared" si="7"/>
        <v>0.15619158878504674</v>
      </c>
      <c r="G80" s="134">
        <f t="shared" si="8"/>
        <v>10.891112413014609</v>
      </c>
      <c r="H80" s="134">
        <f t="shared" si="9"/>
        <v>0.73041324468778512</v>
      </c>
      <c r="I80" s="134" t="str">
        <f t="shared" ref="I80:I88" si="10">IF(A80=A81, (O80-O81)/O81, "")</f>
        <v/>
      </c>
      <c r="J80" s="134"/>
      <c r="K80" s="152">
        <v>4011</v>
      </c>
      <c r="L80" s="134"/>
      <c r="M80" s="153"/>
      <c r="N80" s="153">
        <v>53697</v>
      </c>
      <c r="O80" s="153">
        <v>25680</v>
      </c>
      <c r="P80" s="153">
        <v>14476</v>
      </c>
      <c r="Q80" s="153"/>
      <c r="R80" s="153"/>
      <c r="S80" s="153">
        <v>39221</v>
      </c>
    </row>
    <row r="81" spans="1:29">
      <c r="A81" s="134" t="s">
        <v>100</v>
      </c>
      <c r="B81" s="134" t="s">
        <v>200</v>
      </c>
      <c r="C81" s="134" t="s">
        <v>204</v>
      </c>
      <c r="D81" s="134">
        <v>0</v>
      </c>
      <c r="E81" s="134">
        <v>12</v>
      </c>
      <c r="F81" s="134">
        <f t="shared" si="7"/>
        <v>0.15619158878504674</v>
      </c>
      <c r="G81" s="134">
        <f t="shared" si="8"/>
        <v>10.891112413014609</v>
      </c>
      <c r="H81" s="134">
        <f t="shared" si="9"/>
        <v>0.73041324468778512</v>
      </c>
      <c r="I81" s="134" t="str">
        <f t="shared" si="10"/>
        <v/>
      </c>
      <c r="J81" s="134"/>
      <c r="K81" s="152">
        <v>4011</v>
      </c>
      <c r="L81" s="134"/>
      <c r="M81" s="153"/>
      <c r="N81" s="153">
        <v>53697</v>
      </c>
      <c r="O81" s="153">
        <v>25680</v>
      </c>
      <c r="P81" s="153">
        <v>14476</v>
      </c>
      <c r="Q81" s="153"/>
      <c r="R81" s="153"/>
      <c r="S81" s="153">
        <v>39221</v>
      </c>
    </row>
    <row r="82" spans="1:29">
      <c r="A82" s="131" t="s">
        <v>26</v>
      </c>
      <c r="B82" s="131" t="s">
        <v>193</v>
      </c>
      <c r="C82" s="131" t="s">
        <v>203</v>
      </c>
      <c r="D82" s="131">
        <v>0</v>
      </c>
      <c r="E82" s="131">
        <v>8</v>
      </c>
      <c r="F82" s="131">
        <f t="shared" si="7"/>
        <v>-0.16499761564139245</v>
      </c>
      <c r="G82" s="131">
        <f t="shared" si="8"/>
        <v>12.322588211619593</v>
      </c>
      <c r="H82" s="131">
        <f t="shared" si="9"/>
        <v>0.59197650357119014</v>
      </c>
      <c r="I82" s="131" t="str">
        <f t="shared" si="10"/>
        <v/>
      </c>
      <c r="J82" s="131"/>
      <c r="K82" s="145">
        <v>-17300</v>
      </c>
      <c r="L82" s="131">
        <v>324</v>
      </c>
      <c r="M82" s="139">
        <v>2307</v>
      </c>
      <c r="N82" s="139">
        <v>224715</v>
      </c>
      <c r="O82" s="139">
        <v>104850</v>
      </c>
      <c r="P82" s="139">
        <v>112455</v>
      </c>
      <c r="Q82" s="139">
        <v>82173</v>
      </c>
      <c r="R82" s="139">
        <v>50853</v>
      </c>
      <c r="S82" s="139">
        <f t="shared" ref="S82:S94" si="11">Q82+R82</f>
        <v>133026</v>
      </c>
    </row>
    <row r="83" spans="1:29">
      <c r="A83" s="131" t="s">
        <v>27</v>
      </c>
      <c r="B83" s="131" t="s">
        <v>193</v>
      </c>
      <c r="C83" s="131" t="s">
        <v>203</v>
      </c>
      <c r="D83" s="131">
        <v>0</v>
      </c>
      <c r="E83" s="131">
        <v>2</v>
      </c>
      <c r="F83" s="131">
        <f t="shared" si="7"/>
        <v>0.12690217391304348</v>
      </c>
      <c r="G83" s="131">
        <f t="shared" si="8"/>
        <v>13.75847660696674</v>
      </c>
      <c r="H83" s="131">
        <f t="shared" si="9"/>
        <v>1.0104630505991137</v>
      </c>
      <c r="I83" s="131" t="str">
        <f>IF(A83=A84, (O83-O84)/O84, "")</f>
        <v/>
      </c>
      <c r="J83" s="131"/>
      <c r="K83" s="145">
        <v>46700</v>
      </c>
      <c r="L83" s="151">
        <v>1044</v>
      </c>
      <c r="M83" s="139">
        <v>48543</v>
      </c>
      <c r="N83" s="139">
        <v>944562</v>
      </c>
      <c r="O83" s="139">
        <v>368000</v>
      </c>
      <c r="P83" s="139">
        <f>N83-S83</f>
        <v>-9883</v>
      </c>
      <c r="Q83" s="139">
        <v>539867</v>
      </c>
      <c r="R83" s="139">
        <v>414578</v>
      </c>
      <c r="S83" s="139">
        <f t="shared" si="11"/>
        <v>954445</v>
      </c>
    </row>
    <row r="84" spans="1:29">
      <c r="A84" s="131" t="s">
        <v>28</v>
      </c>
      <c r="B84" s="131" t="s">
        <v>193</v>
      </c>
      <c r="C84" s="131" t="s">
        <v>203</v>
      </c>
      <c r="D84" s="131">
        <v>0</v>
      </c>
      <c r="E84" s="131">
        <v>1</v>
      </c>
      <c r="F84" s="131">
        <f t="shared" si="7"/>
        <v>5.3123140778083269E-3</v>
      </c>
      <c r="G84" s="131">
        <f t="shared" si="8"/>
        <v>14.122258221461852</v>
      </c>
      <c r="H84" s="131">
        <f t="shared" si="9"/>
        <v>0.90242296162319591</v>
      </c>
      <c r="I84" s="131" t="str">
        <f t="shared" si="10"/>
        <v/>
      </c>
      <c r="J84" s="131"/>
      <c r="K84" s="145">
        <v>4527</v>
      </c>
      <c r="L84" s="151">
        <v>1338</v>
      </c>
      <c r="M84" s="139">
        <v>11935</v>
      </c>
      <c r="N84" s="139">
        <v>1358998</v>
      </c>
      <c r="O84" s="139">
        <v>852171</v>
      </c>
      <c r="P84" s="139">
        <v>132607</v>
      </c>
      <c r="Q84" s="139">
        <v>539226</v>
      </c>
      <c r="R84" s="139">
        <v>687165</v>
      </c>
      <c r="S84" s="139">
        <f t="shared" si="11"/>
        <v>1226391</v>
      </c>
    </row>
    <row r="85" spans="1:29">
      <c r="A85" s="131" t="s">
        <v>43</v>
      </c>
      <c r="B85" s="131" t="s">
        <v>193</v>
      </c>
      <c r="C85" s="131" t="s">
        <v>203</v>
      </c>
      <c r="D85" s="131">
        <v>0</v>
      </c>
      <c r="E85" s="131">
        <v>17</v>
      </c>
      <c r="F85" s="131">
        <f t="shared" si="7"/>
        <v>0.22671766956010003</v>
      </c>
      <c r="G85" s="131">
        <f t="shared" si="8"/>
        <v>12.530208385238453</v>
      </c>
      <c r="H85" s="131">
        <f t="shared" si="9"/>
        <v>0.85825134596680008</v>
      </c>
      <c r="I85" s="131" t="str">
        <f t="shared" si="10"/>
        <v/>
      </c>
      <c r="J85" s="131"/>
      <c r="K85" s="145">
        <v>15410</v>
      </c>
      <c r="L85" s="131">
        <v>235</v>
      </c>
      <c r="M85" s="139">
        <v>45456</v>
      </c>
      <c r="N85" s="139">
        <v>276567</v>
      </c>
      <c r="O85" s="139">
        <v>67970</v>
      </c>
      <c r="P85" s="139">
        <f>N85-S85</f>
        <v>39203</v>
      </c>
      <c r="Q85" s="139">
        <v>179699</v>
      </c>
      <c r="R85" s="139">
        <v>57665</v>
      </c>
      <c r="S85" s="139">
        <f t="shared" si="11"/>
        <v>237364</v>
      </c>
    </row>
    <row r="86" spans="1:29">
      <c r="A86" s="131" t="s">
        <v>56</v>
      </c>
      <c r="B86" s="131" t="s">
        <v>193</v>
      </c>
      <c r="C86" s="131" t="s">
        <v>203</v>
      </c>
      <c r="D86" s="131">
        <v>0</v>
      </c>
      <c r="E86" s="131">
        <v>7</v>
      </c>
      <c r="F86" s="131">
        <f t="shared" si="7"/>
        <v>2.104098729013747E-2</v>
      </c>
      <c r="G86" s="131">
        <f t="shared" si="8"/>
        <v>12.197556485761835</v>
      </c>
      <c r="H86" s="131">
        <f t="shared" si="9"/>
        <v>0.78244009197999032</v>
      </c>
      <c r="I86" s="131" t="str">
        <f t="shared" si="10"/>
        <v/>
      </c>
      <c r="J86" s="131"/>
      <c r="K86" s="145">
        <v>1826</v>
      </c>
      <c r="L86" s="131">
        <v>365</v>
      </c>
      <c r="M86" s="139">
        <v>25781</v>
      </c>
      <c r="N86" s="139">
        <v>198304</v>
      </c>
      <c r="O86" s="139">
        <v>86783</v>
      </c>
      <c r="P86" s="139">
        <v>43142</v>
      </c>
      <c r="Q86" s="139">
        <v>66651</v>
      </c>
      <c r="R86" s="139">
        <v>88510</v>
      </c>
      <c r="S86" s="139">
        <f t="shared" si="11"/>
        <v>155161</v>
      </c>
    </row>
    <row r="87" spans="1:29">
      <c r="A87" s="131" t="s">
        <v>66</v>
      </c>
      <c r="B87" s="131" t="s">
        <v>193</v>
      </c>
      <c r="C87" s="131" t="s">
        <v>203</v>
      </c>
      <c r="D87" s="131">
        <v>0</v>
      </c>
      <c r="E87" s="131">
        <v>5</v>
      </c>
      <c r="F87" s="131">
        <f t="shared" si="7"/>
        <v>0.11675563974513518</v>
      </c>
      <c r="G87" s="131">
        <f t="shared" si="8"/>
        <v>12.119790093791975</v>
      </c>
      <c r="H87" s="131">
        <f t="shared" si="9"/>
        <v>0.69738427074078713</v>
      </c>
      <c r="I87" s="131" t="str">
        <f t="shared" si="10"/>
        <v/>
      </c>
      <c r="J87" s="131"/>
      <c r="K87" s="145">
        <v>6780</v>
      </c>
      <c r="L87" s="131">
        <v>216</v>
      </c>
      <c r="M87" s="139">
        <v>84678</v>
      </c>
      <c r="N87" s="139">
        <v>183467</v>
      </c>
      <c r="O87" s="139">
        <v>58070</v>
      </c>
      <c r="P87" s="139">
        <f>N87-S87</f>
        <v>55520</v>
      </c>
      <c r="Q87" s="139">
        <v>78857</v>
      </c>
      <c r="R87" s="139">
        <v>49090</v>
      </c>
      <c r="S87" s="139">
        <f t="shared" si="11"/>
        <v>127947</v>
      </c>
    </row>
    <row r="88" spans="1:29">
      <c r="A88" s="131" t="s">
        <v>67</v>
      </c>
      <c r="B88" s="131" t="s">
        <v>193</v>
      </c>
      <c r="C88" s="131" t="s">
        <v>203</v>
      </c>
      <c r="D88" s="131">
        <v>0</v>
      </c>
      <c r="E88" s="131">
        <v>18</v>
      </c>
      <c r="F88" s="131">
        <f t="shared" si="7"/>
        <v>-3.3014196104324861E-4</v>
      </c>
      <c r="G88" s="131">
        <f t="shared" si="8"/>
        <v>11.772570651478114</v>
      </c>
      <c r="H88" s="131">
        <f t="shared" si="9"/>
        <v>0.57439817350189359</v>
      </c>
      <c r="I88" s="131" t="str">
        <f t="shared" si="10"/>
        <v/>
      </c>
      <c r="J88" s="131"/>
      <c r="K88" s="145">
        <v>-20</v>
      </c>
      <c r="L88" s="131">
        <v>168</v>
      </c>
      <c r="M88" s="139">
        <v>57878</v>
      </c>
      <c r="N88" s="139">
        <v>129647</v>
      </c>
      <c r="O88" s="139">
        <v>60580</v>
      </c>
      <c r="P88" s="139">
        <f>N88-S88</f>
        <v>55178</v>
      </c>
      <c r="Q88" s="139">
        <v>50773</v>
      </c>
      <c r="R88" s="139">
        <v>23696</v>
      </c>
      <c r="S88" s="139">
        <f t="shared" si="11"/>
        <v>74469</v>
      </c>
    </row>
    <row r="89" spans="1:29">
      <c r="A89" s="131" t="s">
        <v>114</v>
      </c>
      <c r="B89" s="131" t="s">
        <v>193</v>
      </c>
      <c r="C89" s="131" t="s">
        <v>203</v>
      </c>
      <c r="D89" s="131">
        <v>0</v>
      </c>
      <c r="E89" s="131">
        <v>20</v>
      </c>
      <c r="F89" s="131">
        <f t="shared" si="7"/>
        <v>1.3435013262599469</v>
      </c>
      <c r="G89" s="131">
        <f t="shared" si="8"/>
        <v>8.8254129150855665</v>
      </c>
      <c r="H89" s="131">
        <f t="shared" si="9"/>
        <v>1.0385011021307862</v>
      </c>
      <c r="I89" s="131">
        <v>0.26345532300000002</v>
      </c>
      <c r="J89" s="131"/>
      <c r="K89" s="145">
        <v>10130</v>
      </c>
      <c r="L89" s="131">
        <v>156</v>
      </c>
      <c r="M89" s="139">
        <v>785</v>
      </c>
      <c r="N89" s="139">
        <v>6805</v>
      </c>
      <c r="O89" s="139">
        <v>7540</v>
      </c>
      <c r="P89" s="139">
        <f>N89-S89</f>
        <v>-262</v>
      </c>
      <c r="Q89" s="139">
        <v>6809</v>
      </c>
      <c r="R89" s="139">
        <v>258</v>
      </c>
      <c r="S89" s="139">
        <f t="shared" si="11"/>
        <v>7067</v>
      </c>
    </row>
    <row r="90" spans="1:29">
      <c r="A90" s="131" t="s">
        <v>117</v>
      </c>
      <c r="B90" s="131" t="s">
        <v>193</v>
      </c>
      <c r="C90" s="131" t="s">
        <v>203</v>
      </c>
      <c r="D90" s="131">
        <v>0</v>
      </c>
      <c r="E90" s="131">
        <v>10</v>
      </c>
      <c r="F90" s="131">
        <f t="shared" si="7"/>
        <v>5.6560109465254881E-2</v>
      </c>
      <c r="G90" s="131">
        <f t="shared" si="8"/>
        <v>12.131257500311589</v>
      </c>
      <c r="H90" s="131">
        <f t="shared" si="9"/>
        <v>0.93676144905513969</v>
      </c>
      <c r="I90" s="131" t="str">
        <f t="shared" ref="I90:I103" si="12">IF(A90=A91, (O90-O91)/O91, "")</f>
        <v/>
      </c>
      <c r="J90" s="131"/>
      <c r="K90" s="145">
        <v>6159</v>
      </c>
      <c r="L90" s="131">
        <v>408</v>
      </c>
      <c r="M90" s="139">
        <v>17508</v>
      </c>
      <c r="N90" s="139">
        <v>185583</v>
      </c>
      <c r="O90" s="139">
        <v>108893</v>
      </c>
      <c r="P90" s="139">
        <v>11736</v>
      </c>
      <c r="Q90" s="139">
        <v>57276</v>
      </c>
      <c r="R90" s="139">
        <v>116571</v>
      </c>
      <c r="S90" s="139">
        <f t="shared" si="11"/>
        <v>173847</v>
      </c>
    </row>
    <row r="91" spans="1:29">
      <c r="A91" s="131" t="s">
        <v>118</v>
      </c>
      <c r="B91" s="131" t="s">
        <v>193</v>
      </c>
      <c r="C91" s="131" t="s">
        <v>203</v>
      </c>
      <c r="D91" s="131">
        <v>0</v>
      </c>
      <c r="E91" s="131">
        <v>3</v>
      </c>
      <c r="F91" s="131">
        <f t="shared" si="7"/>
        <v>6.373992701965954E-2</v>
      </c>
      <c r="G91" s="131">
        <f t="shared" si="8"/>
        <v>13.945031544650263</v>
      </c>
      <c r="H91" s="131">
        <f t="shared" si="9"/>
        <v>0.53205310103023584</v>
      </c>
      <c r="I91" s="131" t="str">
        <f t="shared" si="12"/>
        <v/>
      </c>
      <c r="J91" s="131"/>
      <c r="K91" s="145">
        <v>38394</v>
      </c>
      <c r="L91" s="131">
        <v>817</v>
      </c>
      <c r="M91" s="139">
        <v>27588</v>
      </c>
      <c r="N91" s="139">
        <v>1138283</v>
      </c>
      <c r="O91" s="139">
        <v>602354</v>
      </c>
      <c r="P91" s="139">
        <v>533676</v>
      </c>
      <c r="Q91" s="139">
        <v>132868</v>
      </c>
      <c r="R91" s="139">
        <v>472759</v>
      </c>
      <c r="S91" s="139">
        <f t="shared" si="11"/>
        <v>605627</v>
      </c>
    </row>
    <row r="92" spans="1:29">
      <c r="A92" s="131" t="s">
        <v>126</v>
      </c>
      <c r="B92" s="131" t="s">
        <v>193</v>
      </c>
      <c r="C92" s="131" t="s">
        <v>203</v>
      </c>
      <c r="D92" s="131">
        <v>0</v>
      </c>
      <c r="E92" s="131">
        <v>6</v>
      </c>
      <c r="F92" s="131">
        <f t="shared" si="7"/>
        <v>1.7381659400908394E-2</v>
      </c>
      <c r="G92" s="131">
        <f t="shared" si="8"/>
        <v>12.481960438099243</v>
      </c>
      <c r="H92" s="131">
        <f t="shared" si="9"/>
        <v>0.61370190483418074</v>
      </c>
      <c r="I92" s="131" t="str">
        <f t="shared" si="12"/>
        <v/>
      </c>
      <c r="J92" s="131"/>
      <c r="K92" s="145">
        <v>2476</v>
      </c>
      <c r="L92" s="131">
        <v>444</v>
      </c>
      <c r="M92" s="139">
        <v>1141</v>
      </c>
      <c r="N92" s="139">
        <v>263540</v>
      </c>
      <c r="O92" s="139">
        <v>142449</v>
      </c>
      <c r="P92" s="139">
        <v>101805</v>
      </c>
      <c r="Q92" s="139">
        <v>40636</v>
      </c>
      <c r="R92" s="139">
        <v>121099</v>
      </c>
      <c r="S92" s="139">
        <f t="shared" si="11"/>
        <v>161735</v>
      </c>
      <c r="T92" s="147"/>
      <c r="X92" s="149"/>
      <c r="Y92" s="149"/>
      <c r="Z92" s="149"/>
      <c r="AA92" s="149"/>
      <c r="AB92" s="149"/>
      <c r="AC92" s="149"/>
    </row>
    <row r="93" spans="1:29">
      <c r="A93" s="131" t="s">
        <v>145</v>
      </c>
      <c r="B93" s="131" t="s">
        <v>193</v>
      </c>
      <c r="C93" s="131" t="s">
        <v>203</v>
      </c>
      <c r="D93" s="131">
        <v>0</v>
      </c>
      <c r="E93" s="131">
        <v>4</v>
      </c>
      <c r="F93" s="131">
        <f t="shared" si="7"/>
        <v>7.8531383270419499E-3</v>
      </c>
      <c r="G93" s="131">
        <f t="shared" si="8"/>
        <v>13.26749868345552</v>
      </c>
      <c r="H93" s="131">
        <f t="shared" si="9"/>
        <v>0.91627717099868877</v>
      </c>
      <c r="I93" s="131" t="str">
        <f t="shared" si="12"/>
        <v/>
      </c>
      <c r="J93" s="131"/>
      <c r="K93" s="145">
        <v>1475</v>
      </c>
      <c r="L93" s="131">
        <v>408</v>
      </c>
      <c r="M93" s="139">
        <v>14579</v>
      </c>
      <c r="N93" s="139">
        <v>578098</v>
      </c>
      <c r="O93" s="139">
        <v>187823</v>
      </c>
      <c r="P93" s="139">
        <v>48400</v>
      </c>
      <c r="Q93" s="139">
        <v>323517</v>
      </c>
      <c r="R93" s="139">
        <v>206181</v>
      </c>
      <c r="S93" s="139">
        <f t="shared" si="11"/>
        <v>529698</v>
      </c>
      <c r="T93" s="147"/>
      <c r="W93" s="149"/>
      <c r="X93" s="149"/>
      <c r="Y93" s="149"/>
      <c r="Z93" s="149"/>
      <c r="AA93" s="149"/>
      <c r="AC93" s="149"/>
    </row>
    <row r="94" spans="1:29">
      <c r="A94" s="131" t="s">
        <v>147</v>
      </c>
      <c r="B94" s="131" t="s">
        <v>193</v>
      </c>
      <c r="C94" s="131" t="s">
        <v>203</v>
      </c>
      <c r="D94" s="131">
        <v>0</v>
      </c>
      <c r="E94" s="131">
        <v>14</v>
      </c>
      <c r="F94" s="131">
        <f t="shared" si="7"/>
        <v>9.6638621106941075E-2</v>
      </c>
      <c r="G94" s="131">
        <f t="shared" si="8"/>
        <v>12.224703017375885</v>
      </c>
      <c r="H94" s="131">
        <f t="shared" si="9"/>
        <v>0.52819725070057566</v>
      </c>
      <c r="I94" s="131" t="str">
        <f t="shared" si="12"/>
        <v/>
      </c>
      <c r="J94" s="131"/>
      <c r="K94" s="145">
        <v>11819</v>
      </c>
      <c r="L94" s="131">
        <v>379</v>
      </c>
      <c r="M94" s="139">
        <v>0</v>
      </c>
      <c r="N94" s="139">
        <v>203761</v>
      </c>
      <c r="O94" s="139">
        <v>122301</v>
      </c>
      <c r="P94" s="139">
        <v>96135</v>
      </c>
      <c r="Q94" s="139">
        <v>29639</v>
      </c>
      <c r="R94" s="139">
        <v>77987</v>
      </c>
      <c r="S94" s="139">
        <f t="shared" si="11"/>
        <v>107626</v>
      </c>
      <c r="T94" s="147"/>
      <c r="W94" s="149"/>
      <c r="X94" s="149"/>
      <c r="Y94" s="149"/>
      <c r="Z94" s="149"/>
      <c r="AA94" s="149"/>
      <c r="AB94" s="149"/>
      <c r="AC94" s="149"/>
    </row>
    <row r="95" spans="1:29">
      <c r="A95" s="134" t="s">
        <v>17</v>
      </c>
      <c r="B95" s="134" t="s">
        <v>200</v>
      </c>
      <c r="C95" s="134" t="s">
        <v>203</v>
      </c>
      <c r="D95" s="134">
        <v>0</v>
      </c>
      <c r="E95" s="134">
        <v>15</v>
      </c>
      <c r="F95" s="134">
        <f t="shared" si="7"/>
        <v>0.15619158878504674</v>
      </c>
      <c r="G95" s="134">
        <f t="shared" si="8"/>
        <v>10.891112413014609</v>
      </c>
      <c r="H95" s="134">
        <f t="shared" si="9"/>
        <v>0.73041324468778512</v>
      </c>
      <c r="I95" s="134" t="str">
        <f t="shared" si="12"/>
        <v/>
      </c>
      <c r="J95" s="134"/>
      <c r="K95" s="152">
        <v>4011</v>
      </c>
      <c r="L95" s="134"/>
      <c r="M95" s="153"/>
      <c r="N95" s="153">
        <v>53697</v>
      </c>
      <c r="O95" s="153">
        <v>25680</v>
      </c>
      <c r="P95" s="153">
        <v>14476</v>
      </c>
      <c r="Q95" s="153"/>
      <c r="R95" s="153"/>
      <c r="S95" s="153">
        <v>39221</v>
      </c>
      <c r="T95" s="147"/>
      <c r="X95" s="149"/>
      <c r="Y95" s="149"/>
      <c r="Z95" s="149"/>
      <c r="AA95" s="149"/>
      <c r="AB95" s="149"/>
      <c r="AC95" s="149"/>
    </row>
    <row r="96" spans="1:29">
      <c r="A96" s="134" t="s">
        <v>18</v>
      </c>
      <c r="B96" s="134" t="s">
        <v>200</v>
      </c>
      <c r="C96" s="134" t="s">
        <v>203</v>
      </c>
      <c r="D96" s="134">
        <v>0</v>
      </c>
      <c r="E96" s="134">
        <v>13</v>
      </c>
      <c r="F96" s="134">
        <f t="shared" si="7"/>
        <v>0.15619158878504674</v>
      </c>
      <c r="G96" s="134">
        <f t="shared" si="8"/>
        <v>10.891112413014609</v>
      </c>
      <c r="H96" s="134">
        <f t="shared" si="9"/>
        <v>0.73041324468778512</v>
      </c>
      <c r="I96" s="134" t="str">
        <f t="shared" si="12"/>
        <v/>
      </c>
      <c r="J96" s="134"/>
      <c r="K96" s="152">
        <v>4011</v>
      </c>
      <c r="L96" s="134"/>
      <c r="M96" s="153"/>
      <c r="N96" s="153">
        <v>53697</v>
      </c>
      <c r="O96" s="153">
        <v>25680</v>
      </c>
      <c r="P96" s="153">
        <v>14476</v>
      </c>
      <c r="Q96" s="153"/>
      <c r="R96" s="153"/>
      <c r="S96" s="153">
        <v>39221</v>
      </c>
      <c r="T96" s="147"/>
      <c r="W96" s="149"/>
      <c r="X96" s="149"/>
      <c r="Y96" s="149"/>
      <c r="Z96" s="149"/>
      <c r="AA96" s="149"/>
      <c r="AB96" s="149"/>
      <c r="AC96" s="149"/>
    </row>
    <row r="97" spans="1:29">
      <c r="A97" s="134" t="s">
        <v>22</v>
      </c>
      <c r="B97" s="134" t="s">
        <v>200</v>
      </c>
      <c r="C97" s="134" t="s">
        <v>203</v>
      </c>
      <c r="D97" s="134">
        <v>0</v>
      </c>
      <c r="E97" s="134">
        <v>17</v>
      </c>
      <c r="F97" s="134">
        <f t="shared" si="7"/>
        <v>0.15619158878504674</v>
      </c>
      <c r="G97" s="134">
        <f t="shared" si="8"/>
        <v>10.891112413014609</v>
      </c>
      <c r="H97" s="134">
        <f t="shared" si="9"/>
        <v>0.73041324468778512</v>
      </c>
      <c r="I97" s="134" t="str">
        <f t="shared" si="12"/>
        <v/>
      </c>
      <c r="J97" s="134"/>
      <c r="K97" s="152">
        <v>4011</v>
      </c>
      <c r="L97" s="134"/>
      <c r="M97" s="153"/>
      <c r="N97" s="153">
        <v>53697</v>
      </c>
      <c r="O97" s="153">
        <v>25680</v>
      </c>
      <c r="P97" s="153">
        <v>14476</v>
      </c>
      <c r="Q97" s="153"/>
      <c r="R97" s="153"/>
      <c r="S97" s="153">
        <v>39221</v>
      </c>
    </row>
    <row r="98" spans="1:29">
      <c r="A98" s="134" t="s">
        <v>23</v>
      </c>
      <c r="B98" s="134" t="s">
        <v>200</v>
      </c>
      <c r="C98" s="134" t="s">
        <v>203</v>
      </c>
      <c r="D98" s="134">
        <v>0</v>
      </c>
      <c r="E98" s="134">
        <v>4</v>
      </c>
      <c r="F98" s="134">
        <f t="shared" si="7"/>
        <v>0.15619158878504674</v>
      </c>
      <c r="G98" s="134">
        <f t="shared" si="8"/>
        <v>10.891112413014609</v>
      </c>
      <c r="H98" s="134">
        <f t="shared" si="9"/>
        <v>0.73041324468778512</v>
      </c>
      <c r="I98" s="134" t="str">
        <f t="shared" si="12"/>
        <v/>
      </c>
      <c r="J98" s="134"/>
      <c r="K98" s="152">
        <v>4011</v>
      </c>
      <c r="L98" s="134"/>
      <c r="M98" s="153"/>
      <c r="N98" s="153">
        <v>53697</v>
      </c>
      <c r="O98" s="153">
        <v>25680</v>
      </c>
      <c r="P98" s="153">
        <v>14476</v>
      </c>
      <c r="Q98" s="153"/>
      <c r="R98" s="153"/>
      <c r="S98" s="153">
        <v>39221</v>
      </c>
      <c r="T98" s="147"/>
      <c r="X98" s="149"/>
      <c r="Y98" s="149"/>
      <c r="Z98" s="149"/>
      <c r="AA98" s="149"/>
      <c r="AB98" s="149"/>
      <c r="AC98" s="149"/>
    </row>
    <row r="99" spans="1:29">
      <c r="A99" s="134" t="s">
        <v>40</v>
      </c>
      <c r="B99" s="134" t="s">
        <v>200</v>
      </c>
      <c r="C99" s="134" t="s">
        <v>203</v>
      </c>
      <c r="D99" s="134">
        <v>0</v>
      </c>
      <c r="E99" s="134">
        <v>19</v>
      </c>
      <c r="F99" s="134">
        <f t="shared" si="7"/>
        <v>0.15619158878504674</v>
      </c>
      <c r="G99" s="134">
        <f t="shared" si="8"/>
        <v>10.891112413014609</v>
      </c>
      <c r="H99" s="134">
        <f t="shared" si="9"/>
        <v>0.73041324468778512</v>
      </c>
      <c r="I99" s="134" t="str">
        <f t="shared" si="12"/>
        <v/>
      </c>
      <c r="J99" s="134"/>
      <c r="K99" s="152">
        <v>4011</v>
      </c>
      <c r="L99" s="134"/>
      <c r="M99" s="153"/>
      <c r="N99" s="153">
        <v>53697</v>
      </c>
      <c r="O99" s="153">
        <v>25680</v>
      </c>
      <c r="P99" s="153">
        <v>14476</v>
      </c>
      <c r="Q99" s="153"/>
      <c r="R99" s="153"/>
      <c r="S99" s="153">
        <v>39221</v>
      </c>
      <c r="X99" s="149"/>
      <c r="Y99" s="149"/>
      <c r="Z99" s="149"/>
      <c r="AA99" s="149"/>
      <c r="AB99" s="149"/>
      <c r="AC99" s="149"/>
    </row>
    <row r="100" spans="1:29">
      <c r="A100" s="134" t="s">
        <v>51</v>
      </c>
      <c r="B100" s="134" t="s">
        <v>200</v>
      </c>
      <c r="C100" s="134" t="s">
        <v>203</v>
      </c>
      <c r="D100" s="134">
        <v>0</v>
      </c>
      <c r="E100" s="134">
        <v>18</v>
      </c>
      <c r="F100" s="134">
        <f t="shared" si="7"/>
        <v>0.15619158878504674</v>
      </c>
      <c r="G100" s="134">
        <f t="shared" si="8"/>
        <v>10.891112413014609</v>
      </c>
      <c r="H100" s="134">
        <f t="shared" si="9"/>
        <v>0.73041324468778512</v>
      </c>
      <c r="I100" s="134" t="str">
        <f t="shared" si="12"/>
        <v/>
      </c>
      <c r="J100" s="134"/>
      <c r="K100" s="152">
        <v>4011</v>
      </c>
      <c r="L100" s="134"/>
      <c r="M100" s="153"/>
      <c r="N100" s="153">
        <v>53697</v>
      </c>
      <c r="O100" s="153">
        <v>25680</v>
      </c>
      <c r="P100" s="153">
        <v>14476</v>
      </c>
      <c r="Q100" s="153"/>
      <c r="R100" s="153"/>
      <c r="S100" s="153">
        <v>39221</v>
      </c>
      <c r="X100" s="149"/>
      <c r="Y100" s="149"/>
      <c r="Z100" s="149"/>
      <c r="AA100" s="149"/>
      <c r="AB100" s="149"/>
      <c r="AC100" s="149"/>
    </row>
    <row r="101" spans="1:29">
      <c r="A101" s="134" t="s">
        <v>68</v>
      </c>
      <c r="B101" s="134" t="s">
        <v>200</v>
      </c>
      <c r="C101" s="134" t="s">
        <v>203</v>
      </c>
      <c r="D101" s="134">
        <v>0</v>
      </c>
      <c r="E101" s="134">
        <v>14</v>
      </c>
      <c r="F101" s="134">
        <f t="shared" si="7"/>
        <v>0.15619158878504674</v>
      </c>
      <c r="G101" s="134">
        <f t="shared" si="8"/>
        <v>10.891112413014609</v>
      </c>
      <c r="H101" s="134">
        <f t="shared" si="9"/>
        <v>0.73041324468778512</v>
      </c>
      <c r="I101" s="134" t="str">
        <f t="shared" si="12"/>
        <v/>
      </c>
      <c r="J101" s="134"/>
      <c r="K101" s="152">
        <v>4011</v>
      </c>
      <c r="L101" s="134"/>
      <c r="M101" s="153"/>
      <c r="N101" s="153">
        <v>53697</v>
      </c>
      <c r="O101" s="153">
        <v>25680</v>
      </c>
      <c r="P101" s="153">
        <v>14476</v>
      </c>
      <c r="Q101" s="153"/>
      <c r="R101" s="153"/>
      <c r="S101" s="153">
        <v>39221</v>
      </c>
      <c r="T101" s="147"/>
      <c r="X101" s="149"/>
      <c r="Y101" s="149"/>
      <c r="Z101" s="149"/>
      <c r="AA101" s="149"/>
      <c r="AB101" s="149"/>
      <c r="AC101" s="149"/>
    </row>
    <row r="102" spans="1:29">
      <c r="A102" s="134" t="s">
        <v>89</v>
      </c>
      <c r="B102" s="134" t="s">
        <v>200</v>
      </c>
      <c r="C102" s="134" t="s">
        <v>203</v>
      </c>
      <c r="D102" s="134">
        <v>0</v>
      </c>
      <c r="E102" s="134">
        <v>2</v>
      </c>
      <c r="F102" s="134">
        <f t="shared" si="7"/>
        <v>0.15619158878504674</v>
      </c>
      <c r="G102" s="134">
        <f t="shared" si="8"/>
        <v>10.891112413014609</v>
      </c>
      <c r="H102" s="134">
        <f t="shared" si="9"/>
        <v>0.73041324468778512</v>
      </c>
      <c r="I102" s="134" t="str">
        <f t="shared" si="12"/>
        <v/>
      </c>
      <c r="J102" s="134"/>
      <c r="K102" s="152">
        <v>4011</v>
      </c>
      <c r="L102" s="134"/>
      <c r="M102" s="153"/>
      <c r="N102" s="153">
        <v>53697</v>
      </c>
      <c r="O102" s="153">
        <v>25680</v>
      </c>
      <c r="P102" s="153">
        <v>14476</v>
      </c>
      <c r="Q102" s="153"/>
      <c r="R102" s="153"/>
      <c r="S102" s="153">
        <v>39221</v>
      </c>
      <c r="T102" s="147"/>
      <c r="X102" s="149"/>
      <c r="Y102" s="149"/>
      <c r="Z102" s="149"/>
      <c r="AA102" s="149"/>
      <c r="AB102" s="149"/>
      <c r="AC102" s="149"/>
    </row>
    <row r="103" spans="1:29">
      <c r="A103" s="134" t="s">
        <v>98</v>
      </c>
      <c r="B103" s="134" t="s">
        <v>200</v>
      </c>
      <c r="C103" s="134" t="s">
        <v>203</v>
      </c>
      <c r="D103" s="134">
        <v>0</v>
      </c>
      <c r="E103" s="134">
        <v>6</v>
      </c>
      <c r="F103" s="134">
        <f t="shared" si="7"/>
        <v>0.15619158878504674</v>
      </c>
      <c r="G103" s="134">
        <f t="shared" si="8"/>
        <v>10.891112413014609</v>
      </c>
      <c r="H103" s="134">
        <f t="shared" si="9"/>
        <v>0.73041324468778512</v>
      </c>
      <c r="I103" s="134" t="str">
        <f t="shared" si="12"/>
        <v/>
      </c>
      <c r="J103" s="134"/>
      <c r="K103" s="152">
        <v>4011</v>
      </c>
      <c r="L103" s="134"/>
      <c r="M103" s="153"/>
      <c r="N103" s="153">
        <v>53697</v>
      </c>
      <c r="O103" s="153">
        <v>25680</v>
      </c>
      <c r="P103" s="153">
        <v>14476</v>
      </c>
      <c r="Q103" s="153"/>
      <c r="R103" s="153"/>
      <c r="S103" s="153">
        <v>39221</v>
      </c>
      <c r="T103" s="147"/>
      <c r="X103" s="149"/>
      <c r="Y103" s="149"/>
      <c r="Z103" s="149"/>
      <c r="AA103" s="149"/>
      <c r="AB103" s="149"/>
      <c r="AC103" s="149"/>
    </row>
    <row r="104" spans="1:29">
      <c r="A104" s="134" t="s">
        <v>103</v>
      </c>
      <c r="B104" s="134" t="s">
        <v>200</v>
      </c>
      <c r="C104" s="134" t="s">
        <v>203</v>
      </c>
      <c r="D104" s="134">
        <v>0</v>
      </c>
      <c r="E104" s="134">
        <v>9</v>
      </c>
      <c r="F104" s="134">
        <f t="shared" si="7"/>
        <v>0.15619158878504674</v>
      </c>
      <c r="G104" s="134">
        <f t="shared" si="8"/>
        <v>10.891112413014609</v>
      </c>
      <c r="H104" s="134">
        <f t="shared" si="9"/>
        <v>0.73041324468778512</v>
      </c>
      <c r="I104" s="134">
        <v>-9.0989978609486086E-2</v>
      </c>
      <c r="J104" s="134"/>
      <c r="K104" s="152">
        <v>4011</v>
      </c>
      <c r="L104" s="134"/>
      <c r="M104" s="153"/>
      <c r="N104" s="153">
        <v>53697</v>
      </c>
      <c r="O104" s="153">
        <v>25680</v>
      </c>
      <c r="P104" s="153">
        <v>14476</v>
      </c>
      <c r="Q104" s="153"/>
      <c r="R104" s="153"/>
      <c r="S104" s="153">
        <v>39221</v>
      </c>
      <c r="T104" s="147"/>
      <c r="X104" s="149"/>
      <c r="Y104" s="149"/>
      <c r="Z104" s="149"/>
      <c r="AA104" s="149"/>
      <c r="AB104" s="149"/>
      <c r="AC104" s="149"/>
    </row>
    <row r="105" spans="1:29">
      <c r="A105" s="134" t="s">
        <v>105</v>
      </c>
      <c r="B105" s="134" t="s">
        <v>200</v>
      </c>
      <c r="C105" s="134" t="s">
        <v>203</v>
      </c>
      <c r="D105" s="134">
        <v>0</v>
      </c>
      <c r="E105" s="134">
        <v>7</v>
      </c>
      <c r="F105" s="134">
        <f t="shared" si="7"/>
        <v>0.15619158878504674</v>
      </c>
      <c r="G105" s="134">
        <f t="shared" si="8"/>
        <v>10.891112413014609</v>
      </c>
      <c r="H105" s="134">
        <f t="shared" si="9"/>
        <v>0.73041324468778512</v>
      </c>
      <c r="I105" s="134" t="str">
        <f>IF(A105=A106, (O105-O106)/O106, "")</f>
        <v/>
      </c>
      <c r="J105" s="134"/>
      <c r="K105" s="152">
        <v>4011</v>
      </c>
      <c r="L105" s="134"/>
      <c r="M105" s="153"/>
      <c r="N105" s="153">
        <v>53697</v>
      </c>
      <c r="O105" s="153">
        <v>25680</v>
      </c>
      <c r="P105" s="153">
        <v>14476</v>
      </c>
      <c r="Q105" s="153"/>
      <c r="R105" s="153"/>
      <c r="S105" s="153">
        <v>39221</v>
      </c>
      <c r="T105" s="147"/>
      <c r="X105" s="149"/>
      <c r="Y105" s="149"/>
      <c r="Z105" s="149"/>
      <c r="AA105" s="149"/>
      <c r="AB105" s="149"/>
      <c r="AC105" s="149"/>
    </row>
    <row r="106" spans="1:29">
      <c r="A106" s="134" t="s">
        <v>106</v>
      </c>
      <c r="B106" s="134" t="s">
        <v>200</v>
      </c>
      <c r="C106" s="134" t="s">
        <v>203</v>
      </c>
      <c r="D106" s="134">
        <v>1</v>
      </c>
      <c r="E106" s="134">
        <v>5</v>
      </c>
      <c r="F106" s="134">
        <f t="shared" si="7"/>
        <v>0.15619158878504674</v>
      </c>
      <c r="G106" s="134">
        <f t="shared" si="8"/>
        <v>10.891112413014609</v>
      </c>
      <c r="H106" s="134">
        <f t="shared" si="9"/>
        <v>0.73041324468778512</v>
      </c>
      <c r="I106" s="134" t="str">
        <f>IF(A106=A107, (O106-O107)/O107, "")</f>
        <v/>
      </c>
      <c r="J106" s="134"/>
      <c r="K106" s="152">
        <v>4011</v>
      </c>
      <c r="L106" s="134"/>
      <c r="M106" s="153"/>
      <c r="N106" s="153">
        <v>53697</v>
      </c>
      <c r="O106" s="153">
        <v>25680</v>
      </c>
      <c r="P106" s="153">
        <v>14476</v>
      </c>
      <c r="Q106" s="153"/>
      <c r="R106" s="153"/>
      <c r="S106" s="153">
        <v>39221</v>
      </c>
      <c r="T106" s="147"/>
      <c r="X106" s="149"/>
      <c r="Y106" s="149"/>
      <c r="Z106" s="149"/>
      <c r="AA106" s="149"/>
      <c r="AB106" s="149"/>
      <c r="AC106" s="149"/>
    </row>
    <row r="107" spans="1:29">
      <c r="A107" s="134" t="s">
        <v>107</v>
      </c>
      <c r="B107" s="134" t="s">
        <v>200</v>
      </c>
      <c r="C107" s="134" t="s">
        <v>203</v>
      </c>
      <c r="D107" s="134">
        <v>0</v>
      </c>
      <c r="E107" s="134">
        <v>3</v>
      </c>
      <c r="F107" s="134">
        <f t="shared" si="7"/>
        <v>0.15619158878504674</v>
      </c>
      <c r="G107" s="134">
        <f t="shared" si="8"/>
        <v>10.891112413014609</v>
      </c>
      <c r="H107" s="134">
        <f t="shared" si="9"/>
        <v>0.73041324468778512</v>
      </c>
      <c r="I107" s="134" t="str">
        <f>IF(A107=A108, (O107-O108)/O108, "")</f>
        <v/>
      </c>
      <c r="J107" s="134"/>
      <c r="K107" s="152">
        <v>4011</v>
      </c>
      <c r="L107" s="134"/>
      <c r="M107" s="153"/>
      <c r="N107" s="153">
        <v>53697</v>
      </c>
      <c r="O107" s="153">
        <v>25680</v>
      </c>
      <c r="P107" s="153">
        <v>14476</v>
      </c>
      <c r="Q107" s="153"/>
      <c r="R107" s="153"/>
      <c r="S107" s="153">
        <v>39221</v>
      </c>
      <c r="T107" s="147"/>
      <c r="X107" s="149"/>
      <c r="Y107" s="149"/>
      <c r="Z107" s="149"/>
      <c r="AA107" s="149"/>
      <c r="AB107" s="149"/>
      <c r="AC107" s="149"/>
    </row>
    <row r="108" spans="1:29">
      <c r="A108" s="134" t="s">
        <v>111</v>
      </c>
      <c r="B108" s="134" t="s">
        <v>200</v>
      </c>
      <c r="C108" s="134" t="s">
        <v>203</v>
      </c>
      <c r="D108" s="134">
        <v>1</v>
      </c>
      <c r="E108" s="134">
        <v>1</v>
      </c>
      <c r="F108" s="134">
        <f t="shared" si="7"/>
        <v>0.15619158878504674</v>
      </c>
      <c r="G108" s="134">
        <f t="shared" si="8"/>
        <v>10.891112413014609</v>
      </c>
      <c r="H108" s="134">
        <f t="shared" si="9"/>
        <v>0.73041324468778512</v>
      </c>
      <c r="I108" s="134" t="str">
        <f>IF(A108=A109, (O108-O109)/O109, "")</f>
        <v/>
      </c>
      <c r="J108" s="134"/>
      <c r="K108" s="152">
        <v>4011</v>
      </c>
      <c r="L108" s="134"/>
      <c r="M108" s="153"/>
      <c r="N108" s="153">
        <v>53697</v>
      </c>
      <c r="O108" s="153">
        <v>25680</v>
      </c>
      <c r="P108" s="153">
        <v>14476</v>
      </c>
      <c r="Q108" s="153"/>
      <c r="R108" s="153"/>
      <c r="S108" s="153">
        <v>39221</v>
      </c>
      <c r="T108" s="147"/>
      <c r="X108" s="149"/>
      <c r="Y108" s="149"/>
      <c r="Z108" s="149"/>
      <c r="AA108" s="149"/>
      <c r="AB108" s="149"/>
      <c r="AC108" s="149"/>
    </row>
    <row r="109" spans="1:29">
      <c r="A109" s="134" t="s">
        <v>116</v>
      </c>
      <c r="B109" s="134" t="s">
        <v>200</v>
      </c>
      <c r="C109" s="134" t="s">
        <v>203</v>
      </c>
      <c r="D109" s="134">
        <v>0</v>
      </c>
      <c r="E109" s="134">
        <v>11</v>
      </c>
      <c r="F109" s="134">
        <f t="shared" si="7"/>
        <v>0.15619158878504674</v>
      </c>
      <c r="G109" s="134">
        <f t="shared" si="8"/>
        <v>10.891112413014609</v>
      </c>
      <c r="H109" s="134">
        <f t="shared" si="9"/>
        <v>0.73041324468778512</v>
      </c>
      <c r="I109" s="134" t="str">
        <f>IF(A109=A110, (O109-O110)/O110, "")</f>
        <v/>
      </c>
      <c r="J109" s="134"/>
      <c r="K109" s="152">
        <v>4011</v>
      </c>
      <c r="L109" s="134"/>
      <c r="M109" s="153"/>
      <c r="N109" s="153">
        <v>53697</v>
      </c>
      <c r="O109" s="153">
        <v>25680</v>
      </c>
      <c r="P109" s="153">
        <v>14476</v>
      </c>
      <c r="Q109" s="153"/>
      <c r="R109" s="153"/>
      <c r="S109" s="153">
        <v>39221</v>
      </c>
      <c r="T109" s="147"/>
      <c r="X109" s="149"/>
      <c r="Y109" s="149"/>
      <c r="Z109" s="149"/>
      <c r="AA109" s="149"/>
      <c r="AB109" s="149"/>
      <c r="AC109" s="149"/>
    </row>
    <row r="110" spans="1:29">
      <c r="A110" s="134" t="s">
        <v>134</v>
      </c>
      <c r="B110" s="134" t="s">
        <v>200</v>
      </c>
      <c r="C110" s="134" t="s">
        <v>203</v>
      </c>
      <c r="D110" s="134">
        <v>0</v>
      </c>
      <c r="E110" s="134">
        <v>8</v>
      </c>
      <c r="F110" s="134">
        <f t="shared" si="7"/>
        <v>0.15619158878504674</v>
      </c>
      <c r="G110" s="134">
        <f t="shared" si="8"/>
        <v>10.891112413014609</v>
      </c>
      <c r="H110" s="134">
        <f t="shared" si="9"/>
        <v>0.73041324468778512</v>
      </c>
      <c r="I110" s="134">
        <v>-3.0741338384038589E-2</v>
      </c>
      <c r="J110" s="134"/>
      <c r="K110" s="152">
        <v>4011</v>
      </c>
      <c r="L110" s="134"/>
      <c r="M110" s="153"/>
      <c r="N110" s="153">
        <v>53697</v>
      </c>
      <c r="O110" s="153">
        <v>25680</v>
      </c>
      <c r="P110" s="153">
        <v>14476</v>
      </c>
      <c r="Q110" s="153"/>
      <c r="R110" s="153"/>
      <c r="S110" s="153">
        <v>39221</v>
      </c>
    </row>
    <row r="111" spans="1:29">
      <c r="A111" s="134" t="s">
        <v>135</v>
      </c>
      <c r="B111" s="134" t="s">
        <v>200</v>
      </c>
      <c r="C111" s="134" t="s">
        <v>203</v>
      </c>
      <c r="D111" s="134">
        <v>0</v>
      </c>
      <c r="E111" s="134">
        <v>10</v>
      </c>
      <c r="F111" s="134">
        <f t="shared" si="7"/>
        <v>0.15619158878504674</v>
      </c>
      <c r="G111" s="134">
        <f t="shared" si="8"/>
        <v>10.891112413014609</v>
      </c>
      <c r="H111" s="134">
        <f t="shared" si="9"/>
        <v>0.73041324468778512</v>
      </c>
      <c r="I111" s="134" t="str">
        <f t="shared" ref="I111:I119" si="13">IF(A111=A112, (O111-O112)/O112, "")</f>
        <v/>
      </c>
      <c r="J111" s="134"/>
      <c r="K111" s="152">
        <v>4011</v>
      </c>
      <c r="L111" s="134"/>
      <c r="M111" s="153"/>
      <c r="N111" s="153">
        <v>53697</v>
      </c>
      <c r="O111" s="153">
        <v>25680</v>
      </c>
      <c r="P111" s="153">
        <v>14476</v>
      </c>
      <c r="Q111" s="153"/>
      <c r="R111" s="153"/>
      <c r="S111" s="153">
        <v>39221</v>
      </c>
    </row>
    <row r="112" spans="1:29">
      <c r="A112" s="134" t="s">
        <v>141</v>
      </c>
      <c r="B112" s="134" t="s">
        <v>200</v>
      </c>
      <c r="C112" s="134" t="s">
        <v>203</v>
      </c>
      <c r="D112" s="134">
        <v>0</v>
      </c>
      <c r="E112" s="134">
        <v>16</v>
      </c>
      <c r="F112" s="134">
        <f t="shared" si="7"/>
        <v>0.15619158878504674</v>
      </c>
      <c r="G112" s="134">
        <f t="shared" si="8"/>
        <v>10.891112413014609</v>
      </c>
      <c r="H112" s="134">
        <f t="shared" si="9"/>
        <v>0.73041324468778512</v>
      </c>
      <c r="I112" s="134" t="str">
        <f t="shared" si="13"/>
        <v/>
      </c>
      <c r="J112" s="134"/>
      <c r="K112" s="152">
        <v>4011</v>
      </c>
      <c r="L112" s="134"/>
      <c r="M112" s="153"/>
      <c r="N112" s="153">
        <v>53697</v>
      </c>
      <c r="O112" s="153">
        <v>25680</v>
      </c>
      <c r="P112" s="153">
        <v>14476</v>
      </c>
      <c r="Q112" s="153"/>
      <c r="R112" s="153"/>
      <c r="S112" s="153">
        <v>39221</v>
      </c>
    </row>
    <row r="113" spans="1:19">
      <c r="A113" s="130" t="s">
        <v>21</v>
      </c>
      <c r="B113" s="130" t="s">
        <v>172</v>
      </c>
      <c r="C113" s="130" t="s">
        <v>203</v>
      </c>
      <c r="D113" s="130">
        <v>0</v>
      </c>
      <c r="E113" s="130">
        <v>5</v>
      </c>
      <c r="F113" s="130">
        <f t="shared" si="7"/>
        <v>-6.844541844810742E-2</v>
      </c>
      <c r="G113" s="130">
        <f t="shared" si="8"/>
        <v>13.85501776853479</v>
      </c>
      <c r="H113" s="130">
        <f t="shared" si="9"/>
        <v>0.57395477065225542</v>
      </c>
      <c r="I113" s="130" t="str">
        <f t="shared" si="13"/>
        <v/>
      </c>
      <c r="J113" s="130"/>
      <c r="K113" s="154">
        <v>-30545</v>
      </c>
      <c r="L113" s="130">
        <v>724</v>
      </c>
      <c r="M113" s="148">
        <v>10172</v>
      </c>
      <c r="N113" s="148">
        <v>1040298</v>
      </c>
      <c r="O113" s="148">
        <v>446268</v>
      </c>
      <c r="P113" s="148">
        <v>443214</v>
      </c>
      <c r="Q113" s="148">
        <v>319195</v>
      </c>
      <c r="R113" s="148">
        <v>277889</v>
      </c>
      <c r="S113" s="148">
        <f t="shared" ref="S113:S144" si="14">Q113+R113</f>
        <v>597084</v>
      </c>
    </row>
    <row r="114" spans="1:19">
      <c r="A114" s="130" t="s">
        <v>33</v>
      </c>
      <c r="B114" s="130" t="s">
        <v>172</v>
      </c>
      <c r="C114" s="130" t="s">
        <v>203</v>
      </c>
      <c r="D114" s="130">
        <v>0</v>
      </c>
      <c r="E114" s="130">
        <v>14</v>
      </c>
      <c r="F114" s="130">
        <f t="shared" si="7"/>
        <v>-0.24723565208107737</v>
      </c>
      <c r="G114" s="130">
        <f t="shared" si="8"/>
        <v>12.022522334126382</v>
      </c>
      <c r="H114" s="130">
        <f t="shared" si="9"/>
        <v>1.3517859931996492</v>
      </c>
      <c r="I114" s="130" t="str">
        <f t="shared" si="13"/>
        <v/>
      </c>
      <c r="J114" s="130"/>
      <c r="K114" s="154">
        <v>-32421</v>
      </c>
      <c r="L114" s="130">
        <v>621</v>
      </c>
      <c r="M114" s="148">
        <v>39600</v>
      </c>
      <c r="N114" s="148">
        <v>166462</v>
      </c>
      <c r="O114" s="148">
        <v>131134</v>
      </c>
      <c r="P114" s="148">
        <v>-58686</v>
      </c>
      <c r="Q114" s="148">
        <v>120739</v>
      </c>
      <c r="R114" s="148">
        <v>104282</v>
      </c>
      <c r="S114" s="148">
        <f t="shared" si="14"/>
        <v>225021</v>
      </c>
    </row>
    <row r="115" spans="1:19">
      <c r="A115" s="130" t="s">
        <v>36</v>
      </c>
      <c r="B115" s="130" t="s">
        <v>172</v>
      </c>
      <c r="C115" s="130" t="s">
        <v>203</v>
      </c>
      <c r="D115" s="130">
        <v>0</v>
      </c>
      <c r="E115" s="130">
        <v>17</v>
      </c>
      <c r="F115" s="130">
        <f t="shared" si="7"/>
        <v>-0.11192715742243556</v>
      </c>
      <c r="G115" s="130">
        <f t="shared" si="8"/>
        <v>12.007786327401963</v>
      </c>
      <c r="H115" s="130">
        <f t="shared" si="9"/>
        <v>1.8591329476244765</v>
      </c>
      <c r="I115" s="130" t="str">
        <f t="shared" si="13"/>
        <v/>
      </c>
      <c r="J115" s="130"/>
      <c r="K115" s="154">
        <v>-17861</v>
      </c>
      <c r="L115" s="130">
        <v>954</v>
      </c>
      <c r="M115" s="148">
        <v>243646</v>
      </c>
      <c r="N115" s="148">
        <v>164027</v>
      </c>
      <c r="O115" s="148">
        <v>159577</v>
      </c>
      <c r="P115" s="148">
        <v>-140921</v>
      </c>
      <c r="Q115" s="148">
        <v>9758</v>
      </c>
      <c r="R115" s="148">
        <v>295190</v>
      </c>
      <c r="S115" s="148">
        <f t="shared" si="14"/>
        <v>304948</v>
      </c>
    </row>
    <row r="116" spans="1:19">
      <c r="A116" s="130" t="s">
        <v>37</v>
      </c>
      <c r="B116" s="130" t="s">
        <v>172</v>
      </c>
      <c r="C116" s="130" t="s">
        <v>203</v>
      </c>
      <c r="D116" s="130">
        <v>0</v>
      </c>
      <c r="E116" s="130">
        <v>15</v>
      </c>
      <c r="F116" s="130">
        <f t="shared" si="7"/>
        <v>3.2781549637749555E-2</v>
      </c>
      <c r="G116" s="130">
        <f t="shared" si="8"/>
        <v>11.896369887709124</v>
      </c>
      <c r="H116" s="130">
        <f t="shared" si="9"/>
        <v>0.42030081849345408</v>
      </c>
      <c r="I116" s="130" t="str">
        <f t="shared" si="13"/>
        <v/>
      </c>
      <c r="J116" s="130"/>
      <c r="K116" s="154">
        <v>5036</v>
      </c>
      <c r="L116" s="130">
        <v>255</v>
      </c>
      <c r="M116" s="148">
        <v>576</v>
      </c>
      <c r="N116" s="148">
        <v>146733</v>
      </c>
      <c r="O116" s="148">
        <v>153623</v>
      </c>
      <c r="P116" s="148">
        <v>85060</v>
      </c>
      <c r="Q116" s="148">
        <v>9989</v>
      </c>
      <c r="R116" s="148">
        <v>51683</v>
      </c>
      <c r="S116" s="148">
        <f t="shared" si="14"/>
        <v>61672</v>
      </c>
    </row>
    <row r="117" spans="1:19">
      <c r="A117" s="130" t="s">
        <v>44</v>
      </c>
      <c r="B117" s="130" t="s">
        <v>172</v>
      </c>
      <c r="C117" s="130" t="s">
        <v>203</v>
      </c>
      <c r="D117" s="130">
        <v>1</v>
      </c>
      <c r="E117" s="130">
        <v>3</v>
      </c>
      <c r="F117" s="130">
        <f t="shared" si="7"/>
        <v>-0.21616841006284257</v>
      </c>
      <c r="G117" s="130">
        <f t="shared" si="8"/>
        <v>13.792387263350053</v>
      </c>
      <c r="H117" s="130">
        <f t="shared" si="9"/>
        <v>0.47095202130294267</v>
      </c>
      <c r="I117" s="130" t="str">
        <f t="shared" si="13"/>
        <v/>
      </c>
      <c r="J117" s="130"/>
      <c r="K117" s="154">
        <v>-107667</v>
      </c>
      <c r="L117" s="130">
        <v>798</v>
      </c>
      <c r="M117" s="148">
        <v>79395</v>
      </c>
      <c r="N117" s="148">
        <v>977142</v>
      </c>
      <c r="O117" s="148">
        <v>498070</v>
      </c>
      <c r="P117" s="148">
        <v>516956</v>
      </c>
      <c r="Q117" s="148">
        <v>43274</v>
      </c>
      <c r="R117" s="148">
        <v>416913</v>
      </c>
      <c r="S117" s="148">
        <f t="shared" si="14"/>
        <v>460187</v>
      </c>
    </row>
    <row r="118" spans="1:19">
      <c r="A118" s="130" t="s">
        <v>47</v>
      </c>
      <c r="B118" s="130" t="s">
        <v>172</v>
      </c>
      <c r="C118" s="130" t="s">
        <v>203</v>
      </c>
      <c r="D118" s="130">
        <v>0</v>
      </c>
      <c r="E118" s="130">
        <v>12</v>
      </c>
      <c r="F118" s="130">
        <f t="shared" si="7"/>
        <v>1.6788499652518597E-2</v>
      </c>
      <c r="G118" s="130">
        <f t="shared" si="8"/>
        <v>12.223087075689303</v>
      </c>
      <c r="H118" s="130">
        <f t="shared" si="9"/>
        <v>0.46974418970466791</v>
      </c>
      <c r="I118" s="130" t="str">
        <f t="shared" si="13"/>
        <v/>
      </c>
      <c r="J118" s="130"/>
      <c r="K118" s="154">
        <v>2609</v>
      </c>
      <c r="L118" s="130">
        <v>236</v>
      </c>
      <c r="M118" s="148">
        <v>24375</v>
      </c>
      <c r="N118" s="148">
        <v>203432</v>
      </c>
      <c r="O118" s="148">
        <v>155404</v>
      </c>
      <c r="P118" s="148">
        <v>33297</v>
      </c>
      <c r="Q118" s="148">
        <v>26101</v>
      </c>
      <c r="R118" s="148">
        <v>69460</v>
      </c>
      <c r="S118" s="148">
        <f t="shared" si="14"/>
        <v>95561</v>
      </c>
    </row>
    <row r="119" spans="1:19">
      <c r="A119" s="130" t="s">
        <v>57</v>
      </c>
      <c r="B119" s="130" t="s">
        <v>172</v>
      </c>
      <c r="C119" s="130" t="s">
        <v>203</v>
      </c>
      <c r="D119" s="130">
        <v>0</v>
      </c>
      <c r="E119" s="130">
        <v>8</v>
      </c>
      <c r="F119" s="130">
        <f t="shared" si="7"/>
        <v>-0.59582461070803816</v>
      </c>
      <c r="G119" s="130">
        <f t="shared" si="8"/>
        <v>13.001690670667118</v>
      </c>
      <c r="H119" s="130">
        <f t="shared" si="9"/>
        <v>0.59545719172672751</v>
      </c>
      <c r="I119" s="130" t="str">
        <f t="shared" si="13"/>
        <v/>
      </c>
      <c r="J119" s="130"/>
      <c r="K119" s="154">
        <v>-124662</v>
      </c>
      <c r="L119" s="130">
        <v>456</v>
      </c>
      <c r="M119" s="148">
        <v>19999</v>
      </c>
      <c r="N119" s="148">
        <v>443162</v>
      </c>
      <c r="O119" s="148">
        <v>209226</v>
      </c>
      <c r="P119" s="148">
        <v>179277</v>
      </c>
      <c r="Q119" s="148">
        <v>77885</v>
      </c>
      <c r="R119" s="148">
        <v>185999</v>
      </c>
      <c r="S119" s="148">
        <f t="shared" si="14"/>
        <v>263884</v>
      </c>
    </row>
    <row r="120" spans="1:19">
      <c r="A120" s="130" t="s">
        <v>61</v>
      </c>
      <c r="B120" s="130" t="s">
        <v>172</v>
      </c>
      <c r="C120" s="130" t="s">
        <v>203</v>
      </c>
      <c r="D120" s="130">
        <v>0</v>
      </c>
      <c r="E120" s="130">
        <v>19</v>
      </c>
      <c r="F120" s="130">
        <f t="shared" si="7"/>
        <v>-0.1465017092625753</v>
      </c>
      <c r="G120" s="130">
        <f t="shared" si="8"/>
        <v>12.517296668814931</v>
      </c>
      <c r="H120" s="130">
        <f t="shared" si="9"/>
        <v>0.40743684505473976</v>
      </c>
      <c r="I120" s="130">
        <v>0.16435426263</v>
      </c>
      <c r="J120" s="130"/>
      <c r="K120" s="154">
        <v>-22499</v>
      </c>
      <c r="L120" s="130">
        <v>266</v>
      </c>
      <c r="M120" s="148">
        <v>370</v>
      </c>
      <c r="N120" s="148">
        <v>273019</v>
      </c>
      <c r="O120" s="148">
        <v>153575</v>
      </c>
      <c r="P120" s="148">
        <v>161781</v>
      </c>
      <c r="Q120" s="148">
        <v>54814</v>
      </c>
      <c r="R120" s="148">
        <v>56424</v>
      </c>
      <c r="S120" s="148">
        <f t="shared" si="14"/>
        <v>111238</v>
      </c>
    </row>
    <row r="121" spans="1:19">
      <c r="A121" s="130" t="s">
        <v>87</v>
      </c>
      <c r="B121" s="130" t="s">
        <v>172</v>
      </c>
      <c r="C121" s="130" t="s">
        <v>203</v>
      </c>
      <c r="D121" s="130">
        <v>0</v>
      </c>
      <c r="E121" s="130">
        <v>9</v>
      </c>
      <c r="F121" s="130">
        <f t="shared" si="7"/>
        <v>0.19769242295589631</v>
      </c>
      <c r="G121" s="130">
        <f t="shared" si="8"/>
        <v>11.28640120549654</v>
      </c>
      <c r="H121" s="130">
        <f t="shared" si="9"/>
        <v>0.35709268782139719</v>
      </c>
      <c r="I121" s="130" t="str">
        <f t="shared" ref="I121:I129" si="15">IF(A121=A122, (O121-O122)/O122, "")</f>
        <v/>
      </c>
      <c r="J121" s="130"/>
      <c r="K121" s="154">
        <v>3958</v>
      </c>
      <c r="L121" s="130">
        <v>171</v>
      </c>
      <c r="M121" s="148">
        <v>9195</v>
      </c>
      <c r="N121" s="148">
        <v>79730</v>
      </c>
      <c r="O121" s="148">
        <v>20021</v>
      </c>
      <c r="P121" s="148">
        <v>44990</v>
      </c>
      <c r="Q121" s="148">
        <v>17136</v>
      </c>
      <c r="R121" s="148">
        <v>11335</v>
      </c>
      <c r="S121" s="148">
        <f t="shared" si="14"/>
        <v>28471</v>
      </c>
    </row>
    <row r="122" spans="1:19">
      <c r="A122" s="130" t="s">
        <v>90</v>
      </c>
      <c r="B122" s="130" t="s">
        <v>172</v>
      </c>
      <c r="C122" s="130" t="s">
        <v>203</v>
      </c>
      <c r="D122" s="130">
        <v>0</v>
      </c>
      <c r="E122" s="130">
        <v>2</v>
      </c>
      <c r="F122" s="130">
        <f t="shared" si="7"/>
        <v>6.2647064203554315E-2</v>
      </c>
      <c r="G122" s="130">
        <f t="shared" si="8"/>
        <v>13.641139313517199</v>
      </c>
      <c r="H122" s="130">
        <f t="shared" si="9"/>
        <v>0.66660357030185058</v>
      </c>
      <c r="I122" s="130" t="str">
        <f t="shared" si="15"/>
        <v/>
      </c>
      <c r="J122" s="130"/>
      <c r="K122" s="154">
        <v>37673</v>
      </c>
      <c r="L122" s="130">
        <v>853</v>
      </c>
      <c r="M122" s="148">
        <v>89466</v>
      </c>
      <c r="N122" s="148">
        <v>839985</v>
      </c>
      <c r="O122" s="148">
        <v>601353</v>
      </c>
      <c r="P122" s="148">
        <v>280049</v>
      </c>
      <c r="Q122" s="148">
        <v>148748</v>
      </c>
      <c r="R122" s="148">
        <v>411189</v>
      </c>
      <c r="S122" s="148">
        <f t="shared" si="14"/>
        <v>559937</v>
      </c>
    </row>
    <row r="123" spans="1:19">
      <c r="A123" s="130" t="s">
        <v>94</v>
      </c>
      <c r="B123" s="130" t="s">
        <v>172</v>
      </c>
      <c r="C123" s="130" t="s">
        <v>203</v>
      </c>
      <c r="D123" s="130">
        <v>1</v>
      </c>
      <c r="E123" s="130">
        <v>1</v>
      </c>
      <c r="F123" s="130">
        <f t="shared" si="7"/>
        <v>1.8833234449215464E-2</v>
      </c>
      <c r="G123" s="130">
        <f t="shared" si="8"/>
        <v>14.091654825191942</v>
      </c>
      <c r="H123" s="130">
        <f t="shared" si="9"/>
        <v>0.35990843966562419</v>
      </c>
      <c r="I123" s="130" t="str">
        <f t="shared" si="15"/>
        <v/>
      </c>
      <c r="J123" s="130"/>
      <c r="K123" s="154">
        <v>11237</v>
      </c>
      <c r="L123" s="130">
        <v>463</v>
      </c>
      <c r="M123" s="148">
        <v>10966</v>
      </c>
      <c r="N123" s="148">
        <v>1318038</v>
      </c>
      <c r="O123" s="148">
        <v>596658</v>
      </c>
      <c r="P123" s="148">
        <v>843665</v>
      </c>
      <c r="Q123" s="148">
        <v>96437</v>
      </c>
      <c r="R123" s="148">
        <v>377936</v>
      </c>
      <c r="S123" s="148">
        <f t="shared" si="14"/>
        <v>474373</v>
      </c>
    </row>
    <row r="124" spans="1:19">
      <c r="A124" s="130" t="s">
        <v>95</v>
      </c>
      <c r="B124" s="130" t="s">
        <v>172</v>
      </c>
      <c r="C124" s="130" t="s">
        <v>203</v>
      </c>
      <c r="D124" s="130">
        <v>0</v>
      </c>
      <c r="E124" s="130">
        <v>6</v>
      </c>
      <c r="F124" s="130">
        <f t="shared" si="7"/>
        <v>3.01069117173812E-2</v>
      </c>
      <c r="G124" s="130">
        <f t="shared" si="8"/>
        <v>14.327416997438482</v>
      </c>
      <c r="H124" s="130">
        <f t="shared" si="9"/>
        <v>0.722555828127463</v>
      </c>
      <c r="I124" s="130" t="str">
        <f t="shared" si="15"/>
        <v/>
      </c>
      <c r="J124" s="130"/>
      <c r="K124" s="154">
        <v>21050</v>
      </c>
      <c r="L124" s="130">
        <v>940</v>
      </c>
      <c r="M124" s="148">
        <v>0</v>
      </c>
      <c r="N124" s="148">
        <v>1668469</v>
      </c>
      <c r="O124" s="148">
        <v>699175</v>
      </c>
      <c r="P124" s="148">
        <v>462907</v>
      </c>
      <c r="Q124" s="148">
        <v>727446</v>
      </c>
      <c r="R124" s="148">
        <v>478116</v>
      </c>
      <c r="S124" s="148">
        <f t="shared" si="14"/>
        <v>1205562</v>
      </c>
    </row>
    <row r="125" spans="1:19">
      <c r="A125" s="130" t="s">
        <v>102</v>
      </c>
      <c r="B125" s="130" t="s">
        <v>172</v>
      </c>
      <c r="C125" s="130" t="s">
        <v>203</v>
      </c>
      <c r="D125" s="130">
        <v>0</v>
      </c>
      <c r="E125" s="130">
        <v>13</v>
      </c>
      <c r="F125" s="130">
        <f t="shared" si="7"/>
        <v>0.19687272838181993</v>
      </c>
      <c r="G125" s="130">
        <f t="shared" si="8"/>
        <v>12.394471531227319</v>
      </c>
      <c r="H125" s="130">
        <f t="shared" si="9"/>
        <v>0.84510256229732916</v>
      </c>
      <c r="I125" s="130" t="str">
        <f t="shared" si="15"/>
        <v/>
      </c>
      <c r="J125" s="130"/>
      <c r="K125" s="154">
        <v>38729</v>
      </c>
      <c r="L125" s="130">
        <v>274</v>
      </c>
      <c r="M125" s="148">
        <v>2092</v>
      </c>
      <c r="N125" s="148">
        <v>241463</v>
      </c>
      <c r="O125" s="148">
        <v>196721</v>
      </c>
      <c r="P125" s="148">
        <v>37403</v>
      </c>
      <c r="Q125" s="148">
        <v>161592</v>
      </c>
      <c r="R125" s="148">
        <v>42469</v>
      </c>
      <c r="S125" s="148">
        <f t="shared" si="14"/>
        <v>204061</v>
      </c>
    </row>
    <row r="126" spans="1:19">
      <c r="A126" s="130" t="s">
        <v>129</v>
      </c>
      <c r="B126" s="130" t="s">
        <v>172</v>
      </c>
      <c r="C126" s="130" t="s">
        <v>203</v>
      </c>
      <c r="D126" s="130">
        <v>0</v>
      </c>
      <c r="E126" s="130">
        <v>16</v>
      </c>
      <c r="F126" s="130">
        <f t="shared" si="7"/>
        <v>-0.23668528979531095</v>
      </c>
      <c r="G126" s="130">
        <f t="shared" si="8"/>
        <v>12.496534600525615</v>
      </c>
      <c r="H126" s="130">
        <f t="shared" si="9"/>
        <v>0.75113029105228324</v>
      </c>
      <c r="I126" s="130" t="str">
        <f t="shared" si="15"/>
        <v/>
      </c>
      <c r="J126" s="130"/>
      <c r="K126" s="154">
        <v>-38170</v>
      </c>
      <c r="L126" s="130">
        <v>385</v>
      </c>
      <c r="M126" s="148">
        <v>48907</v>
      </c>
      <c r="N126" s="148">
        <v>267409</v>
      </c>
      <c r="O126" s="148">
        <v>161269</v>
      </c>
      <c r="P126" s="148">
        <v>66550</v>
      </c>
      <c r="Q126" s="148">
        <v>58405</v>
      </c>
      <c r="R126" s="148">
        <v>142454</v>
      </c>
      <c r="S126" s="148">
        <f t="shared" si="14"/>
        <v>200859</v>
      </c>
    </row>
    <row r="127" spans="1:19">
      <c r="A127" s="130" t="s">
        <v>140</v>
      </c>
      <c r="B127" s="130" t="s">
        <v>172</v>
      </c>
      <c r="C127" s="130" t="s">
        <v>203</v>
      </c>
      <c r="D127" s="130">
        <v>0</v>
      </c>
      <c r="E127" s="130">
        <v>4</v>
      </c>
      <c r="F127" s="130">
        <f t="shared" si="7"/>
        <v>0.14880058875409588</v>
      </c>
      <c r="G127" s="130">
        <f t="shared" si="8"/>
        <v>14.451658723744272</v>
      </c>
      <c r="H127" s="130">
        <f t="shared" si="9"/>
        <v>0.76174498065308416</v>
      </c>
      <c r="I127" s="130" t="str">
        <f t="shared" si="15"/>
        <v/>
      </c>
      <c r="J127" s="130"/>
      <c r="K127" s="154">
        <v>76428</v>
      </c>
      <c r="L127" s="130">
        <v>561</v>
      </c>
      <c r="M127" s="148">
        <v>796</v>
      </c>
      <c r="N127" s="148">
        <v>1889190</v>
      </c>
      <c r="O127" s="148">
        <v>513627</v>
      </c>
      <c r="P127" s="148">
        <v>450110</v>
      </c>
      <c r="Q127" s="148">
        <v>991585</v>
      </c>
      <c r="R127" s="148">
        <v>447496</v>
      </c>
      <c r="S127" s="148">
        <f t="shared" si="14"/>
        <v>1439081</v>
      </c>
    </row>
    <row r="128" spans="1:19">
      <c r="A128" s="130" t="s">
        <v>148</v>
      </c>
      <c r="B128" s="130" t="s">
        <v>172</v>
      </c>
      <c r="C128" s="130" t="s">
        <v>203</v>
      </c>
      <c r="D128" s="130">
        <v>0</v>
      </c>
      <c r="E128" s="130">
        <v>11</v>
      </c>
      <c r="F128" s="130">
        <f t="shared" si="7"/>
        <v>6.6125240695633164E-2</v>
      </c>
      <c r="G128" s="130">
        <f t="shared" si="8"/>
        <v>12.259547059545998</v>
      </c>
      <c r="H128" s="130">
        <f t="shared" si="9"/>
        <v>1.0921577735015593</v>
      </c>
      <c r="I128" s="130" t="str">
        <f t="shared" si="15"/>
        <v/>
      </c>
      <c r="J128" s="130"/>
      <c r="K128" s="154">
        <v>10886</v>
      </c>
      <c r="L128" s="130">
        <v>297</v>
      </c>
      <c r="M128" s="148">
        <v>19997</v>
      </c>
      <c r="N128" s="148">
        <v>210986</v>
      </c>
      <c r="O128" s="148">
        <v>164627</v>
      </c>
      <c r="P128" s="148">
        <v>-19444</v>
      </c>
      <c r="Q128" s="148">
        <v>114941</v>
      </c>
      <c r="R128" s="148">
        <v>115489</v>
      </c>
      <c r="S128" s="148">
        <f t="shared" si="14"/>
        <v>230430</v>
      </c>
    </row>
    <row r="129" spans="1:19">
      <c r="A129" s="130" t="s">
        <v>150</v>
      </c>
      <c r="B129" s="130" t="s">
        <v>172</v>
      </c>
      <c r="C129" s="130" t="s">
        <v>203</v>
      </c>
      <c r="D129" s="130">
        <v>0</v>
      </c>
      <c r="E129" s="130">
        <v>10</v>
      </c>
      <c r="F129" s="130">
        <f t="shared" si="7"/>
        <v>-0.14292487252546004</v>
      </c>
      <c r="G129" s="130">
        <f t="shared" si="8"/>
        <v>12.3994536538491</v>
      </c>
      <c r="H129" s="130">
        <f t="shared" si="9"/>
        <v>1.3630542014019096</v>
      </c>
      <c r="I129" s="130" t="str">
        <f t="shared" si="15"/>
        <v/>
      </c>
      <c r="J129" s="130"/>
      <c r="K129" s="154">
        <v>-30749</v>
      </c>
      <c r="L129" s="130">
        <v>542</v>
      </c>
      <c r="M129" s="148">
        <v>101356</v>
      </c>
      <c r="N129" s="148">
        <v>242669</v>
      </c>
      <c r="O129" s="148">
        <v>215141</v>
      </c>
      <c r="P129" s="148">
        <v>-88102</v>
      </c>
      <c r="Q129" s="148">
        <v>115735</v>
      </c>
      <c r="R129" s="148">
        <v>215036</v>
      </c>
      <c r="S129" s="148">
        <f t="shared" si="14"/>
        <v>330771</v>
      </c>
    </row>
    <row r="130" spans="1:19">
      <c r="A130" s="130" t="s">
        <v>151</v>
      </c>
      <c r="B130" s="130" t="s">
        <v>172</v>
      </c>
      <c r="C130" s="130" t="s">
        <v>203</v>
      </c>
      <c r="D130" s="130">
        <v>0</v>
      </c>
      <c r="E130" s="130">
        <v>7</v>
      </c>
      <c r="F130" s="130">
        <f t="shared" si="7"/>
        <v>0.12547026293608535</v>
      </c>
      <c r="G130" s="130">
        <f t="shared" si="8"/>
        <v>12.451705408118247</v>
      </c>
      <c r="H130" s="130">
        <f t="shared" si="9"/>
        <v>1.1797321714915951</v>
      </c>
      <c r="I130" s="130">
        <v>5.0572779071726193E-2</v>
      </c>
      <c r="J130" s="130"/>
      <c r="K130" s="154">
        <v>24413</v>
      </c>
      <c r="L130" s="130">
        <v>365</v>
      </c>
      <c r="M130" s="148">
        <v>184525</v>
      </c>
      <c r="N130" s="148">
        <v>255686</v>
      </c>
      <c r="O130" s="148">
        <v>194572</v>
      </c>
      <c r="P130" s="148">
        <v>-45955</v>
      </c>
      <c r="Q130" s="148">
        <v>27792</v>
      </c>
      <c r="R130" s="148">
        <v>273849</v>
      </c>
      <c r="S130" s="148">
        <f t="shared" si="14"/>
        <v>301641</v>
      </c>
    </row>
    <row r="131" spans="1:19">
      <c r="A131" s="132" t="s">
        <v>3</v>
      </c>
      <c r="B131" s="132" t="s">
        <v>198</v>
      </c>
      <c r="C131" s="132" t="s">
        <v>203</v>
      </c>
      <c r="D131" s="132">
        <v>1</v>
      </c>
      <c r="E131" s="132">
        <v>5</v>
      </c>
      <c r="F131" s="132">
        <f t="shared" ref="F131:F194" si="16">K131/O131</f>
        <v>-0.64101888565419185</v>
      </c>
      <c r="G131" s="132">
        <f t="shared" ref="G131:G194" si="17">LN(N131)</f>
        <v>13.030147206215094</v>
      </c>
      <c r="H131" s="132">
        <f t="shared" ref="H131:H194" si="18">S131/N131</f>
        <v>0.81733683661071077</v>
      </c>
      <c r="I131" s="132" t="str">
        <f>IF(A131=A132, (O131-O132)/O132, "")</f>
        <v/>
      </c>
      <c r="J131" s="132"/>
      <c r="K131" s="155">
        <v>-145985</v>
      </c>
      <c r="L131" s="132">
        <v>382</v>
      </c>
      <c r="M131" s="156">
        <v>95543</v>
      </c>
      <c r="N131" s="156">
        <v>455954</v>
      </c>
      <c r="O131" s="156">
        <v>227739</v>
      </c>
      <c r="P131" s="156">
        <v>83286</v>
      </c>
      <c r="Q131" s="156">
        <v>26664</v>
      </c>
      <c r="R131" s="156">
        <v>346004</v>
      </c>
      <c r="S131" s="156">
        <f t="shared" si="14"/>
        <v>372668</v>
      </c>
    </row>
    <row r="132" spans="1:19">
      <c r="A132" s="132" t="s">
        <v>25</v>
      </c>
      <c r="B132" s="132" t="s">
        <v>198</v>
      </c>
      <c r="C132" s="132" t="s">
        <v>203</v>
      </c>
      <c r="D132" s="132">
        <v>0</v>
      </c>
      <c r="E132" s="132">
        <v>3</v>
      </c>
      <c r="F132" s="132">
        <f t="shared" si="16"/>
        <v>0.14139211284986331</v>
      </c>
      <c r="G132" s="132">
        <f t="shared" si="17"/>
        <v>12.241965712821539</v>
      </c>
      <c r="H132" s="132">
        <f t="shared" si="18"/>
        <v>0.62271777877467938</v>
      </c>
      <c r="I132" s="132" t="str">
        <f>IF(A132=A133, (O132-O133)/O133, "")</f>
        <v/>
      </c>
      <c r="J132" s="132"/>
      <c r="K132" s="155">
        <v>26582</v>
      </c>
      <c r="L132" s="132">
        <v>176</v>
      </c>
      <c r="M132" s="156">
        <v>740</v>
      </c>
      <c r="N132" s="156">
        <v>207309</v>
      </c>
      <c r="O132" s="156">
        <v>188002</v>
      </c>
      <c r="P132" s="156">
        <v>78214</v>
      </c>
      <c r="Q132" s="156">
        <v>48469</v>
      </c>
      <c r="R132" s="156">
        <v>80626</v>
      </c>
      <c r="S132" s="156">
        <f t="shared" si="14"/>
        <v>129095</v>
      </c>
    </row>
    <row r="133" spans="1:19">
      <c r="A133" s="132" t="s">
        <v>32</v>
      </c>
      <c r="B133" s="132" t="s">
        <v>198</v>
      </c>
      <c r="C133" s="132" t="s">
        <v>203</v>
      </c>
      <c r="D133" s="132">
        <v>0</v>
      </c>
      <c r="E133" s="132">
        <v>10</v>
      </c>
      <c r="F133" s="132">
        <f t="shared" si="16"/>
        <v>-0.26763618437268916</v>
      </c>
      <c r="G133" s="132">
        <f t="shared" si="17"/>
        <v>11.880785620547261</v>
      </c>
      <c r="H133" s="132">
        <f t="shared" si="18"/>
        <v>0.81823845387086058</v>
      </c>
      <c r="I133" s="132" t="str">
        <f>IF(A133=A134, (O133-O134)/O134, "")</f>
        <v/>
      </c>
      <c r="J133" s="132"/>
      <c r="K133" s="155">
        <v>-21716</v>
      </c>
      <c r="L133" s="132">
        <v>200</v>
      </c>
      <c r="M133" s="156">
        <v>14482</v>
      </c>
      <c r="N133" s="156">
        <v>144464</v>
      </c>
      <c r="O133" s="156">
        <v>81140</v>
      </c>
      <c r="P133" s="156">
        <v>26257</v>
      </c>
      <c r="Q133" s="156">
        <v>40899</v>
      </c>
      <c r="R133" s="156">
        <v>77307</v>
      </c>
      <c r="S133" s="156">
        <f t="shared" si="14"/>
        <v>118206</v>
      </c>
    </row>
    <row r="134" spans="1:19">
      <c r="A134" s="132" t="s">
        <v>55</v>
      </c>
      <c r="B134" s="132" t="s">
        <v>198</v>
      </c>
      <c r="C134" s="132" t="s">
        <v>203</v>
      </c>
      <c r="D134" s="132">
        <v>0</v>
      </c>
      <c r="E134" s="132">
        <v>18</v>
      </c>
      <c r="F134" s="132">
        <f t="shared" si="16"/>
        <v>-0.25724917032617078</v>
      </c>
      <c r="G134" s="132">
        <f t="shared" si="17"/>
        <v>11.234322056451651</v>
      </c>
      <c r="H134" s="132">
        <f t="shared" si="18"/>
        <v>0.38491623064320069</v>
      </c>
      <c r="I134" s="132">
        <v>0.74637367539999999</v>
      </c>
      <c r="J134" s="132"/>
      <c r="K134" s="155">
        <v>-7674</v>
      </c>
      <c r="L134" s="132">
        <v>102</v>
      </c>
      <c r="M134" s="156">
        <v>453</v>
      </c>
      <c r="N134" s="156">
        <v>75684</v>
      </c>
      <c r="O134" s="156">
        <v>29831</v>
      </c>
      <c r="P134" s="156">
        <f>N134-S134</f>
        <v>46552</v>
      </c>
      <c r="Q134" s="156">
        <v>27565</v>
      </c>
      <c r="R134" s="156">
        <v>1567</v>
      </c>
      <c r="S134" s="156">
        <f t="shared" si="14"/>
        <v>29132</v>
      </c>
    </row>
    <row r="135" spans="1:19">
      <c r="A135" s="132" t="s">
        <v>59</v>
      </c>
      <c r="B135" s="132" t="s">
        <v>198</v>
      </c>
      <c r="C135" s="132" t="s">
        <v>203</v>
      </c>
      <c r="D135" s="132">
        <v>0</v>
      </c>
      <c r="E135" s="132">
        <v>16</v>
      </c>
      <c r="F135" s="132">
        <f t="shared" si="16"/>
        <v>-0.2624155157214223</v>
      </c>
      <c r="G135" s="132">
        <f t="shared" si="17"/>
        <v>12.350194634291325</v>
      </c>
      <c r="H135" s="132">
        <f t="shared" si="18"/>
        <v>0.73082833704898165</v>
      </c>
      <c r="I135" s="132" t="str">
        <f t="shared" ref="I135:I145" si="19">IF(A135=A136, (O135-O136)/O136, "")</f>
        <v/>
      </c>
      <c r="J135" s="132"/>
      <c r="K135" s="155">
        <v>-27683</v>
      </c>
      <c r="L135" s="132">
        <v>216</v>
      </c>
      <c r="M135" s="156">
        <v>7500</v>
      </c>
      <c r="N135" s="156">
        <v>231005</v>
      </c>
      <c r="O135" s="156">
        <v>105493</v>
      </c>
      <c r="P135" s="156">
        <v>62179</v>
      </c>
      <c r="Q135" s="156">
        <v>36192</v>
      </c>
      <c r="R135" s="156">
        <v>132633</v>
      </c>
      <c r="S135" s="156">
        <f t="shared" si="14"/>
        <v>168825</v>
      </c>
    </row>
    <row r="136" spans="1:19">
      <c r="A136" s="132" t="s">
        <v>65</v>
      </c>
      <c r="B136" s="132" t="s">
        <v>198</v>
      </c>
      <c r="C136" s="132" t="s">
        <v>203</v>
      </c>
      <c r="D136" s="132">
        <v>0</v>
      </c>
      <c r="E136" s="132">
        <v>17</v>
      </c>
      <c r="F136" s="132">
        <f t="shared" si="16"/>
        <v>6.6390229974562634E-2</v>
      </c>
      <c r="G136" s="132">
        <f t="shared" si="17"/>
        <v>12.255762404942441</v>
      </c>
      <c r="H136" s="132">
        <f t="shared" si="18"/>
        <v>1.0260289548929773</v>
      </c>
      <c r="I136" s="132" t="str">
        <f t="shared" si="19"/>
        <v/>
      </c>
      <c r="J136" s="132"/>
      <c r="K136" s="155">
        <v>10231</v>
      </c>
      <c r="L136" s="132">
        <v>171</v>
      </c>
      <c r="M136" s="156">
        <v>17749</v>
      </c>
      <c r="N136" s="156">
        <v>210189</v>
      </c>
      <c r="O136" s="156">
        <v>154104</v>
      </c>
      <c r="P136" s="156">
        <v>-5472</v>
      </c>
      <c r="Q136" s="156">
        <v>77071</v>
      </c>
      <c r="R136" s="156">
        <v>138589</v>
      </c>
      <c r="S136" s="156">
        <f t="shared" si="14"/>
        <v>215660</v>
      </c>
    </row>
    <row r="137" spans="1:19">
      <c r="A137" s="132" t="s">
        <v>75</v>
      </c>
      <c r="B137" s="132" t="s">
        <v>198</v>
      </c>
      <c r="C137" s="132" t="s">
        <v>203</v>
      </c>
      <c r="D137" s="132">
        <v>1</v>
      </c>
      <c r="E137" s="132">
        <v>4</v>
      </c>
      <c r="F137" s="132">
        <f t="shared" si="16"/>
        <v>-0.12237790535926553</v>
      </c>
      <c r="G137" s="132">
        <f t="shared" si="17"/>
        <v>13.628588032930205</v>
      </c>
      <c r="H137" s="132">
        <f t="shared" si="18"/>
        <v>1.0054912068358592</v>
      </c>
      <c r="I137" s="132" t="str">
        <f t="shared" si="19"/>
        <v/>
      </c>
      <c r="J137" s="132"/>
      <c r="K137" s="155">
        <v>-48387</v>
      </c>
      <c r="L137" s="132">
        <v>463</v>
      </c>
      <c r="M137" s="156">
        <v>6717</v>
      </c>
      <c r="N137" s="156">
        <v>829508</v>
      </c>
      <c r="O137" s="156">
        <v>395390</v>
      </c>
      <c r="P137" s="156">
        <v>-4555</v>
      </c>
      <c r="Q137" s="156">
        <v>604718</v>
      </c>
      <c r="R137" s="156">
        <v>229345</v>
      </c>
      <c r="S137" s="156">
        <f t="shared" si="14"/>
        <v>834063</v>
      </c>
    </row>
    <row r="138" spans="1:19">
      <c r="A138" s="132" t="s">
        <v>77</v>
      </c>
      <c r="B138" s="132" t="s">
        <v>198</v>
      </c>
      <c r="C138" s="132" t="s">
        <v>203</v>
      </c>
      <c r="D138" s="132">
        <v>0</v>
      </c>
      <c r="E138" s="132">
        <v>1</v>
      </c>
      <c r="F138" s="132">
        <f t="shared" si="16"/>
        <v>-6.4196017095337399E-2</v>
      </c>
      <c r="G138" s="132">
        <f t="shared" si="17"/>
        <v>13.755505744027245</v>
      </c>
      <c r="H138" s="132">
        <f t="shared" si="18"/>
        <v>0.96682594291539248</v>
      </c>
      <c r="I138" s="132" t="str">
        <f t="shared" si="19"/>
        <v/>
      </c>
      <c r="J138" s="132"/>
      <c r="K138" s="155">
        <v>-39895</v>
      </c>
      <c r="L138" s="132">
        <v>250</v>
      </c>
      <c r="M138" s="156">
        <v>41832</v>
      </c>
      <c r="N138" s="156">
        <v>941760</v>
      </c>
      <c r="O138" s="156">
        <v>621456</v>
      </c>
      <c r="P138" s="156">
        <v>31242</v>
      </c>
      <c r="Q138" s="156">
        <v>519951</v>
      </c>
      <c r="R138" s="156">
        <v>390567</v>
      </c>
      <c r="S138" s="156">
        <f t="shared" si="14"/>
        <v>910518</v>
      </c>
    </row>
    <row r="139" spans="1:19">
      <c r="A139" s="132" t="s">
        <v>83</v>
      </c>
      <c r="B139" s="132" t="s">
        <v>198</v>
      </c>
      <c r="C139" s="132" t="s">
        <v>203</v>
      </c>
      <c r="D139" s="132">
        <v>0</v>
      </c>
      <c r="E139" s="132">
        <v>8</v>
      </c>
      <c r="F139" s="132">
        <f t="shared" si="16"/>
        <v>-8.7693230277185508E-2</v>
      </c>
      <c r="G139" s="132">
        <f t="shared" si="17"/>
        <v>12.444593359928596</v>
      </c>
      <c r="H139" s="132">
        <f t="shared" si="18"/>
        <v>0.83107368222031397</v>
      </c>
      <c r="I139" s="132" t="str">
        <f t="shared" si="19"/>
        <v/>
      </c>
      <c r="J139" s="132"/>
      <c r="K139" s="155">
        <v>-13161</v>
      </c>
      <c r="L139" s="132">
        <v>233</v>
      </c>
      <c r="M139" s="156">
        <v>0</v>
      </c>
      <c r="N139" s="156">
        <v>253874</v>
      </c>
      <c r="O139" s="156">
        <v>150080</v>
      </c>
      <c r="P139" s="156">
        <v>42886</v>
      </c>
      <c r="Q139" s="156">
        <v>95883</v>
      </c>
      <c r="R139" s="156">
        <v>115105</v>
      </c>
      <c r="S139" s="156">
        <f t="shared" si="14"/>
        <v>210988</v>
      </c>
    </row>
    <row r="140" spans="1:19">
      <c r="A140" s="132" t="s">
        <v>101</v>
      </c>
      <c r="B140" s="132" t="s">
        <v>198</v>
      </c>
      <c r="C140" s="132" t="s">
        <v>203</v>
      </c>
      <c r="D140" s="132">
        <v>0</v>
      </c>
      <c r="E140" s="132">
        <v>2</v>
      </c>
      <c r="F140" s="132">
        <f t="shared" si="16"/>
        <v>9.7258072046474714E-2</v>
      </c>
      <c r="G140" s="132">
        <f t="shared" si="17"/>
        <v>12.73655971015542</v>
      </c>
      <c r="H140" s="132">
        <f t="shared" si="18"/>
        <v>0.5722249023391538</v>
      </c>
      <c r="I140" s="132" t="str">
        <f t="shared" si="19"/>
        <v/>
      </c>
      <c r="J140" s="132"/>
      <c r="K140" s="155">
        <v>29164</v>
      </c>
      <c r="L140" s="132">
        <v>110</v>
      </c>
      <c r="M140" s="156">
        <v>0</v>
      </c>
      <c r="N140" s="156">
        <v>339952</v>
      </c>
      <c r="O140" s="156">
        <v>299862</v>
      </c>
      <c r="P140" s="156">
        <v>145423</v>
      </c>
      <c r="Q140" s="156">
        <v>95980</v>
      </c>
      <c r="R140" s="156">
        <v>98549</v>
      </c>
      <c r="S140" s="156">
        <f t="shared" si="14"/>
        <v>194529</v>
      </c>
    </row>
    <row r="141" spans="1:19">
      <c r="A141" s="132" t="s">
        <v>121</v>
      </c>
      <c r="B141" s="132" t="s">
        <v>198</v>
      </c>
      <c r="C141" s="132" t="s">
        <v>203</v>
      </c>
      <c r="D141" s="132">
        <v>1</v>
      </c>
      <c r="E141" s="132">
        <v>6</v>
      </c>
      <c r="F141" s="132">
        <f t="shared" si="16"/>
        <v>-6.3991191794461152E-2</v>
      </c>
      <c r="G141" s="132">
        <f t="shared" si="17"/>
        <v>13.001209918246479</v>
      </c>
      <c r="H141" s="132">
        <f t="shared" si="18"/>
        <v>1.2877351568690751</v>
      </c>
      <c r="I141" s="132" t="str">
        <f t="shared" si="19"/>
        <v/>
      </c>
      <c r="J141" s="132"/>
      <c r="K141" s="155">
        <v>-24294</v>
      </c>
      <c r="L141" s="132">
        <v>406</v>
      </c>
      <c r="M141" s="156">
        <v>38952</v>
      </c>
      <c r="N141" s="156">
        <v>442949</v>
      </c>
      <c r="O141" s="156">
        <v>379646</v>
      </c>
      <c r="P141" s="156">
        <v>-127452</v>
      </c>
      <c r="Q141" s="156">
        <v>317098</v>
      </c>
      <c r="R141" s="156">
        <v>253303</v>
      </c>
      <c r="S141" s="156">
        <f t="shared" si="14"/>
        <v>570401</v>
      </c>
    </row>
    <row r="142" spans="1:19">
      <c r="A142" s="132" t="s">
        <v>123</v>
      </c>
      <c r="B142" s="132" t="s">
        <v>198</v>
      </c>
      <c r="C142" s="132" t="s">
        <v>203</v>
      </c>
      <c r="D142" s="132">
        <v>0</v>
      </c>
      <c r="E142" s="132">
        <v>9</v>
      </c>
      <c r="F142" s="132">
        <f t="shared" si="16"/>
        <v>-0.10490729067124926</v>
      </c>
      <c r="G142" s="132">
        <f t="shared" si="17"/>
        <v>12.457916378149264</v>
      </c>
      <c r="H142" s="132">
        <f t="shared" si="18"/>
        <v>0.87585461697223632</v>
      </c>
      <c r="I142" s="132" t="str">
        <f t="shared" si="19"/>
        <v/>
      </c>
      <c r="J142" s="132"/>
      <c r="K142" s="155">
        <v>-13064</v>
      </c>
      <c r="L142" s="132">
        <v>167</v>
      </c>
      <c r="M142" s="156">
        <v>26410</v>
      </c>
      <c r="N142" s="156">
        <v>257279</v>
      </c>
      <c r="O142" s="156">
        <v>124529</v>
      </c>
      <c r="P142" s="156">
        <v>31940</v>
      </c>
      <c r="Q142" s="156">
        <v>82621</v>
      </c>
      <c r="R142" s="156">
        <v>142718</v>
      </c>
      <c r="S142" s="156">
        <f t="shared" si="14"/>
        <v>225339</v>
      </c>
    </row>
    <row r="143" spans="1:19">
      <c r="A143" s="132" t="s">
        <v>124</v>
      </c>
      <c r="B143" s="132" t="s">
        <v>198</v>
      </c>
      <c r="C143" s="132" t="s">
        <v>203</v>
      </c>
      <c r="D143" s="132">
        <v>0</v>
      </c>
      <c r="E143" s="132">
        <v>11</v>
      </c>
      <c r="F143" s="132">
        <f t="shared" si="16"/>
        <v>1.222536436806613E-2</v>
      </c>
      <c r="G143" s="132">
        <f t="shared" si="17"/>
        <v>12.456099578678142</v>
      </c>
      <c r="H143" s="132">
        <f t="shared" si="18"/>
        <v>0.89067489058143701</v>
      </c>
      <c r="I143" s="132" t="str">
        <f t="shared" si="19"/>
        <v/>
      </c>
      <c r="J143" s="132"/>
      <c r="K143" s="155">
        <v>843</v>
      </c>
      <c r="L143" s="132">
        <v>180</v>
      </c>
      <c r="M143" s="156">
        <v>25930</v>
      </c>
      <c r="N143" s="156">
        <v>256812</v>
      </c>
      <c r="O143" s="156">
        <v>68955</v>
      </c>
      <c r="P143" s="156">
        <v>28076</v>
      </c>
      <c r="Q143" s="156">
        <v>106410</v>
      </c>
      <c r="R143" s="156">
        <v>122326</v>
      </c>
      <c r="S143" s="156">
        <f t="shared" si="14"/>
        <v>228736</v>
      </c>
    </row>
    <row r="144" spans="1:19">
      <c r="A144" s="132" t="s">
        <v>139</v>
      </c>
      <c r="B144" s="132" t="s">
        <v>198</v>
      </c>
      <c r="C144" s="132" t="s">
        <v>203</v>
      </c>
      <c r="D144" s="132">
        <v>0</v>
      </c>
      <c r="E144" s="132">
        <v>7</v>
      </c>
      <c r="F144" s="132">
        <f t="shared" si="16"/>
        <v>-0.14502818348852417</v>
      </c>
      <c r="G144" s="132">
        <f t="shared" si="17"/>
        <v>11.857557179470644</v>
      </c>
      <c r="H144" s="132">
        <f t="shared" si="18"/>
        <v>0.75734517913947874</v>
      </c>
      <c r="I144" s="132" t="str">
        <f t="shared" si="19"/>
        <v/>
      </c>
      <c r="J144" s="132"/>
      <c r="K144" s="155">
        <v>-13971</v>
      </c>
      <c r="L144" s="132">
        <v>167</v>
      </c>
      <c r="M144" s="156">
        <v>0</v>
      </c>
      <c r="N144" s="156">
        <v>141147</v>
      </c>
      <c r="O144" s="156">
        <v>96333</v>
      </c>
      <c r="P144" s="156">
        <v>34249</v>
      </c>
      <c r="Q144" s="156">
        <v>33882</v>
      </c>
      <c r="R144" s="156">
        <v>73015</v>
      </c>
      <c r="S144" s="156">
        <f t="shared" si="14"/>
        <v>106897</v>
      </c>
    </row>
    <row r="145" spans="1:19">
      <c r="A145" s="132" t="s">
        <v>144</v>
      </c>
      <c r="B145" s="132" t="s">
        <v>198</v>
      </c>
      <c r="C145" s="132" t="s">
        <v>203</v>
      </c>
      <c r="D145" s="132">
        <v>0</v>
      </c>
      <c r="E145" s="132">
        <v>12</v>
      </c>
      <c r="F145" s="132">
        <f t="shared" si="16"/>
        <v>1.0442157339105085E-2</v>
      </c>
      <c r="G145" s="132">
        <f t="shared" si="17"/>
        <v>12.102976231525414</v>
      </c>
      <c r="H145" s="132">
        <f t="shared" si="18"/>
        <v>0.90477140703294756</v>
      </c>
      <c r="I145" s="132" t="str">
        <f t="shared" si="19"/>
        <v/>
      </c>
      <c r="J145" s="132"/>
      <c r="K145" s="155">
        <v>1182</v>
      </c>
      <c r="L145" s="132">
        <v>158</v>
      </c>
      <c r="M145" s="156">
        <v>9978</v>
      </c>
      <c r="N145" s="156">
        <v>180408</v>
      </c>
      <c r="O145" s="156">
        <v>113195</v>
      </c>
      <c r="P145" s="156">
        <v>17181</v>
      </c>
      <c r="Q145" s="156">
        <v>76493</v>
      </c>
      <c r="R145" s="156">
        <v>86735</v>
      </c>
      <c r="S145" s="156">
        <f t="shared" ref="S145:S172" si="20">Q145+R145</f>
        <v>163228</v>
      </c>
    </row>
    <row r="146" spans="1:19">
      <c r="A146" s="133" t="s">
        <v>11</v>
      </c>
      <c r="B146" s="133" t="s">
        <v>199</v>
      </c>
      <c r="C146" s="133" t="s">
        <v>203</v>
      </c>
      <c r="D146" s="133">
        <v>0</v>
      </c>
      <c r="E146" s="133">
        <v>18</v>
      </c>
      <c r="F146" s="133">
        <f t="shared" si="16"/>
        <v>-0.89170511767060656</v>
      </c>
      <c r="G146" s="133">
        <f t="shared" si="17"/>
        <v>11.586594054895428</v>
      </c>
      <c r="H146" s="133">
        <f t="shared" si="18"/>
        <v>1.5476241348878257</v>
      </c>
      <c r="I146" s="133">
        <v>-7.2456561619999998E-2</v>
      </c>
      <c r="J146" s="133"/>
      <c r="K146" s="158">
        <v>-42323</v>
      </c>
      <c r="L146" s="133">
        <v>134</v>
      </c>
      <c r="M146" s="159">
        <v>56223</v>
      </c>
      <c r="N146" s="159">
        <v>107645</v>
      </c>
      <c r="O146" s="159">
        <v>47463</v>
      </c>
      <c r="P146" s="159">
        <f t="shared" ref="P146:P159" si="21">N146-S146</f>
        <v>-58949</v>
      </c>
      <c r="Q146" s="159">
        <v>128952</v>
      </c>
      <c r="R146" s="159">
        <v>37642</v>
      </c>
      <c r="S146" s="159">
        <f t="shared" si="20"/>
        <v>166594</v>
      </c>
    </row>
    <row r="147" spans="1:19">
      <c r="A147" s="133" t="s">
        <v>13</v>
      </c>
      <c r="B147" s="133" t="s">
        <v>199</v>
      </c>
      <c r="C147" s="133" t="s">
        <v>203</v>
      </c>
      <c r="D147" s="133">
        <v>0</v>
      </c>
      <c r="E147" s="133">
        <v>9</v>
      </c>
      <c r="F147" s="133">
        <f t="shared" si="16"/>
        <v>-0.89170511767060656</v>
      </c>
      <c r="G147" s="133">
        <f t="shared" si="17"/>
        <v>11.586594054895428</v>
      </c>
      <c r="H147" s="133">
        <f t="shared" si="18"/>
        <v>1.5476241348878257</v>
      </c>
      <c r="I147" s="133" t="str">
        <f>IF(A147=A148, (O147-O148)/O148, "")</f>
        <v/>
      </c>
      <c r="J147" s="133"/>
      <c r="K147" s="158">
        <v>-42323</v>
      </c>
      <c r="L147" s="133">
        <v>134</v>
      </c>
      <c r="M147" s="159">
        <v>56223</v>
      </c>
      <c r="N147" s="159">
        <v>107645</v>
      </c>
      <c r="O147" s="159">
        <v>47463</v>
      </c>
      <c r="P147" s="159">
        <f t="shared" si="21"/>
        <v>-58949</v>
      </c>
      <c r="Q147" s="159">
        <v>128952</v>
      </c>
      <c r="R147" s="159">
        <v>37642</v>
      </c>
      <c r="S147" s="159">
        <f t="shared" si="20"/>
        <v>166594</v>
      </c>
    </row>
    <row r="148" spans="1:19">
      <c r="A148" s="133" t="s">
        <v>19</v>
      </c>
      <c r="B148" s="133" t="s">
        <v>199</v>
      </c>
      <c r="C148" s="133" t="s">
        <v>203</v>
      </c>
      <c r="D148" s="133">
        <v>0</v>
      </c>
      <c r="E148" s="133">
        <v>13</v>
      </c>
      <c r="F148" s="133">
        <f t="shared" si="16"/>
        <v>-0.89170511767060656</v>
      </c>
      <c r="G148" s="133">
        <f t="shared" si="17"/>
        <v>11.586594054895428</v>
      </c>
      <c r="H148" s="133">
        <f t="shared" si="18"/>
        <v>1.5476241348878257</v>
      </c>
      <c r="I148" s="133">
        <v>-0.18931733874776299</v>
      </c>
      <c r="J148" s="133"/>
      <c r="K148" s="158">
        <v>-42323</v>
      </c>
      <c r="L148" s="133">
        <v>134</v>
      </c>
      <c r="M148" s="159">
        <v>56223</v>
      </c>
      <c r="N148" s="159">
        <v>107645</v>
      </c>
      <c r="O148" s="159">
        <v>47463</v>
      </c>
      <c r="P148" s="159">
        <f t="shared" si="21"/>
        <v>-58949</v>
      </c>
      <c r="Q148" s="159">
        <v>128952</v>
      </c>
      <c r="R148" s="159">
        <v>37642</v>
      </c>
      <c r="S148" s="159">
        <f t="shared" si="20"/>
        <v>166594</v>
      </c>
    </row>
    <row r="149" spans="1:19">
      <c r="A149" s="133" t="s">
        <v>20</v>
      </c>
      <c r="B149" s="133" t="s">
        <v>199</v>
      </c>
      <c r="C149" s="133" t="s">
        <v>203</v>
      </c>
      <c r="D149" s="133">
        <v>0</v>
      </c>
      <c r="E149" s="133">
        <v>7</v>
      </c>
      <c r="F149" s="133">
        <f t="shared" si="16"/>
        <v>-0.89170511767060656</v>
      </c>
      <c r="G149" s="133">
        <f t="shared" si="17"/>
        <v>11.586594054895428</v>
      </c>
      <c r="H149" s="133">
        <f t="shared" si="18"/>
        <v>1.5476241348878257</v>
      </c>
      <c r="I149" s="133" t="str">
        <f>IF(A149=A150, (O149-O150)/O150, "")</f>
        <v/>
      </c>
      <c r="J149" s="133"/>
      <c r="K149" s="158">
        <v>-42323</v>
      </c>
      <c r="L149" s="133">
        <v>134</v>
      </c>
      <c r="M149" s="159">
        <v>56223</v>
      </c>
      <c r="N149" s="159">
        <v>107645</v>
      </c>
      <c r="O149" s="159">
        <v>47463</v>
      </c>
      <c r="P149" s="159">
        <f t="shared" si="21"/>
        <v>-58949</v>
      </c>
      <c r="Q149" s="159">
        <v>128952</v>
      </c>
      <c r="R149" s="159">
        <v>37642</v>
      </c>
      <c r="S149" s="159">
        <f t="shared" si="20"/>
        <v>166594</v>
      </c>
    </row>
    <row r="150" spans="1:19">
      <c r="A150" s="133" t="s">
        <v>29</v>
      </c>
      <c r="B150" s="133" t="s">
        <v>199</v>
      </c>
      <c r="C150" s="133" t="s">
        <v>203</v>
      </c>
      <c r="D150" s="133">
        <v>0</v>
      </c>
      <c r="E150" s="133">
        <v>17</v>
      </c>
      <c r="F150" s="133">
        <f t="shared" si="16"/>
        <v>-0.89170511767060656</v>
      </c>
      <c r="G150" s="133">
        <f t="shared" si="17"/>
        <v>11.586594054895428</v>
      </c>
      <c r="H150" s="133">
        <f t="shared" si="18"/>
        <v>1.5476241348878257</v>
      </c>
      <c r="I150" s="133">
        <v>-0.25627274700000002</v>
      </c>
      <c r="J150" s="133"/>
      <c r="K150" s="158">
        <v>-42323</v>
      </c>
      <c r="L150" s="133">
        <v>134</v>
      </c>
      <c r="M150" s="159">
        <v>56223</v>
      </c>
      <c r="N150" s="159">
        <v>107645</v>
      </c>
      <c r="O150" s="159">
        <v>47463</v>
      </c>
      <c r="P150" s="159">
        <f t="shared" si="21"/>
        <v>-58949</v>
      </c>
      <c r="Q150" s="159">
        <v>128952</v>
      </c>
      <c r="R150" s="159">
        <v>37642</v>
      </c>
      <c r="S150" s="159">
        <f t="shared" si="20"/>
        <v>166594</v>
      </c>
    </row>
    <row r="151" spans="1:19">
      <c r="A151" s="133" t="s">
        <v>31</v>
      </c>
      <c r="B151" s="133" t="s">
        <v>199</v>
      </c>
      <c r="C151" s="133" t="s">
        <v>203</v>
      </c>
      <c r="D151" s="133">
        <v>1</v>
      </c>
      <c r="E151" s="133">
        <v>3</v>
      </c>
      <c r="F151" s="133">
        <f t="shared" si="16"/>
        <v>-0.89170511767060656</v>
      </c>
      <c r="G151" s="133">
        <f t="shared" si="17"/>
        <v>11.586594054895428</v>
      </c>
      <c r="H151" s="133">
        <f t="shared" si="18"/>
        <v>1.5476241348878257</v>
      </c>
      <c r="I151" s="133" t="str">
        <f t="shared" ref="I151:I165" si="22">IF(A151=A152, (O151-O152)/O152, "")</f>
        <v/>
      </c>
      <c r="J151" s="133"/>
      <c r="K151" s="158">
        <v>-42323</v>
      </c>
      <c r="L151" s="133">
        <v>134</v>
      </c>
      <c r="M151" s="159">
        <v>56223</v>
      </c>
      <c r="N151" s="159">
        <v>107645</v>
      </c>
      <c r="O151" s="159">
        <v>47463</v>
      </c>
      <c r="P151" s="159">
        <f t="shared" si="21"/>
        <v>-58949</v>
      </c>
      <c r="Q151" s="159">
        <v>128952</v>
      </c>
      <c r="R151" s="159">
        <v>37642</v>
      </c>
      <c r="S151" s="159">
        <f t="shared" si="20"/>
        <v>166594</v>
      </c>
    </row>
    <row r="152" spans="1:19">
      <c r="A152" s="133" t="s">
        <v>38</v>
      </c>
      <c r="B152" s="133" t="s">
        <v>199</v>
      </c>
      <c r="C152" s="133" t="s">
        <v>203</v>
      </c>
      <c r="D152" s="133">
        <v>0</v>
      </c>
      <c r="E152" s="133">
        <v>16</v>
      </c>
      <c r="F152" s="133">
        <f t="shared" si="16"/>
        <v>-0.89170511767060656</v>
      </c>
      <c r="G152" s="133">
        <f t="shared" si="17"/>
        <v>11.586594054895428</v>
      </c>
      <c r="H152" s="133">
        <f t="shared" si="18"/>
        <v>1.5476241348878257</v>
      </c>
      <c r="I152" s="133" t="str">
        <f t="shared" si="22"/>
        <v/>
      </c>
      <c r="J152" s="133"/>
      <c r="K152" s="158">
        <v>-42323</v>
      </c>
      <c r="L152" s="133">
        <v>134</v>
      </c>
      <c r="M152" s="159">
        <v>56223</v>
      </c>
      <c r="N152" s="159">
        <v>107645</v>
      </c>
      <c r="O152" s="159">
        <v>47463</v>
      </c>
      <c r="P152" s="159">
        <f t="shared" si="21"/>
        <v>-58949</v>
      </c>
      <c r="Q152" s="159">
        <v>128952</v>
      </c>
      <c r="R152" s="159">
        <v>37642</v>
      </c>
      <c r="S152" s="159">
        <f t="shared" si="20"/>
        <v>166594</v>
      </c>
    </row>
    <row r="153" spans="1:19">
      <c r="A153" s="133" t="s">
        <v>58</v>
      </c>
      <c r="B153" s="133" t="s">
        <v>199</v>
      </c>
      <c r="C153" s="133" t="s">
        <v>203</v>
      </c>
      <c r="D153" s="133">
        <v>1</v>
      </c>
      <c r="E153" s="133">
        <v>6</v>
      </c>
      <c r="F153" s="133">
        <f t="shared" si="16"/>
        <v>-0.89170511767060656</v>
      </c>
      <c r="G153" s="133">
        <f t="shared" si="17"/>
        <v>11.586594054895428</v>
      </c>
      <c r="H153" s="133">
        <f t="shared" si="18"/>
        <v>1.5476241348878257</v>
      </c>
      <c r="I153" s="133" t="str">
        <f t="shared" si="22"/>
        <v/>
      </c>
      <c r="J153" s="133"/>
      <c r="K153" s="158">
        <v>-42323</v>
      </c>
      <c r="L153" s="133">
        <v>134</v>
      </c>
      <c r="M153" s="159">
        <v>56223</v>
      </c>
      <c r="N153" s="159">
        <v>107645</v>
      </c>
      <c r="O153" s="159">
        <v>47463</v>
      </c>
      <c r="P153" s="159">
        <f t="shared" si="21"/>
        <v>-58949</v>
      </c>
      <c r="Q153" s="159">
        <v>128952</v>
      </c>
      <c r="R153" s="159">
        <v>37642</v>
      </c>
      <c r="S153" s="159">
        <f t="shared" si="20"/>
        <v>166594</v>
      </c>
    </row>
    <row r="154" spans="1:19">
      <c r="A154" s="133" t="s">
        <v>62</v>
      </c>
      <c r="B154" s="133" t="s">
        <v>199</v>
      </c>
      <c r="C154" s="133" t="s">
        <v>203</v>
      </c>
      <c r="D154" s="133">
        <v>1</v>
      </c>
      <c r="E154" s="133">
        <v>1</v>
      </c>
      <c r="F154" s="133">
        <f t="shared" si="16"/>
        <v>-0.89170511767060656</v>
      </c>
      <c r="G154" s="133">
        <f t="shared" si="17"/>
        <v>11.586594054895428</v>
      </c>
      <c r="H154" s="133">
        <f t="shared" si="18"/>
        <v>1.5476241348878257</v>
      </c>
      <c r="I154" s="133" t="str">
        <f t="shared" si="22"/>
        <v/>
      </c>
      <c r="J154" s="133"/>
      <c r="K154" s="158">
        <v>-42323</v>
      </c>
      <c r="L154" s="133">
        <v>134</v>
      </c>
      <c r="M154" s="159">
        <v>56223</v>
      </c>
      <c r="N154" s="159">
        <v>107645</v>
      </c>
      <c r="O154" s="159">
        <v>47463</v>
      </c>
      <c r="P154" s="159">
        <f t="shared" si="21"/>
        <v>-58949</v>
      </c>
      <c r="Q154" s="159">
        <v>128952</v>
      </c>
      <c r="R154" s="159">
        <v>37642</v>
      </c>
      <c r="S154" s="159">
        <f t="shared" si="20"/>
        <v>166594</v>
      </c>
    </row>
    <row r="155" spans="1:19">
      <c r="A155" s="133" t="s">
        <v>76</v>
      </c>
      <c r="B155" s="133" t="s">
        <v>199</v>
      </c>
      <c r="C155" s="133" t="s">
        <v>203</v>
      </c>
      <c r="D155" s="133">
        <v>0</v>
      </c>
      <c r="E155" s="133">
        <v>2</v>
      </c>
      <c r="F155" s="133">
        <f t="shared" si="16"/>
        <v>-0.89170511767060656</v>
      </c>
      <c r="G155" s="133">
        <f t="shared" si="17"/>
        <v>11.586594054895428</v>
      </c>
      <c r="H155" s="133">
        <f t="shared" si="18"/>
        <v>1.5476241348878257</v>
      </c>
      <c r="I155" s="133" t="str">
        <f t="shared" si="22"/>
        <v/>
      </c>
      <c r="J155" s="133"/>
      <c r="K155" s="158">
        <v>-42323</v>
      </c>
      <c r="L155" s="133">
        <v>134</v>
      </c>
      <c r="M155" s="159">
        <v>56223</v>
      </c>
      <c r="N155" s="159">
        <v>107645</v>
      </c>
      <c r="O155" s="159">
        <v>47463</v>
      </c>
      <c r="P155" s="159">
        <f t="shared" si="21"/>
        <v>-58949</v>
      </c>
      <c r="Q155" s="159">
        <v>128952</v>
      </c>
      <c r="R155" s="159">
        <v>37642</v>
      </c>
      <c r="S155" s="159">
        <f t="shared" si="20"/>
        <v>166594</v>
      </c>
    </row>
    <row r="156" spans="1:19">
      <c r="A156" s="133" t="s">
        <v>79</v>
      </c>
      <c r="B156" s="133" t="s">
        <v>199</v>
      </c>
      <c r="C156" s="133" t="s">
        <v>203</v>
      </c>
      <c r="D156" s="133">
        <v>0</v>
      </c>
      <c r="E156" s="133">
        <v>14</v>
      </c>
      <c r="F156" s="133">
        <f t="shared" si="16"/>
        <v>-0.89170511767060656</v>
      </c>
      <c r="G156" s="133">
        <f t="shared" si="17"/>
        <v>11.586594054895428</v>
      </c>
      <c r="H156" s="133">
        <f t="shared" si="18"/>
        <v>1.5476241348878257</v>
      </c>
      <c r="I156" s="133" t="str">
        <f t="shared" si="22"/>
        <v/>
      </c>
      <c r="J156" s="133"/>
      <c r="K156" s="158">
        <v>-42323</v>
      </c>
      <c r="L156" s="133">
        <v>134</v>
      </c>
      <c r="M156" s="159">
        <v>56223</v>
      </c>
      <c r="N156" s="159">
        <v>107645</v>
      </c>
      <c r="O156" s="159">
        <v>47463</v>
      </c>
      <c r="P156" s="159">
        <f t="shared" si="21"/>
        <v>-58949</v>
      </c>
      <c r="Q156" s="159">
        <v>128952</v>
      </c>
      <c r="R156" s="159">
        <v>37642</v>
      </c>
      <c r="S156" s="159">
        <f t="shared" si="20"/>
        <v>166594</v>
      </c>
    </row>
    <row r="157" spans="1:19">
      <c r="A157" s="133" t="s">
        <v>80</v>
      </c>
      <c r="B157" s="133" t="s">
        <v>199</v>
      </c>
      <c r="C157" s="133" t="s">
        <v>203</v>
      </c>
      <c r="D157" s="133">
        <v>0</v>
      </c>
      <c r="E157" s="133">
        <v>12</v>
      </c>
      <c r="F157" s="133">
        <f t="shared" si="16"/>
        <v>-0.89170511767060656</v>
      </c>
      <c r="G157" s="133">
        <f t="shared" si="17"/>
        <v>11.586594054895428</v>
      </c>
      <c r="H157" s="133">
        <f t="shared" si="18"/>
        <v>1.5476241348878257</v>
      </c>
      <c r="I157" s="133" t="str">
        <f t="shared" si="22"/>
        <v/>
      </c>
      <c r="J157" s="133"/>
      <c r="K157" s="158">
        <v>-42323</v>
      </c>
      <c r="L157" s="133">
        <v>134</v>
      </c>
      <c r="M157" s="159">
        <v>56223</v>
      </c>
      <c r="N157" s="159">
        <v>107645</v>
      </c>
      <c r="O157" s="159">
        <v>47463</v>
      </c>
      <c r="P157" s="159">
        <f t="shared" si="21"/>
        <v>-58949</v>
      </c>
      <c r="Q157" s="159">
        <v>128952</v>
      </c>
      <c r="R157" s="159">
        <v>37642</v>
      </c>
      <c r="S157" s="159">
        <f t="shared" si="20"/>
        <v>166594</v>
      </c>
    </row>
    <row r="158" spans="1:19">
      <c r="A158" s="133" t="s">
        <v>81</v>
      </c>
      <c r="B158" s="133" t="s">
        <v>199</v>
      </c>
      <c r="C158" s="133" t="s">
        <v>203</v>
      </c>
      <c r="D158" s="133">
        <v>0</v>
      </c>
      <c r="E158" s="133">
        <v>8</v>
      </c>
      <c r="F158" s="133">
        <f t="shared" si="16"/>
        <v>-0.89170511767060656</v>
      </c>
      <c r="G158" s="133">
        <f t="shared" si="17"/>
        <v>11.586594054895428</v>
      </c>
      <c r="H158" s="133">
        <f t="shared" si="18"/>
        <v>1.5476241348878257</v>
      </c>
      <c r="I158" s="133" t="str">
        <f t="shared" si="22"/>
        <v/>
      </c>
      <c r="J158" s="133"/>
      <c r="K158" s="158">
        <v>-42323</v>
      </c>
      <c r="L158" s="133">
        <v>134</v>
      </c>
      <c r="M158" s="159">
        <v>56223</v>
      </c>
      <c r="N158" s="159">
        <v>107645</v>
      </c>
      <c r="O158" s="159">
        <v>47463</v>
      </c>
      <c r="P158" s="159">
        <f t="shared" si="21"/>
        <v>-58949</v>
      </c>
      <c r="Q158" s="159">
        <v>128952</v>
      </c>
      <c r="R158" s="159">
        <v>37642</v>
      </c>
      <c r="S158" s="159">
        <f t="shared" si="20"/>
        <v>166594</v>
      </c>
    </row>
    <row r="159" spans="1:19">
      <c r="A159" s="133" t="s">
        <v>142</v>
      </c>
      <c r="B159" s="133" t="s">
        <v>199</v>
      </c>
      <c r="C159" s="133" t="s">
        <v>203</v>
      </c>
      <c r="D159" s="133">
        <v>1</v>
      </c>
      <c r="E159" s="133">
        <v>4</v>
      </c>
      <c r="F159" s="133">
        <f t="shared" si="16"/>
        <v>-0.89170511767060656</v>
      </c>
      <c r="G159" s="133">
        <f t="shared" si="17"/>
        <v>11.586594054895428</v>
      </c>
      <c r="H159" s="133">
        <f t="shared" si="18"/>
        <v>1.5476241348878257</v>
      </c>
      <c r="I159" s="133" t="str">
        <f t="shared" si="22"/>
        <v/>
      </c>
      <c r="J159" s="133"/>
      <c r="K159" s="158">
        <v>-42323</v>
      </c>
      <c r="L159" s="133">
        <v>134</v>
      </c>
      <c r="M159" s="159">
        <v>56223</v>
      </c>
      <c r="N159" s="159">
        <v>107645</v>
      </c>
      <c r="O159" s="159">
        <v>47463</v>
      </c>
      <c r="P159" s="159">
        <f t="shared" si="21"/>
        <v>-58949</v>
      </c>
      <c r="Q159" s="159">
        <v>128952</v>
      </c>
      <c r="R159" s="159">
        <v>37642</v>
      </c>
      <c r="S159" s="159">
        <f t="shared" si="20"/>
        <v>166594</v>
      </c>
    </row>
    <row r="160" spans="1:19">
      <c r="A160" s="131" t="s">
        <v>26</v>
      </c>
      <c r="B160" s="131" t="s">
        <v>193</v>
      </c>
      <c r="C160" s="131" t="s">
        <v>202</v>
      </c>
      <c r="D160" s="131">
        <v>0</v>
      </c>
      <c r="E160" s="131">
        <v>11</v>
      </c>
      <c r="F160" s="131">
        <f t="shared" si="16"/>
        <v>-0.20078592273686036</v>
      </c>
      <c r="G160" s="131">
        <f t="shared" si="17"/>
        <v>12.639253434426379</v>
      </c>
      <c r="H160" s="131">
        <f t="shared" si="18"/>
        <v>0.55533976805184948</v>
      </c>
      <c r="I160" s="131" t="str">
        <f t="shared" si="22"/>
        <v/>
      </c>
      <c r="J160" s="131"/>
      <c r="K160" s="145">
        <v>-20847</v>
      </c>
      <c r="L160" s="131">
        <v>337</v>
      </c>
      <c r="M160" s="139">
        <v>0</v>
      </c>
      <c r="N160" s="139">
        <v>308431</v>
      </c>
      <c r="O160" s="139">
        <v>103827</v>
      </c>
      <c r="P160" s="139">
        <v>137147</v>
      </c>
      <c r="Q160" s="139">
        <v>102195</v>
      </c>
      <c r="R160" s="139">
        <v>69089</v>
      </c>
      <c r="S160" s="139">
        <f t="shared" si="20"/>
        <v>171284</v>
      </c>
    </row>
    <row r="161" spans="1:25">
      <c r="A161" s="131" t="s">
        <v>27</v>
      </c>
      <c r="B161" s="131" t="s">
        <v>193</v>
      </c>
      <c r="C161" s="131" t="s">
        <v>202</v>
      </c>
      <c r="D161" s="131">
        <v>1</v>
      </c>
      <c r="E161" s="131">
        <v>3</v>
      </c>
      <c r="F161" s="131">
        <f t="shared" si="16"/>
        <v>5.0156966044816514E-3</v>
      </c>
      <c r="G161" s="131">
        <f t="shared" si="17"/>
        <v>13.907356562618329</v>
      </c>
      <c r="H161" s="131">
        <f t="shared" si="18"/>
        <v>0.925788818787881</v>
      </c>
      <c r="I161" s="131" t="str">
        <f t="shared" si="22"/>
        <v/>
      </c>
      <c r="J161" s="131"/>
      <c r="K161" s="145">
        <v>1807</v>
      </c>
      <c r="L161" s="151">
        <v>1061</v>
      </c>
      <c r="M161" s="139">
        <v>56005</v>
      </c>
      <c r="N161" s="139">
        <v>1096196</v>
      </c>
      <c r="O161" s="139">
        <v>360269</v>
      </c>
      <c r="P161" s="139">
        <v>81349</v>
      </c>
      <c r="Q161" s="139">
        <v>517275</v>
      </c>
      <c r="R161" s="139">
        <v>497571</v>
      </c>
      <c r="S161" s="139">
        <f t="shared" si="20"/>
        <v>1014846</v>
      </c>
    </row>
    <row r="162" spans="1:25">
      <c r="A162" s="131" t="s">
        <v>28</v>
      </c>
      <c r="B162" s="131" t="s">
        <v>193</v>
      </c>
      <c r="C162" s="131" t="s">
        <v>202</v>
      </c>
      <c r="D162" s="131">
        <v>0</v>
      </c>
      <c r="E162" s="131">
        <v>2</v>
      </c>
      <c r="F162" s="131">
        <f t="shared" si="16"/>
        <v>-0.1335637631503479</v>
      </c>
      <c r="G162" s="131">
        <f t="shared" si="17"/>
        <v>14.203508669067048</v>
      </c>
      <c r="H162" s="131">
        <f t="shared" si="18"/>
        <v>0.97612865978710028</v>
      </c>
      <c r="I162" s="131" t="str">
        <f t="shared" si="22"/>
        <v/>
      </c>
      <c r="J162" s="131"/>
      <c r="K162" s="145">
        <v>-97339</v>
      </c>
      <c r="L162" s="151">
        <v>1412</v>
      </c>
      <c r="M162" s="139">
        <v>268474</v>
      </c>
      <c r="N162" s="139">
        <v>1474027</v>
      </c>
      <c r="O162" s="139">
        <v>728783</v>
      </c>
      <c r="P162" s="139">
        <v>35187</v>
      </c>
      <c r="Q162" s="139">
        <v>468491</v>
      </c>
      <c r="R162" s="139">
        <v>970349</v>
      </c>
      <c r="S162" s="139">
        <f t="shared" si="20"/>
        <v>1438840</v>
      </c>
    </row>
    <row r="163" spans="1:25">
      <c r="A163" s="131" t="s">
        <v>43</v>
      </c>
      <c r="B163" s="131" t="s">
        <v>193</v>
      </c>
      <c r="C163" s="131" t="s">
        <v>202</v>
      </c>
      <c r="D163" s="131">
        <v>0</v>
      </c>
      <c r="E163" s="131">
        <v>17</v>
      </c>
      <c r="F163" s="131">
        <f t="shared" si="16"/>
        <v>3.7115738773197335E-2</v>
      </c>
      <c r="G163" s="131">
        <f t="shared" si="17"/>
        <v>11.902863990458304</v>
      </c>
      <c r="H163" s="131">
        <f t="shared" si="18"/>
        <v>0.88945012831016523</v>
      </c>
      <c r="I163" s="131" t="str">
        <f t="shared" si="22"/>
        <v/>
      </c>
      <c r="J163" s="131"/>
      <c r="K163" s="145">
        <v>2620</v>
      </c>
      <c r="L163" s="131">
        <v>235</v>
      </c>
      <c r="M163" s="139">
        <v>38565</v>
      </c>
      <c r="N163" s="139">
        <v>147689</v>
      </c>
      <c r="O163" s="139">
        <v>70590</v>
      </c>
      <c r="P163" s="139">
        <f>N163-S163</f>
        <v>16327</v>
      </c>
      <c r="Q163" s="139">
        <v>84575</v>
      </c>
      <c r="R163" s="139">
        <v>46787</v>
      </c>
      <c r="S163" s="139">
        <f t="shared" si="20"/>
        <v>131362</v>
      </c>
    </row>
    <row r="164" spans="1:25">
      <c r="A164" s="131" t="s">
        <v>56</v>
      </c>
      <c r="B164" s="131" t="s">
        <v>193</v>
      </c>
      <c r="C164" s="131" t="s">
        <v>202</v>
      </c>
      <c r="D164" s="131">
        <v>0</v>
      </c>
      <c r="E164" s="131">
        <v>20</v>
      </c>
      <c r="F164" s="131">
        <f t="shared" si="16"/>
        <v>8.9397842931732016E-2</v>
      </c>
      <c r="G164" s="131">
        <f t="shared" si="17"/>
        <v>12.281463009353811</v>
      </c>
      <c r="H164" s="131">
        <f t="shared" si="18"/>
        <v>0.52563977724298783</v>
      </c>
      <c r="I164" s="131" t="str">
        <f t="shared" si="22"/>
        <v/>
      </c>
      <c r="J164" s="131"/>
      <c r="K164" s="145">
        <v>9126</v>
      </c>
      <c r="L164" s="131">
        <v>289</v>
      </c>
      <c r="M164" s="139">
        <v>9669</v>
      </c>
      <c r="N164" s="139">
        <v>215661</v>
      </c>
      <c r="O164" s="139">
        <v>102083</v>
      </c>
      <c r="P164" s="139">
        <v>102301</v>
      </c>
      <c r="Q164" s="139">
        <v>25882</v>
      </c>
      <c r="R164" s="139">
        <v>87478</v>
      </c>
      <c r="S164" s="139">
        <f t="shared" si="20"/>
        <v>113360</v>
      </c>
    </row>
    <row r="165" spans="1:25">
      <c r="A165" s="131" t="s">
        <v>66</v>
      </c>
      <c r="B165" s="131" t="s">
        <v>193</v>
      </c>
      <c r="C165" s="131" t="s">
        <v>202</v>
      </c>
      <c r="D165" s="131">
        <v>0</v>
      </c>
      <c r="E165" s="131">
        <v>8</v>
      </c>
      <c r="F165" s="131">
        <f t="shared" si="16"/>
        <v>0.18894061541955262</v>
      </c>
      <c r="G165" s="131">
        <f t="shared" si="17"/>
        <v>12.815748539217079</v>
      </c>
      <c r="H165" s="131">
        <f t="shared" si="18"/>
        <v>0.66158650096340166</v>
      </c>
      <c r="I165" s="131" t="str">
        <f t="shared" si="22"/>
        <v/>
      </c>
      <c r="J165" s="131"/>
      <c r="K165" s="145">
        <v>16640</v>
      </c>
      <c r="L165" s="131">
        <v>284</v>
      </c>
      <c r="M165" s="139">
        <v>76548</v>
      </c>
      <c r="N165" s="139">
        <v>367967</v>
      </c>
      <c r="O165" s="139">
        <v>88070</v>
      </c>
      <c r="P165" s="139">
        <f>N165-S165</f>
        <v>124525</v>
      </c>
      <c r="Q165" s="139">
        <v>164567</v>
      </c>
      <c r="R165" s="139">
        <v>78875</v>
      </c>
      <c r="S165" s="139">
        <f t="shared" si="20"/>
        <v>243442</v>
      </c>
    </row>
    <row r="166" spans="1:25">
      <c r="A166" s="131" t="s">
        <v>93</v>
      </c>
      <c r="B166" s="131" t="s">
        <v>193</v>
      </c>
      <c r="C166" s="131" t="s">
        <v>202</v>
      </c>
      <c r="D166" s="131">
        <v>0</v>
      </c>
      <c r="E166" s="131">
        <v>19</v>
      </c>
      <c r="F166" s="131">
        <f t="shared" si="16"/>
        <v>0.28605002518045997</v>
      </c>
      <c r="G166" s="131">
        <f t="shared" si="17"/>
        <v>11.605978554006001</v>
      </c>
      <c r="H166" s="131">
        <f t="shared" si="18"/>
        <v>1.4241289452584007</v>
      </c>
      <c r="I166" s="131">
        <v>0.13625232600000001</v>
      </c>
      <c r="J166" s="131"/>
      <c r="K166" s="145">
        <v>17040</v>
      </c>
      <c r="L166" s="131">
        <v>134</v>
      </c>
      <c r="M166" s="139">
        <v>67488</v>
      </c>
      <c r="N166" s="139">
        <v>109752</v>
      </c>
      <c r="O166" s="139">
        <v>59570</v>
      </c>
      <c r="P166" s="139">
        <f>N166-S166</f>
        <v>-46549</v>
      </c>
      <c r="Q166" s="139">
        <v>88766</v>
      </c>
      <c r="R166" s="139">
        <v>67535</v>
      </c>
      <c r="S166" s="139">
        <f t="shared" si="20"/>
        <v>156301</v>
      </c>
    </row>
    <row r="167" spans="1:25">
      <c r="A167" s="131" t="s">
        <v>108</v>
      </c>
      <c r="B167" s="131" t="s">
        <v>193</v>
      </c>
      <c r="C167" s="131" t="s">
        <v>202</v>
      </c>
      <c r="D167" s="131">
        <v>0</v>
      </c>
      <c r="E167" s="131">
        <v>10</v>
      </c>
      <c r="F167" s="131">
        <f t="shared" si="16"/>
        <v>3.7712895377128956E-2</v>
      </c>
      <c r="G167" s="131">
        <f t="shared" si="17"/>
        <v>12.578890587306093</v>
      </c>
      <c r="H167" s="131">
        <f t="shared" si="18"/>
        <v>0.84593820170544554</v>
      </c>
      <c r="I167" s="131">
        <v>6.3214426362599996E-2</v>
      </c>
      <c r="J167" s="131"/>
      <c r="K167" s="145">
        <v>2170</v>
      </c>
      <c r="L167" s="131">
        <v>185</v>
      </c>
      <c r="M167" s="139">
        <v>83467</v>
      </c>
      <c r="N167" s="139">
        <v>290364</v>
      </c>
      <c r="O167" s="139">
        <v>57540</v>
      </c>
      <c r="P167" s="139">
        <f>N167-S167</f>
        <v>44734</v>
      </c>
      <c r="Q167" s="139">
        <v>98753</v>
      </c>
      <c r="R167" s="139">
        <v>146877</v>
      </c>
      <c r="S167" s="139">
        <f t="shared" si="20"/>
        <v>245630</v>
      </c>
    </row>
    <row r="168" spans="1:25">
      <c r="A168" s="131" t="s">
        <v>117</v>
      </c>
      <c r="B168" s="131" t="s">
        <v>193</v>
      </c>
      <c r="C168" s="131" t="s">
        <v>202</v>
      </c>
      <c r="D168" s="131">
        <v>0</v>
      </c>
      <c r="E168" s="131">
        <v>15</v>
      </c>
      <c r="F168" s="131">
        <f t="shared" si="16"/>
        <v>1.3847926717318697E-2</v>
      </c>
      <c r="G168" s="131">
        <f t="shared" si="17"/>
        <v>12.079465794263994</v>
      </c>
      <c r="H168" s="131">
        <f t="shared" si="18"/>
        <v>0.92546647296499751</v>
      </c>
      <c r="I168" s="131" t="str">
        <f t="shared" ref="I168:I188" si="23">IF(A168=A169, (O168-O169)/O169, "")</f>
        <v/>
      </c>
      <c r="J168" s="131"/>
      <c r="K168" s="145">
        <v>1418</v>
      </c>
      <c r="L168" s="131">
        <v>400</v>
      </c>
      <c r="M168" s="139">
        <v>13452</v>
      </c>
      <c r="N168" s="139">
        <v>176216</v>
      </c>
      <c r="O168" s="139">
        <v>102398</v>
      </c>
      <c r="P168" s="139">
        <v>13134</v>
      </c>
      <c r="Q168" s="139">
        <v>35768</v>
      </c>
      <c r="R168" s="139">
        <v>127314</v>
      </c>
      <c r="S168" s="139">
        <f t="shared" si="20"/>
        <v>163082</v>
      </c>
    </row>
    <row r="169" spans="1:25">
      <c r="A169" s="131" t="s">
        <v>118</v>
      </c>
      <c r="B169" s="131" t="s">
        <v>193</v>
      </c>
      <c r="C169" s="131" t="s">
        <v>202</v>
      </c>
      <c r="D169" s="131">
        <v>0</v>
      </c>
      <c r="E169" s="131">
        <v>1</v>
      </c>
      <c r="F169" s="131">
        <f t="shared" si="16"/>
        <v>4.5244290257299795E-4</v>
      </c>
      <c r="G169" s="131">
        <f t="shared" si="17"/>
        <v>14.095001928008301</v>
      </c>
      <c r="H169" s="131">
        <f t="shared" si="18"/>
        <v>0.67963873305521461</v>
      </c>
      <c r="I169" s="131" t="str">
        <f t="shared" si="23"/>
        <v/>
      </c>
      <c r="J169" s="131"/>
      <c r="K169" s="145">
        <v>313</v>
      </c>
      <c r="L169" s="131">
        <v>777</v>
      </c>
      <c r="M169" s="139">
        <v>511433</v>
      </c>
      <c r="N169" s="139">
        <v>1322457</v>
      </c>
      <c r="O169" s="139">
        <v>691800</v>
      </c>
      <c r="P169" s="139">
        <f>N169-S169</f>
        <v>423664</v>
      </c>
      <c r="Q169" s="139">
        <v>397465</v>
      </c>
      <c r="R169" s="139">
        <v>501328</v>
      </c>
      <c r="S169" s="139">
        <f t="shared" si="20"/>
        <v>898793</v>
      </c>
    </row>
    <row r="170" spans="1:25">
      <c r="A170" s="131" t="s">
        <v>126</v>
      </c>
      <c r="B170" s="131" t="s">
        <v>193</v>
      </c>
      <c r="C170" s="131" t="s">
        <v>202</v>
      </c>
      <c r="D170" s="131">
        <v>0</v>
      </c>
      <c r="E170" s="131">
        <v>4</v>
      </c>
      <c r="F170" s="131">
        <f t="shared" si="16"/>
        <v>7.7655244847052649E-3</v>
      </c>
      <c r="G170" s="131">
        <f t="shared" si="17"/>
        <v>12.739051073937297</v>
      </c>
      <c r="H170" s="131">
        <f t="shared" si="18"/>
        <v>0.71140551643192484</v>
      </c>
      <c r="I170" s="131" t="str">
        <f t="shared" si="23"/>
        <v/>
      </c>
      <c r="J170" s="131"/>
      <c r="K170" s="145">
        <v>1183</v>
      </c>
      <c r="L170" s="131">
        <v>423</v>
      </c>
      <c r="M170" s="139">
        <v>12815</v>
      </c>
      <c r="N170" s="139">
        <v>340800</v>
      </c>
      <c r="O170" s="139">
        <v>152340</v>
      </c>
      <c r="P170" s="139">
        <v>98353</v>
      </c>
      <c r="Q170" s="139">
        <v>78752</v>
      </c>
      <c r="R170" s="139">
        <v>163695</v>
      </c>
      <c r="S170" s="139">
        <f t="shared" si="20"/>
        <v>242447</v>
      </c>
    </row>
    <row r="171" spans="1:25">
      <c r="A171" s="131" t="s">
        <v>145</v>
      </c>
      <c r="B171" s="131" t="s">
        <v>193</v>
      </c>
      <c r="C171" s="131" t="s">
        <v>202</v>
      </c>
      <c r="D171" s="131">
        <v>0</v>
      </c>
      <c r="E171" s="131">
        <v>9</v>
      </c>
      <c r="F171" s="131">
        <f t="shared" si="16"/>
        <v>-4.6303832100988762E-2</v>
      </c>
      <c r="G171" s="131">
        <f t="shared" si="17"/>
        <v>13.120076765097899</v>
      </c>
      <c r="H171" s="131">
        <f t="shared" si="18"/>
        <v>0.91923352938110647</v>
      </c>
      <c r="I171" s="131" t="str">
        <f t="shared" si="23"/>
        <v/>
      </c>
      <c r="J171" s="131"/>
      <c r="K171" s="145">
        <v>-8022</v>
      </c>
      <c r="L171" s="131">
        <v>432</v>
      </c>
      <c r="M171" s="139">
        <v>31095</v>
      </c>
      <c r="N171" s="139">
        <v>498858</v>
      </c>
      <c r="O171" s="139">
        <v>173247</v>
      </c>
      <c r="P171" s="139">
        <v>40291</v>
      </c>
      <c r="Q171" s="139">
        <v>246179</v>
      </c>
      <c r="R171" s="139">
        <v>212388</v>
      </c>
      <c r="S171" s="139">
        <f t="shared" si="20"/>
        <v>458567</v>
      </c>
    </row>
    <row r="172" spans="1:25">
      <c r="A172" s="131" t="s">
        <v>147</v>
      </c>
      <c r="B172" s="131" t="s">
        <v>193</v>
      </c>
      <c r="C172" s="131" t="s">
        <v>202</v>
      </c>
      <c r="D172" s="131">
        <v>0</v>
      </c>
      <c r="E172" s="131">
        <v>5</v>
      </c>
      <c r="F172" s="131">
        <f t="shared" si="16"/>
        <v>-1.0425297603440138E-2</v>
      </c>
      <c r="G172" s="131">
        <f t="shared" si="17"/>
        <v>12.288081112140665</v>
      </c>
      <c r="H172" s="131">
        <f t="shared" si="18"/>
        <v>0.56175003339582574</v>
      </c>
      <c r="I172" s="131" t="str">
        <f t="shared" si="23"/>
        <v/>
      </c>
      <c r="J172" s="131"/>
      <c r="K172" s="145">
        <v>-994</v>
      </c>
      <c r="L172" s="131">
        <v>304</v>
      </c>
      <c r="M172" s="139">
        <v>0</v>
      </c>
      <c r="N172" s="139">
        <v>217093</v>
      </c>
      <c r="O172" s="139">
        <v>95345</v>
      </c>
      <c r="P172" s="139">
        <v>95141</v>
      </c>
      <c r="Q172" s="139">
        <v>39987</v>
      </c>
      <c r="R172" s="139">
        <v>81965</v>
      </c>
      <c r="S172" s="139">
        <f t="shared" si="20"/>
        <v>121952</v>
      </c>
    </row>
    <row r="173" spans="1:25">
      <c r="A173" s="134" t="s">
        <v>17</v>
      </c>
      <c r="B173" s="134" t="s">
        <v>200</v>
      </c>
      <c r="C173" s="134" t="s">
        <v>202</v>
      </c>
      <c r="D173" s="134">
        <v>0</v>
      </c>
      <c r="E173" s="134">
        <v>19</v>
      </c>
      <c r="F173" s="134">
        <f t="shared" si="16"/>
        <v>0.15619158878504674</v>
      </c>
      <c r="G173" s="134">
        <f t="shared" si="17"/>
        <v>10.891112413014609</v>
      </c>
      <c r="H173" s="134">
        <f t="shared" si="18"/>
        <v>0.73041324468778512</v>
      </c>
      <c r="I173" s="134" t="str">
        <f t="shared" si="23"/>
        <v/>
      </c>
      <c r="J173" s="134"/>
      <c r="K173" s="152">
        <v>4011</v>
      </c>
      <c r="L173" s="134"/>
      <c r="M173" s="153"/>
      <c r="N173" s="153">
        <v>53697</v>
      </c>
      <c r="O173" s="153">
        <v>25680</v>
      </c>
      <c r="P173" s="153">
        <v>14476</v>
      </c>
      <c r="Q173" s="153"/>
      <c r="R173" s="153"/>
      <c r="S173" s="153">
        <v>39221</v>
      </c>
    </row>
    <row r="174" spans="1:25">
      <c r="A174" s="134" t="s">
        <v>18</v>
      </c>
      <c r="B174" s="134" t="s">
        <v>200</v>
      </c>
      <c r="C174" s="134" t="s">
        <v>202</v>
      </c>
      <c r="D174" s="134">
        <v>0</v>
      </c>
      <c r="E174" s="134">
        <v>11</v>
      </c>
      <c r="F174" s="134">
        <f t="shared" si="16"/>
        <v>0.15619158878504674</v>
      </c>
      <c r="G174" s="134">
        <f t="shared" si="17"/>
        <v>10.891112413014609</v>
      </c>
      <c r="H174" s="134">
        <f t="shared" si="18"/>
        <v>0.73041324468778512</v>
      </c>
      <c r="I174" s="134" t="str">
        <f t="shared" si="23"/>
        <v/>
      </c>
      <c r="J174" s="134"/>
      <c r="K174" s="152">
        <v>4011</v>
      </c>
      <c r="L174" s="134"/>
      <c r="M174" s="153"/>
      <c r="N174" s="153">
        <v>53697</v>
      </c>
      <c r="O174" s="153">
        <v>25680</v>
      </c>
      <c r="P174" s="153">
        <v>14476</v>
      </c>
      <c r="Q174" s="153"/>
      <c r="R174" s="153"/>
      <c r="S174" s="153">
        <v>39221</v>
      </c>
    </row>
    <row r="175" spans="1:25">
      <c r="A175" s="134" t="s">
        <v>22</v>
      </c>
      <c r="B175" s="134" t="s">
        <v>200</v>
      </c>
      <c r="C175" s="134" t="s">
        <v>202</v>
      </c>
      <c r="D175" s="134">
        <v>0</v>
      </c>
      <c r="E175" s="134">
        <v>9</v>
      </c>
      <c r="F175" s="134">
        <f t="shared" si="16"/>
        <v>0.15619158878504674</v>
      </c>
      <c r="G175" s="134">
        <f t="shared" si="17"/>
        <v>10.891112413014609</v>
      </c>
      <c r="H175" s="134">
        <f t="shared" si="18"/>
        <v>0.73041324468778512</v>
      </c>
      <c r="I175" s="134" t="str">
        <f t="shared" si="23"/>
        <v/>
      </c>
      <c r="J175" s="134"/>
      <c r="K175" s="152">
        <v>4011</v>
      </c>
      <c r="L175" s="134"/>
      <c r="M175" s="153"/>
      <c r="N175" s="153">
        <v>53697</v>
      </c>
      <c r="O175" s="153">
        <v>25680</v>
      </c>
      <c r="P175" s="153">
        <v>14476</v>
      </c>
      <c r="Q175" s="153"/>
      <c r="R175" s="153"/>
      <c r="S175" s="153">
        <v>39221</v>
      </c>
      <c r="T175" s="149"/>
      <c r="U175" s="149"/>
      <c r="V175" s="149"/>
      <c r="W175" s="149"/>
      <c r="X175" s="149"/>
      <c r="Y175" s="149"/>
    </row>
    <row r="176" spans="1:25">
      <c r="A176" s="134" t="s">
        <v>23</v>
      </c>
      <c r="B176" s="134" t="s">
        <v>200</v>
      </c>
      <c r="C176" s="134" t="s">
        <v>202</v>
      </c>
      <c r="D176" s="134">
        <v>0</v>
      </c>
      <c r="E176" s="134">
        <v>17</v>
      </c>
      <c r="F176" s="134">
        <f t="shared" si="16"/>
        <v>0.15619158878504674</v>
      </c>
      <c r="G176" s="134">
        <f t="shared" si="17"/>
        <v>10.891112413014609</v>
      </c>
      <c r="H176" s="134">
        <f t="shared" si="18"/>
        <v>0.73041324468778512</v>
      </c>
      <c r="I176" s="134" t="str">
        <f t="shared" si="23"/>
        <v/>
      </c>
      <c r="J176" s="134"/>
      <c r="K176" s="152">
        <v>4011</v>
      </c>
      <c r="L176" s="134"/>
      <c r="M176" s="153"/>
      <c r="N176" s="153">
        <v>53697</v>
      </c>
      <c r="O176" s="153">
        <v>25680</v>
      </c>
      <c r="P176" s="153">
        <v>14476</v>
      </c>
      <c r="Q176" s="153"/>
      <c r="R176" s="153"/>
      <c r="S176" s="153">
        <v>39221</v>
      </c>
      <c r="T176" s="149"/>
      <c r="U176" s="149"/>
      <c r="V176" s="149"/>
      <c r="W176" s="149"/>
      <c r="X176" s="149"/>
      <c r="Y176" s="149"/>
    </row>
    <row r="177" spans="1:25" s="130" customFormat="1">
      <c r="A177" s="134" t="s">
        <v>51</v>
      </c>
      <c r="B177" s="134" t="s">
        <v>200</v>
      </c>
      <c r="C177" s="134" t="s">
        <v>202</v>
      </c>
      <c r="D177" s="134">
        <v>0</v>
      </c>
      <c r="E177" s="134">
        <v>16</v>
      </c>
      <c r="F177" s="134">
        <f t="shared" si="16"/>
        <v>0.15619158878504674</v>
      </c>
      <c r="G177" s="134">
        <f t="shared" si="17"/>
        <v>10.891112413014609</v>
      </c>
      <c r="H177" s="134">
        <f t="shared" si="18"/>
        <v>0.73041324468778512</v>
      </c>
      <c r="I177" s="134" t="str">
        <f t="shared" si="23"/>
        <v/>
      </c>
      <c r="J177" s="134"/>
      <c r="K177" s="152">
        <v>4011</v>
      </c>
      <c r="L177" s="134"/>
      <c r="M177" s="153"/>
      <c r="N177" s="153">
        <v>53697</v>
      </c>
      <c r="O177" s="153">
        <v>25680</v>
      </c>
      <c r="P177" s="153">
        <v>14476</v>
      </c>
      <c r="Q177" s="153"/>
      <c r="R177" s="153"/>
      <c r="S177" s="153">
        <v>39221</v>
      </c>
    </row>
    <row r="178" spans="1:25">
      <c r="A178" s="134" t="s">
        <v>68</v>
      </c>
      <c r="B178" s="134" t="s">
        <v>200</v>
      </c>
      <c r="C178" s="134" t="s">
        <v>202</v>
      </c>
      <c r="D178" s="134">
        <v>0</v>
      </c>
      <c r="E178" s="134">
        <v>12</v>
      </c>
      <c r="F178" s="134">
        <f t="shared" si="16"/>
        <v>0.15619158878504674</v>
      </c>
      <c r="G178" s="134">
        <f t="shared" si="17"/>
        <v>10.891112413014609</v>
      </c>
      <c r="H178" s="134">
        <f t="shared" si="18"/>
        <v>0.73041324468778512</v>
      </c>
      <c r="I178" s="134" t="str">
        <f t="shared" si="23"/>
        <v/>
      </c>
      <c r="J178" s="134"/>
      <c r="K178" s="152">
        <v>4011</v>
      </c>
      <c r="L178" s="134"/>
      <c r="M178" s="153"/>
      <c r="N178" s="153">
        <v>53697</v>
      </c>
      <c r="O178" s="153">
        <v>25680</v>
      </c>
      <c r="P178" s="153">
        <v>14476</v>
      </c>
      <c r="Q178" s="153"/>
      <c r="R178" s="153"/>
      <c r="S178" s="153">
        <v>39221</v>
      </c>
      <c r="T178" s="149"/>
      <c r="U178" s="149"/>
      <c r="V178" s="149"/>
      <c r="W178" s="149"/>
      <c r="X178" s="149"/>
      <c r="Y178" s="149"/>
    </row>
    <row r="179" spans="1:25">
      <c r="A179" s="134" t="s">
        <v>89</v>
      </c>
      <c r="B179" s="134" t="s">
        <v>200</v>
      </c>
      <c r="C179" s="134" t="s">
        <v>202</v>
      </c>
      <c r="D179" s="134">
        <v>1</v>
      </c>
      <c r="E179" s="134">
        <v>4</v>
      </c>
      <c r="F179" s="134">
        <f t="shared" si="16"/>
        <v>0.15619158878504674</v>
      </c>
      <c r="G179" s="134">
        <f t="shared" si="17"/>
        <v>10.891112413014609</v>
      </c>
      <c r="H179" s="134">
        <f t="shared" si="18"/>
        <v>0.73041324468778512</v>
      </c>
      <c r="I179" s="134" t="str">
        <f t="shared" si="23"/>
        <v/>
      </c>
      <c r="J179" s="134"/>
      <c r="K179" s="152">
        <v>4011</v>
      </c>
      <c r="L179" s="134"/>
      <c r="M179" s="153"/>
      <c r="N179" s="153">
        <v>53697</v>
      </c>
      <c r="O179" s="153">
        <v>25680</v>
      </c>
      <c r="P179" s="153">
        <v>14476</v>
      </c>
      <c r="Q179" s="153"/>
      <c r="R179" s="153"/>
      <c r="S179" s="153">
        <v>39221</v>
      </c>
      <c r="T179" s="149"/>
      <c r="U179" s="149"/>
      <c r="V179" s="149"/>
      <c r="W179" s="149"/>
      <c r="X179" s="149"/>
      <c r="Y179" s="149"/>
    </row>
    <row r="180" spans="1:25">
      <c r="A180" s="134" t="s">
        <v>96</v>
      </c>
      <c r="B180" s="134" t="s">
        <v>200</v>
      </c>
      <c r="C180" s="134" t="s">
        <v>202</v>
      </c>
      <c r="D180" s="134">
        <v>0</v>
      </c>
      <c r="E180" s="134">
        <v>15</v>
      </c>
      <c r="F180" s="134">
        <f t="shared" si="16"/>
        <v>0.15619158878504674</v>
      </c>
      <c r="G180" s="134">
        <f t="shared" si="17"/>
        <v>10.891112413014609</v>
      </c>
      <c r="H180" s="134">
        <f t="shared" si="18"/>
        <v>0.73041324468778512</v>
      </c>
      <c r="I180" s="134" t="str">
        <f t="shared" si="23"/>
        <v/>
      </c>
      <c r="J180" s="134"/>
      <c r="K180" s="152">
        <v>4011</v>
      </c>
      <c r="L180" s="134"/>
      <c r="M180" s="153"/>
      <c r="N180" s="153">
        <v>53697</v>
      </c>
      <c r="O180" s="153">
        <v>25680</v>
      </c>
      <c r="P180" s="153">
        <v>14476</v>
      </c>
      <c r="Q180" s="153"/>
      <c r="R180" s="153"/>
      <c r="S180" s="153">
        <v>39221</v>
      </c>
      <c r="T180" s="149"/>
      <c r="U180" s="149"/>
      <c r="V180" s="149"/>
      <c r="W180" s="149"/>
      <c r="X180" s="149"/>
      <c r="Y180" s="149"/>
    </row>
    <row r="181" spans="1:25">
      <c r="A181" s="134" t="s">
        <v>98</v>
      </c>
      <c r="B181" s="134" t="s">
        <v>200</v>
      </c>
      <c r="C181" s="134" t="s">
        <v>202</v>
      </c>
      <c r="D181" s="134">
        <v>0</v>
      </c>
      <c r="E181" s="134">
        <v>8</v>
      </c>
      <c r="F181" s="134">
        <f t="shared" si="16"/>
        <v>0.15619158878504674</v>
      </c>
      <c r="G181" s="134">
        <f t="shared" si="17"/>
        <v>10.891112413014609</v>
      </c>
      <c r="H181" s="134">
        <f t="shared" si="18"/>
        <v>0.73041324468778512</v>
      </c>
      <c r="I181" s="134" t="str">
        <f t="shared" si="23"/>
        <v/>
      </c>
      <c r="J181" s="134"/>
      <c r="K181" s="152">
        <v>4011</v>
      </c>
      <c r="L181" s="134"/>
      <c r="M181" s="153"/>
      <c r="N181" s="153">
        <v>53697</v>
      </c>
      <c r="O181" s="153">
        <v>25680</v>
      </c>
      <c r="P181" s="153">
        <v>14476</v>
      </c>
      <c r="Q181" s="153"/>
      <c r="R181" s="153"/>
      <c r="S181" s="153">
        <v>39221</v>
      </c>
    </row>
    <row r="182" spans="1:25">
      <c r="A182" s="134" t="s">
        <v>100</v>
      </c>
      <c r="B182" s="134" t="s">
        <v>200</v>
      </c>
      <c r="C182" s="134" t="s">
        <v>202</v>
      </c>
      <c r="D182" s="134">
        <v>0</v>
      </c>
      <c r="E182" s="134">
        <v>13</v>
      </c>
      <c r="F182" s="134">
        <f t="shared" si="16"/>
        <v>0.15619158878504674</v>
      </c>
      <c r="G182" s="134">
        <f t="shared" si="17"/>
        <v>10.891112413014609</v>
      </c>
      <c r="H182" s="134">
        <f t="shared" si="18"/>
        <v>0.73041324468778512</v>
      </c>
      <c r="I182" s="134" t="str">
        <f t="shared" si="23"/>
        <v/>
      </c>
      <c r="J182" s="134"/>
      <c r="K182" s="152">
        <v>4011</v>
      </c>
      <c r="L182" s="134"/>
      <c r="M182" s="153"/>
      <c r="N182" s="153">
        <v>53697</v>
      </c>
      <c r="O182" s="153">
        <v>25680</v>
      </c>
      <c r="P182" s="153">
        <v>14476</v>
      </c>
      <c r="Q182" s="153"/>
      <c r="R182" s="153"/>
      <c r="S182" s="153">
        <v>39221</v>
      </c>
      <c r="T182" s="149"/>
      <c r="U182" s="149"/>
      <c r="V182" s="149"/>
      <c r="W182" s="149"/>
      <c r="X182" s="149"/>
      <c r="Y182" s="149"/>
    </row>
    <row r="183" spans="1:25">
      <c r="A183" s="134" t="s">
        <v>103</v>
      </c>
      <c r="B183" s="134" t="s">
        <v>200</v>
      </c>
      <c r="C183" s="134" t="s">
        <v>202</v>
      </c>
      <c r="D183" s="134">
        <v>0</v>
      </c>
      <c r="E183" s="134">
        <v>18</v>
      </c>
      <c r="F183" s="134">
        <f t="shared" si="16"/>
        <v>0.15619158878504674</v>
      </c>
      <c r="G183" s="134">
        <f t="shared" si="17"/>
        <v>10.891112413014609</v>
      </c>
      <c r="H183" s="134">
        <f t="shared" si="18"/>
        <v>0.73041324468778512</v>
      </c>
      <c r="I183" s="134" t="str">
        <f t="shared" si="23"/>
        <v/>
      </c>
      <c r="J183" s="134"/>
      <c r="K183" s="152">
        <v>4011</v>
      </c>
      <c r="L183" s="134"/>
      <c r="M183" s="153"/>
      <c r="N183" s="153">
        <v>53697</v>
      </c>
      <c r="O183" s="153">
        <v>25680</v>
      </c>
      <c r="P183" s="153">
        <v>14476</v>
      </c>
      <c r="Q183" s="153"/>
      <c r="R183" s="153"/>
      <c r="S183" s="153">
        <v>39221</v>
      </c>
      <c r="T183" s="149"/>
      <c r="U183" s="149"/>
      <c r="V183" s="149"/>
      <c r="W183" s="149"/>
      <c r="X183" s="149"/>
      <c r="Y183" s="149"/>
    </row>
    <row r="184" spans="1:25">
      <c r="A184" s="134" t="s">
        <v>105</v>
      </c>
      <c r="B184" s="134" t="s">
        <v>200</v>
      </c>
      <c r="C184" s="134" t="s">
        <v>202</v>
      </c>
      <c r="D184" s="134">
        <v>0</v>
      </c>
      <c r="E184" s="134">
        <v>5</v>
      </c>
      <c r="F184" s="134">
        <f t="shared" si="16"/>
        <v>0.15619158878504674</v>
      </c>
      <c r="G184" s="134">
        <f t="shared" si="17"/>
        <v>10.891112413014609</v>
      </c>
      <c r="H184" s="134">
        <f t="shared" si="18"/>
        <v>0.73041324468778512</v>
      </c>
      <c r="I184" s="134" t="str">
        <f t="shared" si="23"/>
        <v/>
      </c>
      <c r="J184" s="134"/>
      <c r="K184" s="152">
        <v>4011</v>
      </c>
      <c r="L184" s="134"/>
      <c r="M184" s="153"/>
      <c r="N184" s="153">
        <v>53697</v>
      </c>
      <c r="O184" s="153">
        <v>25680</v>
      </c>
      <c r="P184" s="153">
        <v>14476</v>
      </c>
      <c r="Q184" s="153"/>
      <c r="R184" s="153"/>
      <c r="S184" s="153">
        <v>39221</v>
      </c>
      <c r="T184" s="149"/>
      <c r="U184" s="149"/>
      <c r="V184" s="149"/>
      <c r="W184" s="149"/>
      <c r="X184" s="149"/>
      <c r="Y184" s="149"/>
    </row>
    <row r="185" spans="1:25">
      <c r="A185" s="134" t="s">
        <v>106</v>
      </c>
      <c r="B185" s="134" t="s">
        <v>200</v>
      </c>
      <c r="C185" s="134" t="s">
        <v>202</v>
      </c>
      <c r="D185" s="134">
        <v>1</v>
      </c>
      <c r="E185" s="134">
        <v>2</v>
      </c>
      <c r="F185" s="134">
        <f t="shared" si="16"/>
        <v>0.15619158878504674</v>
      </c>
      <c r="G185" s="134">
        <f t="shared" si="17"/>
        <v>10.891112413014609</v>
      </c>
      <c r="H185" s="134">
        <f t="shared" si="18"/>
        <v>0.73041324468778512</v>
      </c>
      <c r="I185" s="134" t="str">
        <f t="shared" si="23"/>
        <v/>
      </c>
      <c r="J185" s="134"/>
      <c r="K185" s="152">
        <v>4011</v>
      </c>
      <c r="L185" s="134"/>
      <c r="M185" s="153"/>
      <c r="N185" s="153">
        <v>53697</v>
      </c>
      <c r="O185" s="153">
        <v>25680</v>
      </c>
      <c r="P185" s="153">
        <v>14476</v>
      </c>
      <c r="Q185" s="153"/>
      <c r="R185" s="153"/>
      <c r="S185" s="153">
        <v>39221</v>
      </c>
      <c r="T185" s="149"/>
      <c r="U185" s="149"/>
      <c r="V185" s="149"/>
      <c r="W185" s="149"/>
      <c r="X185" s="149"/>
      <c r="Y185" s="149"/>
    </row>
    <row r="186" spans="1:25">
      <c r="A186" s="134" t="s">
        <v>107</v>
      </c>
      <c r="B186" s="134" t="s">
        <v>200</v>
      </c>
      <c r="C186" s="134" t="s">
        <v>202</v>
      </c>
      <c r="D186" s="134">
        <v>0</v>
      </c>
      <c r="E186" s="134">
        <v>7</v>
      </c>
      <c r="F186" s="134">
        <f t="shared" si="16"/>
        <v>0.15619158878504674</v>
      </c>
      <c r="G186" s="134">
        <f t="shared" si="17"/>
        <v>10.891112413014609</v>
      </c>
      <c r="H186" s="134">
        <f t="shared" si="18"/>
        <v>0.73041324468778512</v>
      </c>
      <c r="I186" s="134" t="str">
        <f t="shared" si="23"/>
        <v/>
      </c>
      <c r="J186" s="134"/>
      <c r="K186" s="152">
        <v>4011</v>
      </c>
      <c r="L186" s="134"/>
      <c r="M186" s="153"/>
      <c r="N186" s="153">
        <v>53697</v>
      </c>
      <c r="O186" s="153">
        <v>25680</v>
      </c>
      <c r="P186" s="153">
        <v>14476</v>
      </c>
      <c r="Q186" s="153"/>
      <c r="R186" s="153"/>
      <c r="S186" s="153">
        <v>39221</v>
      </c>
      <c r="T186" s="149"/>
      <c r="U186" s="149"/>
      <c r="V186" s="149"/>
      <c r="W186" s="149"/>
      <c r="X186" s="149"/>
      <c r="Y186" s="149"/>
    </row>
    <row r="187" spans="1:25">
      <c r="A187" s="134" t="s">
        <v>111</v>
      </c>
      <c r="B187" s="134" t="s">
        <v>200</v>
      </c>
      <c r="C187" s="134" t="s">
        <v>202</v>
      </c>
      <c r="D187" s="134">
        <v>0</v>
      </c>
      <c r="E187" s="134">
        <v>1</v>
      </c>
      <c r="F187" s="134">
        <f t="shared" si="16"/>
        <v>0.15619158878504674</v>
      </c>
      <c r="G187" s="134">
        <f t="shared" si="17"/>
        <v>10.891112413014609</v>
      </c>
      <c r="H187" s="134">
        <f t="shared" si="18"/>
        <v>0.73041324468778512</v>
      </c>
      <c r="I187" s="134" t="str">
        <f t="shared" si="23"/>
        <v/>
      </c>
      <c r="J187" s="134"/>
      <c r="K187" s="152">
        <v>4011</v>
      </c>
      <c r="L187" s="134"/>
      <c r="M187" s="153"/>
      <c r="N187" s="153">
        <v>53697</v>
      </c>
      <c r="O187" s="153">
        <v>25680</v>
      </c>
      <c r="P187" s="153">
        <v>14476</v>
      </c>
      <c r="Q187" s="153"/>
      <c r="R187" s="153"/>
      <c r="S187" s="153">
        <v>39221</v>
      </c>
      <c r="T187" s="149"/>
      <c r="U187" s="149"/>
      <c r="V187" s="149"/>
      <c r="W187" s="149"/>
      <c r="X187" s="149"/>
      <c r="Y187" s="149"/>
    </row>
    <row r="188" spans="1:25">
      <c r="A188" s="134" t="s">
        <v>116</v>
      </c>
      <c r="B188" s="134" t="s">
        <v>200</v>
      </c>
      <c r="C188" s="134" t="s">
        <v>202</v>
      </c>
      <c r="D188" s="134">
        <v>0</v>
      </c>
      <c r="E188" s="134">
        <v>10</v>
      </c>
      <c r="F188" s="134">
        <f t="shared" si="16"/>
        <v>0.15619158878504674</v>
      </c>
      <c r="G188" s="134">
        <f t="shared" si="17"/>
        <v>10.891112413014609</v>
      </c>
      <c r="H188" s="134">
        <f t="shared" si="18"/>
        <v>0.73041324468778512</v>
      </c>
      <c r="I188" s="134" t="str">
        <f t="shared" si="23"/>
        <v/>
      </c>
      <c r="J188" s="134"/>
      <c r="K188" s="152">
        <v>4011</v>
      </c>
      <c r="L188" s="134"/>
      <c r="M188" s="153"/>
      <c r="N188" s="153">
        <v>53697</v>
      </c>
      <c r="O188" s="153">
        <v>25680</v>
      </c>
      <c r="P188" s="153">
        <v>14476</v>
      </c>
      <c r="Q188" s="153"/>
      <c r="R188" s="153"/>
      <c r="S188" s="153">
        <v>39221</v>
      </c>
      <c r="T188" s="149"/>
      <c r="U188" s="149"/>
      <c r="V188" s="149"/>
      <c r="W188" s="149"/>
      <c r="X188" s="149"/>
      <c r="Y188" s="149"/>
    </row>
    <row r="189" spans="1:25">
      <c r="A189" s="134" t="s">
        <v>133</v>
      </c>
      <c r="B189" s="134" t="s">
        <v>200</v>
      </c>
      <c r="C189" s="134" t="s">
        <v>202</v>
      </c>
      <c r="D189" s="134">
        <v>0</v>
      </c>
      <c r="E189" s="134">
        <v>14</v>
      </c>
      <c r="F189" s="134">
        <f t="shared" si="16"/>
        <v>0.15619158878504674</v>
      </c>
      <c r="G189" s="134">
        <f t="shared" si="17"/>
        <v>10.891112413014609</v>
      </c>
      <c r="H189" s="134">
        <f t="shared" si="18"/>
        <v>0.73041324468778512</v>
      </c>
      <c r="I189" s="134">
        <v>0.2898035865735073</v>
      </c>
      <c r="J189" s="134"/>
      <c r="K189" s="152">
        <v>4011</v>
      </c>
      <c r="L189" s="134"/>
      <c r="M189" s="153"/>
      <c r="N189" s="153">
        <v>53697</v>
      </c>
      <c r="O189" s="153">
        <v>25680</v>
      </c>
      <c r="P189" s="153">
        <v>14476</v>
      </c>
      <c r="Q189" s="153"/>
      <c r="R189" s="153"/>
      <c r="S189" s="153">
        <v>39221</v>
      </c>
      <c r="T189" s="149"/>
      <c r="U189" s="149"/>
      <c r="V189" s="149"/>
      <c r="W189" s="149"/>
      <c r="Y189" s="149"/>
    </row>
    <row r="190" spans="1:25">
      <c r="A190" s="134" t="s">
        <v>134</v>
      </c>
      <c r="B190" s="134" t="s">
        <v>200</v>
      </c>
      <c r="C190" s="134" t="s">
        <v>202</v>
      </c>
      <c r="D190" s="134">
        <v>0</v>
      </c>
      <c r="E190" s="134">
        <v>6</v>
      </c>
      <c r="F190" s="134">
        <f t="shared" si="16"/>
        <v>0.15619158878504674</v>
      </c>
      <c r="G190" s="134">
        <f t="shared" si="17"/>
        <v>10.891112413014609</v>
      </c>
      <c r="H190" s="134">
        <f t="shared" si="18"/>
        <v>0.73041324468778512</v>
      </c>
      <c r="I190" s="134" t="str">
        <f>IF(A190=A191, (O190-O191)/O191, "")</f>
        <v/>
      </c>
      <c r="J190" s="134"/>
      <c r="K190" s="152">
        <v>4011</v>
      </c>
      <c r="L190" s="134"/>
      <c r="M190" s="153"/>
      <c r="N190" s="153">
        <v>53697</v>
      </c>
      <c r="O190" s="153">
        <v>25680</v>
      </c>
      <c r="P190" s="153">
        <v>14476</v>
      </c>
      <c r="Q190" s="153"/>
      <c r="R190" s="153"/>
      <c r="S190" s="153">
        <v>39221</v>
      </c>
      <c r="T190" s="149"/>
      <c r="U190" s="149"/>
      <c r="V190" s="149"/>
      <c r="W190" s="149"/>
      <c r="X190" s="149"/>
      <c r="Y190" s="149"/>
    </row>
    <row r="191" spans="1:25">
      <c r="A191" s="134" t="s">
        <v>135</v>
      </c>
      <c r="B191" s="134" t="s">
        <v>200</v>
      </c>
      <c r="C191" s="134" t="s">
        <v>202</v>
      </c>
      <c r="D191" s="134">
        <v>0</v>
      </c>
      <c r="E191" s="134">
        <v>3</v>
      </c>
      <c r="F191" s="134">
        <f t="shared" si="16"/>
        <v>0.15619158878504674</v>
      </c>
      <c r="G191" s="134">
        <f t="shared" si="17"/>
        <v>10.891112413014609</v>
      </c>
      <c r="H191" s="134">
        <f t="shared" si="18"/>
        <v>0.73041324468778512</v>
      </c>
      <c r="I191" s="134" t="str">
        <f>IF(A191=A192, (O191-O192)/O192, "")</f>
        <v/>
      </c>
      <c r="J191" s="134"/>
      <c r="K191" s="152">
        <v>4011</v>
      </c>
      <c r="L191" s="134"/>
      <c r="M191" s="153"/>
      <c r="N191" s="153">
        <v>53697</v>
      </c>
      <c r="O191" s="153">
        <v>25680</v>
      </c>
      <c r="P191" s="153">
        <v>14476</v>
      </c>
      <c r="Q191" s="153"/>
      <c r="R191" s="153"/>
      <c r="S191" s="153">
        <v>39221</v>
      </c>
      <c r="T191" s="149"/>
      <c r="U191" s="149"/>
      <c r="V191" s="149"/>
      <c r="W191" s="149"/>
      <c r="X191" s="149"/>
      <c r="Y191" s="149"/>
    </row>
    <row r="192" spans="1:25">
      <c r="A192" s="134" t="s">
        <v>141</v>
      </c>
      <c r="B192" s="134" t="s">
        <v>200</v>
      </c>
      <c r="C192" s="134" t="s">
        <v>202</v>
      </c>
      <c r="D192" s="134">
        <v>0</v>
      </c>
      <c r="E192" s="134">
        <v>20</v>
      </c>
      <c r="F192" s="134">
        <f t="shared" si="16"/>
        <v>0.15619158878504674</v>
      </c>
      <c r="G192" s="134">
        <f t="shared" si="17"/>
        <v>10.891112413014609</v>
      </c>
      <c r="H192" s="134">
        <f t="shared" si="18"/>
        <v>0.73041324468778512</v>
      </c>
      <c r="I192" s="134" t="str">
        <f>IF(A192=A193, (O192-O193)/O193, "")</f>
        <v/>
      </c>
      <c r="J192" s="134"/>
      <c r="K192" s="152">
        <v>4011</v>
      </c>
      <c r="L192" s="134"/>
      <c r="M192" s="153"/>
      <c r="N192" s="153">
        <v>53697</v>
      </c>
      <c r="O192" s="153">
        <v>25680</v>
      </c>
      <c r="P192" s="153">
        <v>14476</v>
      </c>
      <c r="Q192" s="153"/>
      <c r="R192" s="153"/>
      <c r="S192" s="153">
        <v>39221</v>
      </c>
      <c r="T192" s="149"/>
      <c r="U192" s="149"/>
      <c r="V192" s="149"/>
      <c r="W192" s="149"/>
      <c r="X192" s="149"/>
      <c r="Y192" s="149"/>
    </row>
    <row r="193" spans="1:25">
      <c r="A193" s="130" t="s">
        <v>21</v>
      </c>
      <c r="B193" s="130" t="s">
        <v>172</v>
      </c>
      <c r="C193" s="130" t="s">
        <v>202</v>
      </c>
      <c r="D193" s="130">
        <v>0</v>
      </c>
      <c r="E193" s="130">
        <v>8</v>
      </c>
      <c r="F193" s="130">
        <f t="shared" si="16"/>
        <v>-3.3521617071984054E-2</v>
      </c>
      <c r="G193" s="130">
        <f t="shared" si="17"/>
        <v>13.993186339838335</v>
      </c>
      <c r="H193" s="130">
        <f t="shared" si="18"/>
        <v>0.53695629241534515</v>
      </c>
      <c r="I193" s="130" t="str">
        <f>IF(A193=A194, (O193-O194)/O194, "")</f>
        <v/>
      </c>
      <c r="J193" s="130"/>
      <c r="K193" s="154">
        <v>-12884</v>
      </c>
      <c r="L193" s="130">
        <v>394</v>
      </c>
      <c r="M193" s="148">
        <v>274396</v>
      </c>
      <c r="N193" s="148">
        <v>1194438</v>
      </c>
      <c r="O193" s="148">
        <v>384349</v>
      </c>
      <c r="P193" s="148">
        <v>553077</v>
      </c>
      <c r="Q193" s="148">
        <v>154444</v>
      </c>
      <c r="R193" s="148">
        <v>486917</v>
      </c>
      <c r="S193" s="148">
        <f t="shared" ref="S193:S224" si="24">Q193+R193</f>
        <v>641361</v>
      </c>
      <c r="T193" s="149"/>
      <c r="U193" s="149"/>
      <c r="V193" s="149"/>
      <c r="W193" s="149"/>
      <c r="X193" s="149"/>
      <c r="Y193" s="149"/>
    </row>
    <row r="194" spans="1:25">
      <c r="A194" s="130" t="s">
        <v>24</v>
      </c>
      <c r="B194" s="130" t="s">
        <v>172</v>
      </c>
      <c r="C194" s="130" t="s">
        <v>202</v>
      </c>
      <c r="D194" s="130">
        <v>0</v>
      </c>
      <c r="E194" s="130">
        <v>17</v>
      </c>
      <c r="F194" s="130">
        <f t="shared" si="16"/>
        <v>-0.84266697941711133</v>
      </c>
      <c r="G194" s="130">
        <f t="shared" si="17"/>
        <v>12.143287253430135</v>
      </c>
      <c r="H194" s="130">
        <f t="shared" si="18"/>
        <v>1.5518050993190615</v>
      </c>
      <c r="I194" s="130">
        <v>0.3248281212082072</v>
      </c>
      <c r="J194" s="130"/>
      <c r="K194" s="154">
        <v>-100590</v>
      </c>
      <c r="L194" s="130">
        <v>658</v>
      </c>
      <c r="M194" s="148">
        <v>238020</v>
      </c>
      <c r="N194" s="148">
        <v>187829</v>
      </c>
      <c r="O194" s="148">
        <v>119371</v>
      </c>
      <c r="P194" s="148">
        <v>-103645</v>
      </c>
      <c r="Q194" s="148">
        <v>0</v>
      </c>
      <c r="R194" s="148">
        <v>291474</v>
      </c>
      <c r="S194" s="148">
        <f t="shared" si="24"/>
        <v>291474</v>
      </c>
    </row>
    <row r="195" spans="1:25">
      <c r="A195" s="130" t="s">
        <v>33</v>
      </c>
      <c r="B195" s="130" t="s">
        <v>172</v>
      </c>
      <c r="C195" s="130" t="s">
        <v>202</v>
      </c>
      <c r="D195" s="130">
        <v>0</v>
      </c>
      <c r="E195" s="130">
        <v>18</v>
      </c>
      <c r="F195" s="130">
        <f t="shared" ref="F195:F258" si="25">K195/O195</f>
        <v>-0.63000629062696578</v>
      </c>
      <c r="G195" s="130">
        <f t="shared" ref="G195:G258" si="26">LN(N195)</f>
        <v>12.022858690667483</v>
      </c>
      <c r="H195" s="130">
        <f t="shared" ref="H195:H258" si="27">S195/N195</f>
        <v>1.7078453980951007</v>
      </c>
      <c r="I195" s="130" t="str">
        <f t="shared" ref="I195:I205" si="28">IF(A195=A196, (O195-O196)/O196, "")</f>
        <v/>
      </c>
      <c r="J195" s="130"/>
      <c r="K195" s="154">
        <v>-60090</v>
      </c>
      <c r="L195" s="130">
        <v>622</v>
      </c>
      <c r="M195" s="148">
        <v>36625</v>
      </c>
      <c r="N195" s="148">
        <v>166518</v>
      </c>
      <c r="O195" s="130">
        <v>95380</v>
      </c>
      <c r="P195" s="148">
        <v>-117964</v>
      </c>
      <c r="Q195" s="148">
        <v>72634</v>
      </c>
      <c r="R195" s="148">
        <v>211753</v>
      </c>
      <c r="S195" s="148">
        <f t="shared" si="24"/>
        <v>284387</v>
      </c>
      <c r="W195" s="147"/>
    </row>
    <row r="196" spans="1:25">
      <c r="A196" s="130" t="s">
        <v>36</v>
      </c>
      <c r="B196" s="130" t="s">
        <v>172</v>
      </c>
      <c r="C196" s="130" t="s">
        <v>202</v>
      </c>
      <c r="D196" s="130">
        <v>0</v>
      </c>
      <c r="E196" s="130">
        <v>15</v>
      </c>
      <c r="F196" s="130">
        <f t="shared" si="25"/>
        <v>-0.50859739894447775</v>
      </c>
      <c r="G196" s="130">
        <f t="shared" si="26"/>
        <v>12.128062454228429</v>
      </c>
      <c r="H196" s="130">
        <f t="shared" si="27"/>
        <v>2.1201301684946836</v>
      </c>
      <c r="I196" s="130" t="str">
        <f t="shared" si="28"/>
        <v/>
      </c>
      <c r="J196" s="130"/>
      <c r="K196" s="154">
        <v>-68711</v>
      </c>
      <c r="L196" s="130">
        <v>979</v>
      </c>
      <c r="M196" s="148">
        <v>269058</v>
      </c>
      <c r="N196" s="148">
        <v>184991</v>
      </c>
      <c r="O196" s="148">
        <v>135099</v>
      </c>
      <c r="P196" s="148">
        <v>-207215</v>
      </c>
      <c r="Q196" s="148">
        <v>14635</v>
      </c>
      <c r="R196" s="148">
        <v>377570</v>
      </c>
      <c r="S196" s="148">
        <f t="shared" si="24"/>
        <v>392205</v>
      </c>
      <c r="W196" s="147"/>
    </row>
    <row r="197" spans="1:25">
      <c r="A197" s="130" t="s">
        <v>37</v>
      </c>
      <c r="B197" s="130" t="s">
        <v>172</v>
      </c>
      <c r="C197" s="130" t="s">
        <v>202</v>
      </c>
      <c r="D197" s="130">
        <v>0</v>
      </c>
      <c r="E197" s="130">
        <v>10</v>
      </c>
      <c r="F197" s="130">
        <f t="shared" si="25"/>
        <v>4.1851437505896942E-3</v>
      </c>
      <c r="G197" s="130">
        <f t="shared" si="26"/>
        <v>12.049529940423525</v>
      </c>
      <c r="H197" s="130">
        <f t="shared" si="27"/>
        <v>0.50168109976084529</v>
      </c>
      <c r="I197" s="130" t="str">
        <f t="shared" si="28"/>
        <v/>
      </c>
      <c r="J197" s="130"/>
      <c r="K197" s="154">
        <v>621</v>
      </c>
      <c r="L197" s="130">
        <v>225</v>
      </c>
      <c r="M197" s="148">
        <v>573</v>
      </c>
      <c r="N197" s="148">
        <v>171019</v>
      </c>
      <c r="O197" s="148">
        <v>148382</v>
      </c>
      <c r="P197" s="148">
        <v>85222</v>
      </c>
      <c r="Q197" s="148">
        <v>1532</v>
      </c>
      <c r="R197" s="148">
        <v>84265</v>
      </c>
      <c r="S197" s="148">
        <f t="shared" si="24"/>
        <v>85797</v>
      </c>
      <c r="W197" s="147"/>
    </row>
    <row r="198" spans="1:25">
      <c r="A198" s="130" t="s">
        <v>44</v>
      </c>
      <c r="B198" s="130" t="s">
        <v>172</v>
      </c>
      <c r="C198" s="130" t="s">
        <v>202</v>
      </c>
      <c r="D198" s="130">
        <v>0</v>
      </c>
      <c r="E198" s="130">
        <v>4</v>
      </c>
      <c r="F198" s="130">
        <f t="shared" si="25"/>
        <v>7.9707271835330329E-2</v>
      </c>
      <c r="G198" s="130">
        <f t="shared" si="26"/>
        <v>13.779921721555001</v>
      </c>
      <c r="H198" s="130">
        <f t="shared" si="27"/>
        <v>0.41948236181617909</v>
      </c>
      <c r="I198" s="130" t="str">
        <f t="shared" si="28"/>
        <v/>
      </c>
      <c r="J198" s="130"/>
      <c r="K198" s="154">
        <v>35583</v>
      </c>
      <c r="L198" s="130">
        <v>808</v>
      </c>
      <c r="M198" s="148">
        <v>51039</v>
      </c>
      <c r="N198" s="148">
        <v>965037</v>
      </c>
      <c r="O198" s="148">
        <v>446421</v>
      </c>
      <c r="P198" s="148">
        <v>560221</v>
      </c>
      <c r="Q198" s="148">
        <v>44961</v>
      </c>
      <c r="R198" s="148">
        <v>359855</v>
      </c>
      <c r="S198" s="148">
        <f t="shared" si="24"/>
        <v>404816</v>
      </c>
      <c r="W198" s="147"/>
    </row>
    <row r="199" spans="1:25">
      <c r="A199" s="130" t="s">
        <v>47</v>
      </c>
      <c r="B199" s="130" t="s">
        <v>172</v>
      </c>
      <c r="C199" s="130" t="s">
        <v>202</v>
      </c>
      <c r="D199" s="130">
        <v>0</v>
      </c>
      <c r="E199" s="130">
        <v>14</v>
      </c>
      <c r="F199" s="130">
        <f t="shared" si="25"/>
        <v>-0.42668970895066283</v>
      </c>
      <c r="G199" s="130">
        <f t="shared" si="26"/>
        <v>12.037056182115251</v>
      </c>
      <c r="H199" s="130">
        <f t="shared" si="27"/>
        <v>0.60683603810561337</v>
      </c>
      <c r="I199" s="130" t="str">
        <f t="shared" si="28"/>
        <v/>
      </c>
      <c r="J199" s="130"/>
      <c r="K199" s="154">
        <v>-60738</v>
      </c>
      <c r="L199" s="130">
        <v>279</v>
      </c>
      <c r="M199" s="148">
        <v>37437</v>
      </c>
      <c r="N199" s="148">
        <v>168899</v>
      </c>
      <c r="O199" s="148">
        <v>142347</v>
      </c>
      <c r="P199" s="148">
        <v>-6966</v>
      </c>
      <c r="Q199" s="148">
        <v>15947</v>
      </c>
      <c r="R199" s="148">
        <v>86547</v>
      </c>
      <c r="S199" s="148">
        <f t="shared" si="24"/>
        <v>102494</v>
      </c>
      <c r="W199" s="147"/>
    </row>
    <row r="200" spans="1:25">
      <c r="A200" s="130" t="s">
        <v>57</v>
      </c>
      <c r="B200" s="130" t="s">
        <v>172</v>
      </c>
      <c r="C200" s="130" t="s">
        <v>202</v>
      </c>
      <c r="D200" s="130">
        <v>0</v>
      </c>
      <c r="E200" s="130">
        <v>12</v>
      </c>
      <c r="F200" s="130">
        <f t="shared" si="25"/>
        <v>-0.75246090777425922</v>
      </c>
      <c r="G200" s="130">
        <f t="shared" si="26"/>
        <v>12.926409318879077</v>
      </c>
      <c r="H200" s="130">
        <f t="shared" si="27"/>
        <v>0.81089714737546381</v>
      </c>
      <c r="I200" s="130" t="str">
        <f t="shared" si="28"/>
        <v/>
      </c>
      <c r="J200" s="130"/>
      <c r="K200" s="154">
        <v>-153265</v>
      </c>
      <c r="L200" s="130">
        <v>452</v>
      </c>
      <c r="M200" s="148">
        <v>64330</v>
      </c>
      <c r="N200" s="148">
        <v>411025</v>
      </c>
      <c r="O200" s="148">
        <v>203685</v>
      </c>
      <c r="P200" s="148">
        <v>77726</v>
      </c>
      <c r="Q200" s="148">
        <v>59039</v>
      </c>
      <c r="R200" s="148">
        <v>274260</v>
      </c>
      <c r="S200" s="148">
        <f t="shared" si="24"/>
        <v>333299</v>
      </c>
      <c r="W200" s="147"/>
    </row>
    <row r="201" spans="1:25">
      <c r="A201" s="130" t="s">
        <v>87</v>
      </c>
      <c r="B201" s="130" t="s">
        <v>172</v>
      </c>
      <c r="C201" s="130" t="s">
        <v>202</v>
      </c>
      <c r="D201" s="130">
        <v>0</v>
      </c>
      <c r="E201" s="130">
        <v>5</v>
      </c>
      <c r="F201" s="130">
        <f t="shared" si="25"/>
        <v>-0.15709969788519637</v>
      </c>
      <c r="G201" s="130">
        <f t="shared" si="26"/>
        <v>11.234771191873529</v>
      </c>
      <c r="H201" s="130">
        <f t="shared" si="27"/>
        <v>0.36202752317810827</v>
      </c>
      <c r="I201" s="130" t="str">
        <f t="shared" si="28"/>
        <v/>
      </c>
      <c r="J201" s="130"/>
      <c r="K201" s="154">
        <v>-2704</v>
      </c>
      <c r="L201" s="130">
        <v>178</v>
      </c>
      <c r="M201" s="148">
        <v>1327</v>
      </c>
      <c r="N201" s="148">
        <v>75718</v>
      </c>
      <c r="O201" s="148">
        <v>17212</v>
      </c>
      <c r="P201" s="148">
        <v>41817</v>
      </c>
      <c r="Q201" s="148">
        <v>13802</v>
      </c>
      <c r="R201" s="148">
        <v>13610</v>
      </c>
      <c r="S201" s="148">
        <f t="shared" si="24"/>
        <v>27412</v>
      </c>
      <c r="W201" s="147"/>
    </row>
    <row r="202" spans="1:25">
      <c r="A202" s="130" t="s">
        <v>90</v>
      </c>
      <c r="B202" s="130" t="s">
        <v>172</v>
      </c>
      <c r="C202" s="130" t="s">
        <v>202</v>
      </c>
      <c r="D202" s="130">
        <v>0</v>
      </c>
      <c r="E202" s="130">
        <v>1</v>
      </c>
      <c r="F202" s="130">
        <f t="shared" si="25"/>
        <v>-8.0537667928997136E-2</v>
      </c>
      <c r="G202" s="130">
        <f t="shared" si="26"/>
        <v>13.627821019301024</v>
      </c>
      <c r="H202" s="130">
        <f t="shared" si="27"/>
        <v>0.80720424866565643</v>
      </c>
      <c r="I202" s="130" t="str">
        <f t="shared" si="28"/>
        <v/>
      </c>
      <c r="J202" s="130"/>
      <c r="K202" s="154">
        <v>-43661</v>
      </c>
      <c r="L202" s="130">
        <v>880</v>
      </c>
      <c r="M202" s="148">
        <v>79017</v>
      </c>
      <c r="N202" s="148">
        <v>828872</v>
      </c>
      <c r="O202" s="148">
        <v>542119</v>
      </c>
      <c r="P202" s="148">
        <v>231047</v>
      </c>
      <c r="Q202" s="148">
        <v>249593</v>
      </c>
      <c r="R202" s="148">
        <v>419476</v>
      </c>
      <c r="S202" s="148">
        <f t="shared" si="24"/>
        <v>669069</v>
      </c>
      <c r="W202" s="147"/>
    </row>
    <row r="203" spans="1:25">
      <c r="A203" s="130" t="s">
        <v>94</v>
      </c>
      <c r="B203" s="130" t="s">
        <v>172</v>
      </c>
      <c r="C203" s="130" t="s">
        <v>202</v>
      </c>
      <c r="D203" s="130">
        <v>0</v>
      </c>
      <c r="E203" s="130">
        <v>2</v>
      </c>
      <c r="F203" s="130">
        <f t="shared" si="25"/>
        <v>-0.26342970082453537</v>
      </c>
      <c r="G203" s="130">
        <f t="shared" si="26"/>
        <v>14.001924562591755</v>
      </c>
      <c r="H203" s="130">
        <f t="shared" si="27"/>
        <v>0.4405492144298257</v>
      </c>
      <c r="I203" s="130" t="str">
        <f t="shared" si="28"/>
        <v/>
      </c>
      <c r="J203" s="130"/>
      <c r="K203" s="154">
        <v>-138083</v>
      </c>
      <c r="L203" s="130">
        <v>477</v>
      </c>
      <c r="M203" s="148">
        <v>33643</v>
      </c>
      <c r="N203" s="148">
        <v>1204921</v>
      </c>
      <c r="O203" s="148">
        <v>524174</v>
      </c>
      <c r="P203" s="148">
        <v>691114</v>
      </c>
      <c r="Q203" s="148">
        <v>94331</v>
      </c>
      <c r="R203" s="148">
        <v>436496</v>
      </c>
      <c r="S203" s="148">
        <f t="shared" si="24"/>
        <v>530827</v>
      </c>
      <c r="W203" s="147"/>
    </row>
    <row r="204" spans="1:25">
      <c r="A204" s="130" t="s">
        <v>95</v>
      </c>
      <c r="B204" s="130" t="s">
        <v>172</v>
      </c>
      <c r="C204" s="130" t="s">
        <v>202</v>
      </c>
      <c r="D204" s="130">
        <v>0</v>
      </c>
      <c r="E204" s="130">
        <v>3</v>
      </c>
      <c r="F204" s="130">
        <f t="shared" si="25"/>
        <v>-4.5640423453060713E-2</v>
      </c>
      <c r="G204" s="130">
        <f t="shared" si="26"/>
        <v>14.231565396426568</v>
      </c>
      <c r="H204" s="130">
        <f t="shared" si="27"/>
        <v>0.61190763135657789</v>
      </c>
      <c r="I204" s="130" t="str">
        <f t="shared" si="28"/>
        <v/>
      </c>
      <c r="J204" s="130"/>
      <c r="K204" s="154">
        <v>-25458</v>
      </c>
      <c r="L204" s="130">
        <v>992</v>
      </c>
      <c r="M204" s="148">
        <v>0</v>
      </c>
      <c r="N204" s="148">
        <v>1515969</v>
      </c>
      <c r="O204" s="148">
        <v>557795</v>
      </c>
      <c r="P204" s="148">
        <v>384872</v>
      </c>
      <c r="Q204" s="148">
        <v>694602</v>
      </c>
      <c r="R204" s="148">
        <v>233031</v>
      </c>
      <c r="S204" s="148">
        <f t="shared" si="24"/>
        <v>927633</v>
      </c>
      <c r="W204" s="147"/>
    </row>
    <row r="205" spans="1:25">
      <c r="A205" s="130" t="s">
        <v>102</v>
      </c>
      <c r="B205" s="130" t="s">
        <v>172</v>
      </c>
      <c r="C205" s="130" t="s">
        <v>202</v>
      </c>
      <c r="D205" s="130">
        <v>0</v>
      </c>
      <c r="E205" s="130">
        <v>13</v>
      </c>
      <c r="F205" s="130">
        <f t="shared" si="25"/>
        <v>-0.14772754130131643</v>
      </c>
      <c r="G205" s="130">
        <f t="shared" si="26"/>
        <v>12.472551510330852</v>
      </c>
      <c r="H205" s="130">
        <f t="shared" si="27"/>
        <v>0.45955521848378994</v>
      </c>
      <c r="I205" s="130" t="str">
        <f t="shared" si="28"/>
        <v/>
      </c>
      <c r="J205" s="130"/>
      <c r="K205" s="154">
        <v>-25002</v>
      </c>
      <c r="L205" s="130">
        <v>292</v>
      </c>
      <c r="M205" s="148">
        <v>125233</v>
      </c>
      <c r="N205" s="148">
        <v>261072</v>
      </c>
      <c r="O205" s="148">
        <v>169244</v>
      </c>
      <c r="P205" s="148">
        <v>12199</v>
      </c>
      <c r="Q205" s="148">
        <v>15843</v>
      </c>
      <c r="R205" s="148">
        <v>104134</v>
      </c>
      <c r="S205" s="148">
        <f t="shared" si="24"/>
        <v>119977</v>
      </c>
      <c r="W205" s="147"/>
    </row>
    <row r="206" spans="1:25">
      <c r="A206" s="130" t="s">
        <v>104</v>
      </c>
      <c r="B206" s="130" t="s">
        <v>172</v>
      </c>
      <c r="C206" s="130" t="s">
        <v>202</v>
      </c>
      <c r="D206" s="130">
        <v>0</v>
      </c>
      <c r="E206" s="130">
        <v>20</v>
      </c>
      <c r="F206" s="130">
        <f t="shared" si="25"/>
        <v>1.6471850514178637E-2</v>
      </c>
      <c r="G206" s="130">
        <f t="shared" si="26"/>
        <v>11.750878807937918</v>
      </c>
      <c r="H206" s="130">
        <f t="shared" si="27"/>
        <v>1.8442596460804792</v>
      </c>
      <c r="I206" s="130">
        <v>0.11452765450000001</v>
      </c>
      <c r="J206" s="130"/>
      <c r="K206" s="154">
        <v>2180</v>
      </c>
      <c r="L206" s="130">
        <v>327</v>
      </c>
      <c r="M206" s="148">
        <v>12187</v>
      </c>
      <c r="N206" s="148">
        <v>126865</v>
      </c>
      <c r="O206" s="148">
        <v>132347</v>
      </c>
      <c r="P206" s="148">
        <v>5368</v>
      </c>
      <c r="Q206" s="148">
        <v>17363</v>
      </c>
      <c r="R206" s="148">
        <v>216609</v>
      </c>
      <c r="S206" s="148">
        <f t="shared" si="24"/>
        <v>233972</v>
      </c>
    </row>
    <row r="207" spans="1:25">
      <c r="A207" s="130" t="s">
        <v>129</v>
      </c>
      <c r="B207" s="130" t="s">
        <v>172</v>
      </c>
      <c r="C207" s="130" t="s">
        <v>202</v>
      </c>
      <c r="D207" s="130">
        <v>0</v>
      </c>
      <c r="E207" s="130">
        <v>11</v>
      </c>
      <c r="F207" s="130">
        <f t="shared" si="25"/>
        <v>-0.49050477647262547</v>
      </c>
      <c r="G207" s="130">
        <f t="shared" si="26"/>
        <v>12.48410581669433</v>
      </c>
      <c r="H207" s="130">
        <f t="shared" si="27"/>
        <v>1.4455445919441436</v>
      </c>
      <c r="I207" s="130" t="str">
        <f t="shared" ref="I207:I219" si="29">IF(A207=A208, (O207-O208)/O208, "")</f>
        <v/>
      </c>
      <c r="J207" s="130"/>
      <c r="K207" s="154">
        <v>-67982</v>
      </c>
      <c r="L207" s="130">
        <v>431</v>
      </c>
      <c r="M207" s="148">
        <v>106340</v>
      </c>
      <c r="N207" s="148">
        <v>264106</v>
      </c>
      <c r="O207" s="148">
        <v>138596</v>
      </c>
      <c r="P207" s="148">
        <v>13953</v>
      </c>
      <c r="Q207" s="148">
        <v>33545</v>
      </c>
      <c r="R207" s="148">
        <v>348232</v>
      </c>
      <c r="S207" s="148">
        <f t="shared" si="24"/>
        <v>381777</v>
      </c>
    </row>
    <row r="208" spans="1:25">
      <c r="A208" s="130" t="s">
        <v>140</v>
      </c>
      <c r="B208" s="130" t="s">
        <v>172</v>
      </c>
      <c r="C208" s="130" t="s">
        <v>202</v>
      </c>
      <c r="D208" s="130">
        <v>0</v>
      </c>
      <c r="E208" s="130">
        <v>6</v>
      </c>
      <c r="F208" s="130">
        <f t="shared" si="25"/>
        <v>-0.1631093194346438</v>
      </c>
      <c r="G208" s="130">
        <f t="shared" si="26"/>
        <v>14.534530629921203</v>
      </c>
      <c r="H208" s="130">
        <f t="shared" si="27"/>
        <v>0.81857815721043592</v>
      </c>
      <c r="I208" s="130" t="str">
        <f t="shared" si="29"/>
        <v/>
      </c>
      <c r="J208" s="130"/>
      <c r="K208" s="154">
        <v>-70038</v>
      </c>
      <c r="L208" s="130">
        <v>647</v>
      </c>
      <c r="M208" s="148">
        <v>193252</v>
      </c>
      <c r="N208" s="148">
        <v>2052421</v>
      </c>
      <c r="O208" s="148">
        <v>429393</v>
      </c>
      <c r="P208" s="148">
        <v>372354</v>
      </c>
      <c r="Q208" s="148">
        <v>1075416</v>
      </c>
      <c r="R208" s="148">
        <v>604651</v>
      </c>
      <c r="S208" s="148">
        <f t="shared" si="24"/>
        <v>1680067</v>
      </c>
    </row>
    <row r="209" spans="1:19">
      <c r="A209" s="130" t="s">
        <v>148</v>
      </c>
      <c r="B209" s="130" t="s">
        <v>172</v>
      </c>
      <c r="C209" s="130" t="s">
        <v>202</v>
      </c>
      <c r="D209" s="130">
        <v>0</v>
      </c>
      <c r="E209" s="130">
        <v>19</v>
      </c>
      <c r="F209" s="130">
        <f t="shared" si="25"/>
        <v>-0.26332362314321134</v>
      </c>
      <c r="G209" s="130">
        <f t="shared" si="26"/>
        <v>12.488737151020157</v>
      </c>
      <c r="H209" s="130">
        <f t="shared" si="27"/>
        <v>0.96157644008261345</v>
      </c>
      <c r="I209" s="130" t="str">
        <f t="shared" si="29"/>
        <v/>
      </c>
      <c r="J209" s="130"/>
      <c r="K209" s="154">
        <v>-34621</v>
      </c>
      <c r="L209" s="130">
        <v>328</v>
      </c>
      <c r="M209" s="148">
        <v>24296</v>
      </c>
      <c r="N209" s="148">
        <v>265332</v>
      </c>
      <c r="O209" s="148">
        <v>131477</v>
      </c>
      <c r="P209" s="148">
        <v>10195</v>
      </c>
      <c r="Q209" s="148">
        <v>133327</v>
      </c>
      <c r="R209" s="148">
        <v>121810</v>
      </c>
      <c r="S209" s="148">
        <f t="shared" si="24"/>
        <v>255137</v>
      </c>
    </row>
    <row r="210" spans="1:19">
      <c r="A210" s="130" t="s">
        <v>150</v>
      </c>
      <c r="B210" s="130" t="s">
        <v>172</v>
      </c>
      <c r="C210" s="130" t="s">
        <v>202</v>
      </c>
      <c r="D210" s="130">
        <v>0</v>
      </c>
      <c r="E210" s="130">
        <v>16</v>
      </c>
      <c r="F210" s="130">
        <f t="shared" si="25"/>
        <v>-0.46705560263346585</v>
      </c>
      <c r="G210" s="130">
        <f t="shared" si="26"/>
        <v>12.418345322420965</v>
      </c>
      <c r="H210" s="130">
        <f t="shared" si="27"/>
        <v>1.6392030635228085</v>
      </c>
      <c r="I210" s="130" t="str">
        <f t="shared" si="29"/>
        <v/>
      </c>
      <c r="J210" s="130"/>
      <c r="K210" s="154">
        <v>-71651</v>
      </c>
      <c r="L210" s="130">
        <v>582</v>
      </c>
      <c r="M210" s="148">
        <v>146844</v>
      </c>
      <c r="N210" s="148">
        <v>247297</v>
      </c>
      <c r="O210" s="148">
        <v>153410</v>
      </c>
      <c r="P210" s="148">
        <v>-158073</v>
      </c>
      <c r="Q210" s="148">
        <v>119329</v>
      </c>
      <c r="R210" s="148">
        <v>286041</v>
      </c>
      <c r="S210" s="148">
        <f t="shared" si="24"/>
        <v>405370</v>
      </c>
    </row>
    <row r="211" spans="1:19">
      <c r="A211" s="130" t="s">
        <v>151</v>
      </c>
      <c r="B211" s="130" t="s">
        <v>172</v>
      </c>
      <c r="C211" s="130" t="s">
        <v>202</v>
      </c>
      <c r="D211" s="130">
        <v>1</v>
      </c>
      <c r="E211" s="130">
        <v>7</v>
      </c>
      <c r="F211" s="130">
        <f t="shared" si="25"/>
        <v>-0.27653383848019841</v>
      </c>
      <c r="G211" s="130">
        <f t="shared" si="26"/>
        <v>12.644456600395447</v>
      </c>
      <c r="H211" s="130">
        <f t="shared" si="27"/>
        <v>1.2762933814991615</v>
      </c>
      <c r="I211" s="130" t="str">
        <f t="shared" si="29"/>
        <v/>
      </c>
      <c r="J211" s="130"/>
      <c r="K211" s="154">
        <v>-40583</v>
      </c>
      <c r="L211" s="130">
        <v>380</v>
      </c>
      <c r="M211" s="148">
        <v>178425</v>
      </c>
      <c r="N211" s="148">
        <v>310040</v>
      </c>
      <c r="O211" s="148">
        <v>146756</v>
      </c>
      <c r="P211" s="148">
        <v>-85662</v>
      </c>
      <c r="Q211" s="148">
        <v>80459</v>
      </c>
      <c r="R211" s="148">
        <v>315243</v>
      </c>
      <c r="S211" s="148">
        <f t="shared" si="24"/>
        <v>395702</v>
      </c>
    </row>
    <row r="212" spans="1:19">
      <c r="A212" s="132" t="s">
        <v>3</v>
      </c>
      <c r="B212" s="132" t="s">
        <v>198</v>
      </c>
      <c r="C212" s="132" t="s">
        <v>202</v>
      </c>
      <c r="D212" s="132">
        <v>0</v>
      </c>
      <c r="E212" s="132">
        <v>6</v>
      </c>
      <c r="F212" s="132">
        <f t="shared" si="25"/>
        <v>-1.0303739431064332</v>
      </c>
      <c r="G212" s="132">
        <f t="shared" si="26"/>
        <v>12.849472704182654</v>
      </c>
      <c r="H212" s="132">
        <f t="shared" si="27"/>
        <v>0.9103387390038572</v>
      </c>
      <c r="I212" s="132" t="str">
        <f t="shared" si="29"/>
        <v/>
      </c>
      <c r="J212" s="132"/>
      <c r="K212" s="155">
        <v>-194616</v>
      </c>
      <c r="L212" s="132">
        <v>407</v>
      </c>
      <c r="M212" s="156">
        <v>96517</v>
      </c>
      <c r="N212" s="156">
        <v>380588</v>
      </c>
      <c r="O212" s="156">
        <v>188879</v>
      </c>
      <c r="P212" s="156">
        <v>34124</v>
      </c>
      <c r="Q212" s="156">
        <v>45702</v>
      </c>
      <c r="R212" s="156">
        <v>300762</v>
      </c>
      <c r="S212" s="156">
        <f t="shared" si="24"/>
        <v>346464</v>
      </c>
    </row>
    <row r="213" spans="1:19">
      <c r="A213" s="132" t="s">
        <v>25</v>
      </c>
      <c r="B213" s="132" t="s">
        <v>198</v>
      </c>
      <c r="C213" s="132" t="s">
        <v>202</v>
      </c>
      <c r="D213" s="132">
        <v>0</v>
      </c>
      <c r="E213" s="132">
        <v>3</v>
      </c>
      <c r="F213" s="132">
        <f t="shared" si="25"/>
        <v>0.21855340692173625</v>
      </c>
      <c r="G213" s="132">
        <f t="shared" si="26"/>
        <v>12.694646525360701</v>
      </c>
      <c r="H213" s="132">
        <f t="shared" si="27"/>
        <v>0.5985220768225572</v>
      </c>
      <c r="I213" s="132" t="str">
        <f t="shared" si="29"/>
        <v/>
      </c>
      <c r="J213" s="132"/>
      <c r="K213" s="155">
        <v>52667</v>
      </c>
      <c r="L213" s="132">
        <v>175</v>
      </c>
      <c r="M213" s="156">
        <v>830</v>
      </c>
      <c r="N213" s="156">
        <v>325998</v>
      </c>
      <c r="O213" s="156">
        <v>240980</v>
      </c>
      <c r="P213" s="156">
        <v>130882</v>
      </c>
      <c r="Q213" s="156">
        <v>76340</v>
      </c>
      <c r="R213" s="156">
        <v>118777</v>
      </c>
      <c r="S213" s="156">
        <f t="shared" si="24"/>
        <v>195117</v>
      </c>
    </row>
    <row r="214" spans="1:19">
      <c r="A214" s="132" t="s">
        <v>32</v>
      </c>
      <c r="B214" s="132" t="s">
        <v>198</v>
      </c>
      <c r="C214" s="132" t="s">
        <v>202</v>
      </c>
      <c r="D214" s="132">
        <v>0</v>
      </c>
      <c r="E214" s="132">
        <v>12</v>
      </c>
      <c r="F214" s="132">
        <f t="shared" si="25"/>
        <v>-0.54892972732702694</v>
      </c>
      <c r="G214" s="132">
        <f t="shared" si="26"/>
        <v>11.830629824470885</v>
      </c>
      <c r="H214" s="132">
        <f t="shared" si="27"/>
        <v>0.78142171954263917</v>
      </c>
      <c r="I214" s="132" t="str">
        <f t="shared" si="29"/>
        <v/>
      </c>
      <c r="J214" s="132"/>
      <c r="K214" s="155">
        <v>-39518</v>
      </c>
      <c r="L214" s="132">
        <v>198</v>
      </c>
      <c r="M214" s="156">
        <v>8416</v>
      </c>
      <c r="N214" s="156">
        <v>137397</v>
      </c>
      <c r="O214" s="156">
        <v>71991</v>
      </c>
      <c r="P214" s="156">
        <v>30032</v>
      </c>
      <c r="Q214" s="156">
        <v>25010</v>
      </c>
      <c r="R214" s="156">
        <v>82355</v>
      </c>
      <c r="S214" s="156">
        <f t="shared" si="24"/>
        <v>107365</v>
      </c>
    </row>
    <row r="215" spans="1:19">
      <c r="A215" s="132" t="s">
        <v>59</v>
      </c>
      <c r="B215" s="132" t="s">
        <v>198</v>
      </c>
      <c r="C215" s="132" t="s">
        <v>202</v>
      </c>
      <c r="D215" s="132">
        <v>0</v>
      </c>
      <c r="E215" s="132">
        <v>10</v>
      </c>
      <c r="F215" s="132">
        <f t="shared" si="25"/>
        <v>-0.85904822261911618</v>
      </c>
      <c r="G215" s="132">
        <f t="shared" si="26"/>
        <v>12.383812890790518</v>
      </c>
      <c r="H215" s="132">
        <f t="shared" si="27"/>
        <v>0.63359187620080115</v>
      </c>
      <c r="I215" s="132" t="str">
        <f t="shared" si="29"/>
        <v/>
      </c>
      <c r="J215" s="132"/>
      <c r="K215" s="155">
        <v>-29821</v>
      </c>
      <c r="L215" s="132">
        <v>282</v>
      </c>
      <c r="M215" s="156">
        <v>0</v>
      </c>
      <c r="N215" s="156">
        <v>238903</v>
      </c>
      <c r="O215" s="156">
        <v>34714</v>
      </c>
      <c r="P215" s="156">
        <v>87536</v>
      </c>
      <c r="Q215" s="156">
        <v>49246</v>
      </c>
      <c r="R215" s="156">
        <v>102121</v>
      </c>
      <c r="S215" s="156">
        <f t="shared" si="24"/>
        <v>151367</v>
      </c>
    </row>
    <row r="216" spans="1:19">
      <c r="A216" s="132" t="s">
        <v>65</v>
      </c>
      <c r="B216" s="132" t="s">
        <v>198</v>
      </c>
      <c r="C216" s="132" t="s">
        <v>202</v>
      </c>
      <c r="D216" s="132">
        <v>0</v>
      </c>
      <c r="E216" s="132">
        <v>17</v>
      </c>
      <c r="F216" s="132">
        <f t="shared" si="25"/>
        <v>-0.51364181030509726</v>
      </c>
      <c r="G216" s="132">
        <f t="shared" si="26"/>
        <v>12.54809019274273</v>
      </c>
      <c r="H216" s="132">
        <f t="shared" si="27"/>
        <v>0.94889489517220316</v>
      </c>
      <c r="I216" s="132" t="str">
        <f t="shared" si="29"/>
        <v/>
      </c>
      <c r="J216" s="132"/>
      <c r="K216" s="155">
        <v>-33435</v>
      </c>
      <c r="L216" s="132">
        <v>195</v>
      </c>
      <c r="M216" s="156">
        <v>23868</v>
      </c>
      <c r="N216" s="156">
        <v>281557</v>
      </c>
      <c r="O216" s="156">
        <v>65094</v>
      </c>
      <c r="P216" s="156">
        <v>14389</v>
      </c>
      <c r="Q216" s="156">
        <v>136346</v>
      </c>
      <c r="R216" s="156">
        <v>130822</v>
      </c>
      <c r="S216" s="156">
        <f t="shared" si="24"/>
        <v>267168</v>
      </c>
    </row>
    <row r="217" spans="1:19">
      <c r="A217" s="132" t="s">
        <v>75</v>
      </c>
      <c r="B217" s="132" t="s">
        <v>198</v>
      </c>
      <c r="C217" s="132" t="s">
        <v>202</v>
      </c>
      <c r="D217" s="132">
        <v>0</v>
      </c>
      <c r="E217" s="132">
        <v>2</v>
      </c>
      <c r="F217" s="132">
        <f t="shared" si="25"/>
        <v>-0.2749791873674034</v>
      </c>
      <c r="G217" s="132">
        <f t="shared" si="26"/>
        <v>13.726924123040057</v>
      </c>
      <c r="H217" s="132">
        <f t="shared" si="27"/>
        <v>1.0403704448309923</v>
      </c>
      <c r="I217" s="132" t="str">
        <f t="shared" si="29"/>
        <v/>
      </c>
      <c r="J217" s="132"/>
      <c r="K217" s="155">
        <v>-102394</v>
      </c>
      <c r="L217" s="132">
        <v>483</v>
      </c>
      <c r="M217" s="156">
        <v>32278</v>
      </c>
      <c r="N217" s="156">
        <v>915224</v>
      </c>
      <c r="O217" s="156">
        <v>372370</v>
      </c>
      <c r="P217" s="156">
        <v>-36949</v>
      </c>
      <c r="Q217" s="156">
        <v>594912</v>
      </c>
      <c r="R217" s="156">
        <v>357260</v>
      </c>
      <c r="S217" s="156">
        <f t="shared" si="24"/>
        <v>952172</v>
      </c>
    </row>
    <row r="218" spans="1:19">
      <c r="A218" s="132" t="s">
        <v>77</v>
      </c>
      <c r="B218" s="132" t="s">
        <v>198</v>
      </c>
      <c r="C218" s="132" t="s">
        <v>202</v>
      </c>
      <c r="D218" s="132">
        <v>0</v>
      </c>
      <c r="E218" s="132">
        <v>1</v>
      </c>
      <c r="F218" s="132">
        <f t="shared" si="25"/>
        <v>-0.15639736041742236</v>
      </c>
      <c r="G218" s="132">
        <f t="shared" si="26"/>
        <v>13.978374028101106</v>
      </c>
      <c r="H218" s="132">
        <f t="shared" si="27"/>
        <v>0.79674579140028345</v>
      </c>
      <c r="I218" s="132" t="str">
        <f t="shared" si="29"/>
        <v/>
      </c>
      <c r="J218" s="132"/>
      <c r="K218" s="155">
        <v>-89682</v>
      </c>
      <c r="L218" s="132">
        <v>270</v>
      </c>
      <c r="M218" s="156">
        <v>127598</v>
      </c>
      <c r="N218" s="156">
        <v>1176876</v>
      </c>
      <c r="O218" s="156">
        <v>573424</v>
      </c>
      <c r="P218" s="156">
        <v>239205</v>
      </c>
      <c r="Q218" s="156">
        <v>502738</v>
      </c>
      <c r="R218" s="156">
        <v>434933</v>
      </c>
      <c r="S218" s="156">
        <f t="shared" si="24"/>
        <v>937671</v>
      </c>
    </row>
    <row r="219" spans="1:19">
      <c r="A219" s="132" t="s">
        <v>83</v>
      </c>
      <c r="B219" s="132" t="s">
        <v>198</v>
      </c>
      <c r="C219" s="132" t="s">
        <v>202</v>
      </c>
      <c r="D219" s="132">
        <v>0</v>
      </c>
      <c r="E219" s="132">
        <v>4</v>
      </c>
      <c r="F219" s="132">
        <f t="shared" si="25"/>
        <v>-0.14940852069001215</v>
      </c>
      <c r="G219" s="132">
        <f t="shared" si="26"/>
        <v>12.573129510342019</v>
      </c>
      <c r="H219" s="132">
        <f t="shared" si="27"/>
        <v>0.90662842574888469</v>
      </c>
      <c r="I219" s="132" t="str">
        <f t="shared" si="29"/>
        <v/>
      </c>
      <c r="J219" s="132"/>
      <c r="K219" s="155">
        <v>-15876</v>
      </c>
      <c r="L219" s="132">
        <v>245</v>
      </c>
      <c r="M219" s="156">
        <v>36535</v>
      </c>
      <c r="N219" s="156">
        <v>288696</v>
      </c>
      <c r="O219" s="156">
        <v>106259</v>
      </c>
      <c r="P219" s="156">
        <v>26956</v>
      </c>
      <c r="Q219" s="156">
        <v>99204</v>
      </c>
      <c r="R219" s="156">
        <v>162536</v>
      </c>
      <c r="S219" s="156">
        <f t="shared" si="24"/>
        <v>261740</v>
      </c>
    </row>
    <row r="220" spans="1:19">
      <c r="A220" s="132" t="s">
        <v>84</v>
      </c>
      <c r="B220" s="132" t="s">
        <v>198</v>
      </c>
      <c r="C220" s="132" t="s">
        <v>202</v>
      </c>
      <c r="D220" s="132">
        <v>0</v>
      </c>
      <c r="E220" s="132">
        <v>18</v>
      </c>
      <c r="F220" s="132">
        <f t="shared" si="25"/>
        <v>-2.7746975806451614E-2</v>
      </c>
      <c r="G220" s="132">
        <f t="shared" si="26"/>
        <v>12.606407952008809</v>
      </c>
      <c r="H220" s="132">
        <f t="shared" si="27"/>
        <v>0.60782001239676342</v>
      </c>
      <c r="I220" s="132">
        <v>0.34225457240000001</v>
      </c>
      <c r="J220" s="132"/>
      <c r="K220" s="155">
        <v>-1101</v>
      </c>
      <c r="L220" s="132">
        <v>154</v>
      </c>
      <c r="M220" s="156">
        <v>4535</v>
      </c>
      <c r="N220" s="156">
        <v>298465</v>
      </c>
      <c r="O220" s="156">
        <v>39680</v>
      </c>
      <c r="P220" s="156">
        <f>N220-S220</f>
        <v>117052</v>
      </c>
      <c r="Q220" s="156">
        <v>78979</v>
      </c>
      <c r="R220" s="156">
        <v>102434</v>
      </c>
      <c r="S220" s="156">
        <f t="shared" si="24"/>
        <v>181413</v>
      </c>
    </row>
    <row r="221" spans="1:19">
      <c r="A221" s="132" t="s">
        <v>101</v>
      </c>
      <c r="B221" s="132" t="s">
        <v>198</v>
      </c>
      <c r="C221" s="132" t="s">
        <v>202</v>
      </c>
      <c r="D221" s="132">
        <v>0</v>
      </c>
      <c r="E221" s="132">
        <v>7</v>
      </c>
      <c r="F221" s="132">
        <f t="shared" si="25"/>
        <v>-6.9764363251257608E-2</v>
      </c>
      <c r="G221" s="132">
        <f t="shared" si="26"/>
        <v>12.987482503210433</v>
      </c>
      <c r="H221" s="132">
        <f t="shared" si="27"/>
        <v>0.71057883774690445</v>
      </c>
      <c r="I221" s="132" t="str">
        <f t="shared" ref="I221:I231" si="30">IF(A221=A222, (O221-O222)/O222, "")</f>
        <v/>
      </c>
      <c r="J221" s="132"/>
      <c r="K221" s="155">
        <v>-18972</v>
      </c>
      <c r="L221" s="132">
        <v>112</v>
      </c>
      <c r="M221" s="156">
        <v>0</v>
      </c>
      <c r="N221" s="156">
        <v>436910</v>
      </c>
      <c r="O221" s="156">
        <v>271944</v>
      </c>
      <c r="P221" s="156">
        <v>126451</v>
      </c>
      <c r="Q221" s="156">
        <v>106054</v>
      </c>
      <c r="R221" s="156">
        <v>204405</v>
      </c>
      <c r="S221" s="156">
        <f t="shared" si="24"/>
        <v>310459</v>
      </c>
    </row>
    <row r="222" spans="1:19">
      <c r="A222" s="132" t="s">
        <v>121</v>
      </c>
      <c r="B222" s="132" t="s">
        <v>198</v>
      </c>
      <c r="C222" s="132" t="s">
        <v>202</v>
      </c>
      <c r="D222" s="132">
        <v>0</v>
      </c>
      <c r="E222" s="132">
        <v>5</v>
      </c>
      <c r="F222" s="132">
        <f t="shared" si="25"/>
        <v>-1.1738497563445351</v>
      </c>
      <c r="G222" s="132">
        <f t="shared" si="26"/>
        <v>13.051874387289839</v>
      </c>
      <c r="H222" s="132">
        <f t="shared" si="27"/>
        <v>1.5203135830924375</v>
      </c>
      <c r="I222" s="132" t="str">
        <f t="shared" si="30"/>
        <v/>
      </c>
      <c r="J222" s="132"/>
      <c r="K222" s="155">
        <v>-204028</v>
      </c>
      <c r="L222" s="132">
        <v>424</v>
      </c>
      <c r="M222" s="156">
        <v>22886</v>
      </c>
      <c r="N222" s="156">
        <v>465969</v>
      </c>
      <c r="O222" s="156">
        <v>173811</v>
      </c>
      <c r="P222" s="156">
        <v>-242450</v>
      </c>
      <c r="Q222" s="156">
        <v>386910</v>
      </c>
      <c r="R222" s="156">
        <v>321509</v>
      </c>
      <c r="S222" s="156">
        <f t="shared" si="24"/>
        <v>708419</v>
      </c>
    </row>
    <row r="223" spans="1:19">
      <c r="A223" s="132" t="s">
        <v>123</v>
      </c>
      <c r="B223" s="132" t="s">
        <v>198</v>
      </c>
      <c r="C223" s="132" t="s">
        <v>202</v>
      </c>
      <c r="D223" s="132">
        <v>0</v>
      </c>
      <c r="E223" s="132">
        <v>15</v>
      </c>
      <c r="F223" s="132">
        <f t="shared" si="25"/>
        <v>-0.20926492563865368</v>
      </c>
      <c r="G223" s="132">
        <f t="shared" si="26"/>
        <v>12.628745513909234</v>
      </c>
      <c r="H223" s="132">
        <f t="shared" si="27"/>
        <v>0.75780699656298844</v>
      </c>
      <c r="I223" s="132" t="str">
        <f t="shared" si="30"/>
        <v/>
      </c>
      <c r="J223" s="132"/>
      <c r="K223" s="155">
        <v>-14704</v>
      </c>
      <c r="L223" s="132">
        <v>169</v>
      </c>
      <c r="M223" s="156">
        <v>21520</v>
      </c>
      <c r="N223" s="156">
        <v>305207</v>
      </c>
      <c r="O223" s="156">
        <v>70265</v>
      </c>
      <c r="P223" s="156">
        <v>73919</v>
      </c>
      <c r="Q223" s="156">
        <v>109859</v>
      </c>
      <c r="R223" s="156">
        <v>121429</v>
      </c>
      <c r="S223" s="156">
        <f t="shared" si="24"/>
        <v>231288</v>
      </c>
    </row>
    <row r="224" spans="1:19">
      <c r="A224" s="132" t="s">
        <v>124</v>
      </c>
      <c r="B224" s="132" t="s">
        <v>198</v>
      </c>
      <c r="C224" s="132" t="s">
        <v>202</v>
      </c>
      <c r="D224" s="132">
        <v>0</v>
      </c>
      <c r="E224" s="132">
        <v>8</v>
      </c>
      <c r="F224" s="132">
        <f t="shared" si="25"/>
        <v>-1.4395369736744469E-2</v>
      </c>
      <c r="G224" s="132">
        <f t="shared" si="26"/>
        <v>12.404197831202247</v>
      </c>
      <c r="H224" s="132">
        <f t="shared" si="27"/>
        <v>0.89201182825246184</v>
      </c>
      <c r="I224" s="132" t="str">
        <f t="shared" si="30"/>
        <v/>
      </c>
      <c r="J224" s="132"/>
      <c r="K224" s="155">
        <v>-1746</v>
      </c>
      <c r="L224" s="132">
        <v>182</v>
      </c>
      <c r="M224" s="156">
        <v>5893</v>
      </c>
      <c r="N224" s="156">
        <v>243823</v>
      </c>
      <c r="O224" s="156">
        <v>121289</v>
      </c>
      <c r="P224" s="156">
        <v>26330</v>
      </c>
      <c r="Q224" s="156">
        <v>91905</v>
      </c>
      <c r="R224" s="156">
        <v>125588</v>
      </c>
      <c r="S224" s="156">
        <f t="shared" si="24"/>
        <v>217493</v>
      </c>
    </row>
    <row r="225" spans="1:19">
      <c r="A225" s="132" t="s">
        <v>139</v>
      </c>
      <c r="B225" s="132" t="s">
        <v>198</v>
      </c>
      <c r="C225" s="132" t="s">
        <v>202</v>
      </c>
      <c r="D225" s="132">
        <v>0</v>
      </c>
      <c r="E225" s="132">
        <v>16</v>
      </c>
      <c r="F225" s="132">
        <f t="shared" si="25"/>
        <v>-0.23671503581137274</v>
      </c>
      <c r="G225" s="132">
        <f t="shared" si="26"/>
        <v>12.253714531632998</v>
      </c>
      <c r="H225" s="132">
        <f t="shared" si="27"/>
        <v>0.65204830305255079</v>
      </c>
      <c r="I225" s="132" t="str">
        <f t="shared" si="30"/>
        <v/>
      </c>
      <c r="J225" s="132"/>
      <c r="K225" s="155">
        <v>-19070</v>
      </c>
      <c r="L225" s="132">
        <v>166</v>
      </c>
      <c r="M225" s="156">
        <v>0</v>
      </c>
      <c r="N225" s="156">
        <v>209759</v>
      </c>
      <c r="O225" s="156">
        <v>80561</v>
      </c>
      <c r="P225" s="156">
        <v>72987</v>
      </c>
      <c r="Q225" s="156">
        <v>61677</v>
      </c>
      <c r="R225" s="156">
        <v>75096</v>
      </c>
      <c r="S225" s="156">
        <f t="shared" ref="S225:S250" si="31">Q225+R225</f>
        <v>136773</v>
      </c>
    </row>
    <row r="226" spans="1:19">
      <c r="A226" s="132" t="s">
        <v>144</v>
      </c>
      <c r="B226" s="132" t="s">
        <v>198</v>
      </c>
      <c r="C226" s="132" t="s">
        <v>202</v>
      </c>
      <c r="D226" s="132">
        <v>0</v>
      </c>
      <c r="E226" s="132">
        <v>13</v>
      </c>
      <c r="F226" s="132">
        <f t="shared" si="25"/>
        <v>-0.14848085717245563</v>
      </c>
      <c r="G226" s="132">
        <f t="shared" si="26"/>
        <v>12.801204490649384</v>
      </c>
      <c r="H226" s="132">
        <f t="shared" si="27"/>
        <v>0.35705383092424187</v>
      </c>
      <c r="I226" s="132" t="str">
        <f t="shared" si="30"/>
        <v/>
      </c>
      <c r="J226" s="132"/>
      <c r="K226" s="155">
        <v>-10033</v>
      </c>
      <c r="L226" s="132">
        <v>194</v>
      </c>
      <c r="M226" s="156">
        <v>3106</v>
      </c>
      <c r="N226" s="156">
        <v>362654</v>
      </c>
      <c r="O226" s="156">
        <v>67571</v>
      </c>
      <c r="P226" s="156">
        <v>233167</v>
      </c>
      <c r="Q226" s="156">
        <v>51700</v>
      </c>
      <c r="R226" s="156">
        <v>77787</v>
      </c>
      <c r="S226" s="156">
        <f t="shared" si="31"/>
        <v>129487</v>
      </c>
    </row>
    <row r="227" spans="1:19">
      <c r="A227" s="132" t="s">
        <v>155</v>
      </c>
      <c r="B227" s="132" t="s">
        <v>198</v>
      </c>
      <c r="C227" s="132" t="s">
        <v>202</v>
      </c>
      <c r="D227" s="132">
        <v>0</v>
      </c>
      <c r="E227" s="132">
        <v>9</v>
      </c>
      <c r="F227" s="132">
        <f t="shared" si="25"/>
        <v>-0.19509544826475994</v>
      </c>
      <c r="G227" s="132">
        <f t="shared" si="26"/>
        <v>12.41133324579015</v>
      </c>
      <c r="H227" s="132">
        <f t="shared" si="27"/>
        <v>0.62439884513110366</v>
      </c>
      <c r="I227" s="132" t="str">
        <f t="shared" si="30"/>
        <v/>
      </c>
      <c r="J227" s="132"/>
      <c r="K227" s="155">
        <v>-14543</v>
      </c>
      <c r="L227" s="132">
        <v>172</v>
      </c>
      <c r="M227" s="156">
        <v>2655</v>
      </c>
      <c r="N227" s="156">
        <v>245569</v>
      </c>
      <c r="O227" s="156">
        <v>74543</v>
      </c>
      <c r="P227" s="156">
        <f t="shared" ref="P227:P236" si="32">N227-S227</f>
        <v>92236</v>
      </c>
      <c r="Q227" s="156">
        <v>85686</v>
      </c>
      <c r="R227" s="156">
        <v>67647</v>
      </c>
      <c r="S227" s="156">
        <f t="shared" si="31"/>
        <v>153333</v>
      </c>
    </row>
    <row r="228" spans="1:19">
      <c r="A228" s="133" t="s">
        <v>13</v>
      </c>
      <c r="B228" s="133" t="s">
        <v>199</v>
      </c>
      <c r="C228" s="133" t="s">
        <v>202</v>
      </c>
      <c r="D228" s="133">
        <v>0</v>
      </c>
      <c r="E228" s="133">
        <v>5</v>
      </c>
      <c r="F228" s="133">
        <f t="shared" si="25"/>
        <v>-0.89170511767060656</v>
      </c>
      <c r="G228" s="133">
        <f t="shared" si="26"/>
        <v>11.586594054895428</v>
      </c>
      <c r="H228" s="133">
        <f t="shared" si="27"/>
        <v>1.5476241348878257</v>
      </c>
      <c r="I228" s="133" t="str">
        <f t="shared" si="30"/>
        <v/>
      </c>
      <c r="J228" s="133"/>
      <c r="K228" s="158">
        <v>-42323</v>
      </c>
      <c r="L228" s="133">
        <v>134</v>
      </c>
      <c r="M228" s="159">
        <v>56223</v>
      </c>
      <c r="N228" s="159">
        <v>107645</v>
      </c>
      <c r="O228" s="159">
        <v>47463</v>
      </c>
      <c r="P228" s="159">
        <f t="shared" si="32"/>
        <v>-58949</v>
      </c>
      <c r="Q228" s="159">
        <v>128952</v>
      </c>
      <c r="R228" s="159">
        <v>37642</v>
      </c>
      <c r="S228" s="159">
        <f t="shared" si="31"/>
        <v>166594</v>
      </c>
    </row>
    <row r="229" spans="1:19">
      <c r="A229" s="133" t="s">
        <v>19</v>
      </c>
      <c r="B229" s="133" t="s">
        <v>199</v>
      </c>
      <c r="C229" s="133" t="s">
        <v>202</v>
      </c>
      <c r="D229" s="133">
        <v>0</v>
      </c>
      <c r="E229" s="133">
        <v>18</v>
      </c>
      <c r="F229" s="133">
        <f t="shared" si="25"/>
        <v>-0.89170511767060656</v>
      </c>
      <c r="G229" s="133">
        <f t="shared" si="26"/>
        <v>11.586594054895428</v>
      </c>
      <c r="H229" s="133">
        <f t="shared" si="27"/>
        <v>1.5476241348878257</v>
      </c>
      <c r="I229" s="133" t="str">
        <f t="shared" si="30"/>
        <v/>
      </c>
      <c r="J229" s="133"/>
      <c r="K229" s="158">
        <v>-42323</v>
      </c>
      <c r="L229" s="133">
        <v>134</v>
      </c>
      <c r="M229" s="159">
        <v>56223</v>
      </c>
      <c r="N229" s="159">
        <v>107645</v>
      </c>
      <c r="O229" s="159">
        <v>47463</v>
      </c>
      <c r="P229" s="159">
        <f t="shared" si="32"/>
        <v>-58949</v>
      </c>
      <c r="Q229" s="159">
        <v>128952</v>
      </c>
      <c r="R229" s="159">
        <v>37642</v>
      </c>
      <c r="S229" s="159">
        <f t="shared" si="31"/>
        <v>166594</v>
      </c>
    </row>
    <row r="230" spans="1:19">
      <c r="A230" s="133" t="s">
        <v>20</v>
      </c>
      <c r="B230" s="133" t="s">
        <v>199</v>
      </c>
      <c r="C230" s="133" t="s">
        <v>202</v>
      </c>
      <c r="D230" s="133">
        <v>0</v>
      </c>
      <c r="E230" s="133">
        <v>9</v>
      </c>
      <c r="F230" s="133">
        <f t="shared" si="25"/>
        <v>-0.89170511767060656</v>
      </c>
      <c r="G230" s="133">
        <f t="shared" si="26"/>
        <v>11.586594054895428</v>
      </c>
      <c r="H230" s="133">
        <f t="shared" si="27"/>
        <v>1.5476241348878257</v>
      </c>
      <c r="I230" s="133" t="str">
        <f t="shared" si="30"/>
        <v/>
      </c>
      <c r="J230" s="133"/>
      <c r="K230" s="158">
        <v>-42323</v>
      </c>
      <c r="L230" s="133">
        <v>134</v>
      </c>
      <c r="M230" s="159">
        <v>56223</v>
      </c>
      <c r="N230" s="159">
        <v>107645</v>
      </c>
      <c r="O230" s="159">
        <v>47463</v>
      </c>
      <c r="P230" s="159">
        <f t="shared" si="32"/>
        <v>-58949</v>
      </c>
      <c r="Q230" s="159">
        <v>128952</v>
      </c>
      <c r="R230" s="159">
        <v>37642</v>
      </c>
      <c r="S230" s="159">
        <f t="shared" si="31"/>
        <v>166594</v>
      </c>
    </row>
    <row r="231" spans="1:19">
      <c r="A231" s="133" t="s">
        <v>31</v>
      </c>
      <c r="B231" s="133" t="s">
        <v>199</v>
      </c>
      <c r="C231" s="133" t="s">
        <v>202</v>
      </c>
      <c r="D231" s="133">
        <v>1</v>
      </c>
      <c r="E231" s="133">
        <v>3</v>
      </c>
      <c r="F231" s="133">
        <f t="shared" si="25"/>
        <v>-0.89170511767060656</v>
      </c>
      <c r="G231" s="133">
        <f t="shared" si="26"/>
        <v>11.586594054895428</v>
      </c>
      <c r="H231" s="133">
        <f t="shared" si="27"/>
        <v>1.5476241348878257</v>
      </c>
      <c r="I231" s="133" t="str">
        <f t="shared" si="30"/>
        <v/>
      </c>
      <c r="J231" s="133"/>
      <c r="K231" s="158">
        <v>-42323</v>
      </c>
      <c r="L231" s="133">
        <v>134</v>
      </c>
      <c r="M231" s="159">
        <v>56223</v>
      </c>
      <c r="N231" s="159">
        <v>107645</v>
      </c>
      <c r="O231" s="159">
        <v>47463</v>
      </c>
      <c r="P231" s="159">
        <f t="shared" si="32"/>
        <v>-58949</v>
      </c>
      <c r="Q231" s="159">
        <v>128952</v>
      </c>
      <c r="R231" s="159">
        <v>37642</v>
      </c>
      <c r="S231" s="159">
        <f t="shared" si="31"/>
        <v>166594</v>
      </c>
    </row>
    <row r="232" spans="1:19">
      <c r="A232" s="133" t="s">
        <v>48</v>
      </c>
      <c r="B232" s="133" t="s">
        <v>199</v>
      </c>
      <c r="C232" s="133" t="s">
        <v>202</v>
      </c>
      <c r="D232" s="133">
        <v>0</v>
      </c>
      <c r="E232" s="133">
        <v>14</v>
      </c>
      <c r="F232" s="133">
        <f t="shared" si="25"/>
        <v>-0.89170511767060656</v>
      </c>
      <c r="G232" s="133">
        <f t="shared" si="26"/>
        <v>11.586594054895428</v>
      </c>
      <c r="H232" s="133">
        <f t="shared" si="27"/>
        <v>1.5476241348878257</v>
      </c>
      <c r="I232" s="133">
        <v>-0.45674457600000001</v>
      </c>
      <c r="J232" s="133"/>
      <c r="K232" s="158">
        <v>-42323</v>
      </c>
      <c r="L232" s="133">
        <v>134</v>
      </c>
      <c r="M232" s="159">
        <v>56223</v>
      </c>
      <c r="N232" s="159">
        <v>107645</v>
      </c>
      <c r="O232" s="159">
        <v>47463</v>
      </c>
      <c r="P232" s="159">
        <f t="shared" si="32"/>
        <v>-58949</v>
      </c>
      <c r="Q232" s="159">
        <v>128952</v>
      </c>
      <c r="R232" s="159">
        <v>37642</v>
      </c>
      <c r="S232" s="159">
        <f t="shared" si="31"/>
        <v>166594</v>
      </c>
    </row>
    <row r="233" spans="1:19">
      <c r="A233" s="133" t="s">
        <v>58</v>
      </c>
      <c r="B233" s="133" t="s">
        <v>199</v>
      </c>
      <c r="C233" s="133" t="s">
        <v>202</v>
      </c>
      <c r="D233" s="133">
        <v>0</v>
      </c>
      <c r="E233" s="133">
        <v>7</v>
      </c>
      <c r="F233" s="133">
        <f t="shared" si="25"/>
        <v>-0.89170511767060656</v>
      </c>
      <c r="G233" s="133">
        <f t="shared" si="26"/>
        <v>11.586594054895428</v>
      </c>
      <c r="H233" s="133">
        <f t="shared" si="27"/>
        <v>1.5476241348878257</v>
      </c>
      <c r="I233" s="133" t="str">
        <f t="shared" ref="I233:I239" si="33">IF(A233=A234, (O233-O234)/O234, "")</f>
        <v/>
      </c>
      <c r="J233" s="133"/>
      <c r="K233" s="158">
        <v>-42323</v>
      </c>
      <c r="L233" s="133">
        <v>134</v>
      </c>
      <c r="M233" s="159">
        <v>56223</v>
      </c>
      <c r="N233" s="159">
        <v>107645</v>
      </c>
      <c r="O233" s="159">
        <v>47463</v>
      </c>
      <c r="P233" s="159">
        <f t="shared" si="32"/>
        <v>-58949</v>
      </c>
      <c r="Q233" s="159">
        <v>128952</v>
      </c>
      <c r="R233" s="159">
        <v>37642</v>
      </c>
      <c r="S233" s="159">
        <f t="shared" si="31"/>
        <v>166594</v>
      </c>
    </row>
    <row r="234" spans="1:19">
      <c r="A234" s="133" t="s">
        <v>62</v>
      </c>
      <c r="B234" s="133" t="s">
        <v>199</v>
      </c>
      <c r="C234" s="133" t="s">
        <v>202</v>
      </c>
      <c r="D234" s="133">
        <v>1</v>
      </c>
      <c r="E234" s="133">
        <v>6</v>
      </c>
      <c r="F234" s="133">
        <f t="shared" si="25"/>
        <v>-0.89170511767060656</v>
      </c>
      <c r="G234" s="133">
        <f t="shared" si="26"/>
        <v>11.586594054895428</v>
      </c>
      <c r="H234" s="133">
        <f t="shared" si="27"/>
        <v>1.5476241348878257</v>
      </c>
      <c r="I234" s="133" t="str">
        <f t="shared" si="33"/>
        <v/>
      </c>
      <c r="J234" s="133"/>
      <c r="K234" s="158">
        <v>-42323</v>
      </c>
      <c r="L234" s="133">
        <v>134</v>
      </c>
      <c r="M234" s="159">
        <v>56223</v>
      </c>
      <c r="N234" s="159">
        <v>107645</v>
      </c>
      <c r="O234" s="159">
        <v>47463</v>
      </c>
      <c r="P234" s="159">
        <f t="shared" si="32"/>
        <v>-58949</v>
      </c>
      <c r="Q234" s="159">
        <v>128952</v>
      </c>
      <c r="R234" s="159">
        <v>37642</v>
      </c>
      <c r="S234" s="159">
        <f t="shared" si="31"/>
        <v>166594</v>
      </c>
    </row>
    <row r="235" spans="1:19">
      <c r="A235" s="133" t="s">
        <v>76</v>
      </c>
      <c r="B235" s="133" t="s">
        <v>199</v>
      </c>
      <c r="C235" s="133" t="s">
        <v>202</v>
      </c>
      <c r="D235" s="133">
        <v>1</v>
      </c>
      <c r="E235" s="133">
        <v>1</v>
      </c>
      <c r="F235" s="133">
        <f t="shared" si="25"/>
        <v>-0.89170511767060656</v>
      </c>
      <c r="G235" s="133">
        <f t="shared" si="26"/>
        <v>11.586594054895428</v>
      </c>
      <c r="H235" s="133">
        <f t="shared" si="27"/>
        <v>1.5476241348878257</v>
      </c>
      <c r="I235" s="133" t="str">
        <f t="shared" si="33"/>
        <v/>
      </c>
      <c r="J235" s="133"/>
      <c r="K235" s="158">
        <v>-42323</v>
      </c>
      <c r="L235" s="133">
        <v>134</v>
      </c>
      <c r="M235" s="159">
        <v>56223</v>
      </c>
      <c r="N235" s="159">
        <v>107645</v>
      </c>
      <c r="O235" s="159">
        <v>47463</v>
      </c>
      <c r="P235" s="159">
        <f t="shared" si="32"/>
        <v>-58949</v>
      </c>
      <c r="Q235" s="159">
        <v>128952</v>
      </c>
      <c r="R235" s="159">
        <v>37642</v>
      </c>
      <c r="S235" s="159">
        <f t="shared" si="31"/>
        <v>166594</v>
      </c>
    </row>
    <row r="236" spans="1:19">
      <c r="A236" s="133" t="s">
        <v>142</v>
      </c>
      <c r="B236" s="133" t="s">
        <v>199</v>
      </c>
      <c r="C236" s="133" t="s">
        <v>202</v>
      </c>
      <c r="D236" s="133">
        <v>1</v>
      </c>
      <c r="E236" s="133">
        <v>2</v>
      </c>
      <c r="F236" s="133">
        <f t="shared" si="25"/>
        <v>-0.89170511767060656</v>
      </c>
      <c r="G236" s="133">
        <f t="shared" si="26"/>
        <v>11.586594054895428</v>
      </c>
      <c r="H236" s="133">
        <f t="shared" si="27"/>
        <v>1.5476241348878257</v>
      </c>
      <c r="I236" s="133" t="str">
        <f t="shared" si="33"/>
        <v/>
      </c>
      <c r="J236" s="133"/>
      <c r="K236" s="158">
        <v>-42323</v>
      </c>
      <c r="L236" s="133">
        <v>134</v>
      </c>
      <c r="M236" s="159">
        <v>56223</v>
      </c>
      <c r="N236" s="159">
        <v>107645</v>
      </c>
      <c r="O236" s="159">
        <v>47463</v>
      </c>
      <c r="P236" s="159">
        <f t="shared" si="32"/>
        <v>-58949</v>
      </c>
      <c r="Q236" s="159">
        <v>128952</v>
      </c>
      <c r="R236" s="159">
        <v>37642</v>
      </c>
      <c r="S236" s="159">
        <f t="shared" si="31"/>
        <v>166594</v>
      </c>
    </row>
    <row r="237" spans="1:19">
      <c r="A237" s="131" t="s">
        <v>26</v>
      </c>
      <c r="B237" s="131" t="s">
        <v>193</v>
      </c>
      <c r="C237" s="131" t="s">
        <v>201</v>
      </c>
      <c r="D237" s="131">
        <v>0</v>
      </c>
      <c r="E237" s="131">
        <v>10</v>
      </c>
      <c r="F237" s="131">
        <f t="shared" si="25"/>
        <v>-0.24959008748073166</v>
      </c>
      <c r="G237" s="131">
        <f t="shared" si="26"/>
        <v>12.410974830146356</v>
      </c>
      <c r="H237" s="131">
        <f t="shared" si="27"/>
        <v>0.54189937306756941</v>
      </c>
      <c r="I237" s="131" t="str">
        <f t="shared" si="33"/>
        <v/>
      </c>
      <c r="J237" s="131"/>
      <c r="K237" s="145">
        <v>-25421</v>
      </c>
      <c r="L237" s="131">
        <v>341</v>
      </c>
      <c r="M237" s="139">
        <v>0</v>
      </c>
      <c r="N237" s="139">
        <v>245481</v>
      </c>
      <c r="O237" s="139">
        <v>101851</v>
      </c>
      <c r="P237" s="139">
        <v>112455</v>
      </c>
      <c r="Q237" s="139">
        <v>82173</v>
      </c>
      <c r="R237" s="139">
        <v>50853</v>
      </c>
      <c r="S237" s="139">
        <f t="shared" si="31"/>
        <v>133026</v>
      </c>
    </row>
    <row r="238" spans="1:19">
      <c r="A238" s="131" t="s">
        <v>27</v>
      </c>
      <c r="B238" s="131" t="s">
        <v>193</v>
      </c>
      <c r="C238" s="131" t="s">
        <v>201</v>
      </c>
      <c r="D238" s="131">
        <v>1</v>
      </c>
      <c r="E238" s="131">
        <v>1</v>
      </c>
      <c r="F238" s="131">
        <f t="shared" si="25"/>
        <v>-0.29589730446261497</v>
      </c>
      <c r="G238" s="131">
        <f t="shared" si="26"/>
        <v>13.78564498867453</v>
      </c>
      <c r="H238" s="131">
        <f t="shared" si="27"/>
        <v>1.0285819966700187</v>
      </c>
      <c r="I238" s="131" t="str">
        <f t="shared" si="33"/>
        <v/>
      </c>
      <c r="J238" s="131"/>
      <c r="K238" s="145">
        <v>-107369</v>
      </c>
      <c r="L238" s="151">
        <v>1020</v>
      </c>
      <c r="M238" s="139">
        <v>82010</v>
      </c>
      <c r="N238" s="139">
        <v>970576</v>
      </c>
      <c r="O238" s="139">
        <v>362859</v>
      </c>
      <c r="P238" s="139">
        <v>-27741</v>
      </c>
      <c r="Q238" s="139">
        <v>415150</v>
      </c>
      <c r="R238" s="139">
        <v>583167</v>
      </c>
      <c r="S238" s="139">
        <f t="shared" si="31"/>
        <v>998317</v>
      </c>
    </row>
    <row r="239" spans="1:19">
      <c r="A239" s="131" t="s">
        <v>28</v>
      </c>
      <c r="B239" s="131" t="s">
        <v>193</v>
      </c>
      <c r="C239" s="131" t="s">
        <v>201</v>
      </c>
      <c r="D239" s="131">
        <v>0</v>
      </c>
      <c r="E239" s="131">
        <v>3</v>
      </c>
      <c r="F239" s="131">
        <f t="shared" si="25"/>
        <v>-0.81554855577225138</v>
      </c>
      <c r="G239" s="131">
        <f t="shared" si="26"/>
        <v>13.845989325257689</v>
      </c>
      <c r="H239" s="131">
        <f t="shared" si="27"/>
        <v>1.4372014883388882</v>
      </c>
      <c r="I239" s="131" t="str">
        <f t="shared" si="33"/>
        <v/>
      </c>
      <c r="J239" s="131"/>
      <c r="K239" s="145">
        <v>-481318</v>
      </c>
      <c r="L239" s="151">
        <v>1289</v>
      </c>
      <c r="M239" s="139">
        <v>188172</v>
      </c>
      <c r="N239" s="139">
        <v>1030948</v>
      </c>
      <c r="O239" s="139">
        <v>590177</v>
      </c>
      <c r="P239" s="139">
        <v>-450732</v>
      </c>
      <c r="Q239" s="139">
        <v>669060</v>
      </c>
      <c r="R239" s="139">
        <v>812620</v>
      </c>
      <c r="S239" s="139">
        <f t="shared" si="31"/>
        <v>1481680</v>
      </c>
    </row>
    <row r="240" spans="1:19">
      <c r="A240" s="131" t="s">
        <v>39</v>
      </c>
      <c r="B240" s="131" t="s">
        <v>193</v>
      </c>
      <c r="C240" s="131" t="s">
        <v>201</v>
      </c>
      <c r="D240" s="131">
        <v>0</v>
      </c>
      <c r="E240" s="131">
        <v>12</v>
      </c>
      <c r="F240" s="131">
        <f t="shared" si="25"/>
        <v>-4.6316964285714288E-2</v>
      </c>
      <c r="G240" s="131">
        <f t="shared" si="26"/>
        <v>7.3434262291473669</v>
      </c>
      <c r="H240" s="131">
        <f t="shared" si="27"/>
        <v>18.751617076326003</v>
      </c>
      <c r="I240" s="131">
        <v>0.15435443230000001</v>
      </c>
      <c r="J240" s="131"/>
      <c r="K240" s="145">
        <v>-2490</v>
      </c>
      <c r="L240" s="131">
        <v>254</v>
      </c>
      <c r="M240" s="139">
        <v>876</v>
      </c>
      <c r="N240" s="139">
        <v>1546</v>
      </c>
      <c r="O240" s="139">
        <v>53760</v>
      </c>
      <c r="P240" s="139">
        <f>N240-S240</f>
        <v>-27444</v>
      </c>
      <c r="Q240" s="139">
        <v>26456</v>
      </c>
      <c r="R240" s="139">
        <v>2534</v>
      </c>
      <c r="S240" s="139">
        <f t="shared" si="31"/>
        <v>28990</v>
      </c>
    </row>
    <row r="241" spans="1:19">
      <c r="A241" s="131" t="s">
        <v>43</v>
      </c>
      <c r="B241" s="131" t="s">
        <v>193</v>
      </c>
      <c r="C241" s="131" t="s">
        <v>201</v>
      </c>
      <c r="D241" s="131">
        <v>0</v>
      </c>
      <c r="E241" s="131">
        <v>8</v>
      </c>
      <c r="F241" s="131">
        <f t="shared" si="25"/>
        <v>-0.14332734889287851</v>
      </c>
      <c r="G241" s="131">
        <f t="shared" si="26"/>
        <v>8.8877907641953264</v>
      </c>
      <c r="H241" s="131">
        <f t="shared" si="27"/>
        <v>1.5184315891205302</v>
      </c>
      <c r="I241" s="131" t="str">
        <f>IF(A241=A242, (O241-O242)/O242, "")</f>
        <v/>
      </c>
      <c r="J241" s="131"/>
      <c r="K241" s="145">
        <v>-9580</v>
      </c>
      <c r="L241" s="131">
        <v>285</v>
      </c>
      <c r="M241" s="139">
        <v>1742</v>
      </c>
      <c r="N241" s="139">
        <v>7243</v>
      </c>
      <c r="O241" s="139">
        <v>66840</v>
      </c>
      <c r="P241" s="139">
        <f>N241-S241</f>
        <v>-3755</v>
      </c>
      <c r="Q241" s="139">
        <v>4566</v>
      </c>
      <c r="R241" s="139">
        <v>6432</v>
      </c>
      <c r="S241" s="139">
        <f t="shared" si="31"/>
        <v>10998</v>
      </c>
    </row>
    <row r="242" spans="1:19">
      <c r="A242" s="131" t="s">
        <v>53</v>
      </c>
      <c r="B242" s="131" t="s">
        <v>193</v>
      </c>
      <c r="C242" s="131" t="s">
        <v>201</v>
      </c>
      <c r="D242" s="131">
        <v>0</v>
      </c>
      <c r="E242" s="131">
        <v>20</v>
      </c>
      <c r="F242" s="131">
        <f t="shared" si="25"/>
        <v>-0.22921271550858016</v>
      </c>
      <c r="G242" s="131">
        <f t="shared" si="26"/>
        <v>12.234465720031391</v>
      </c>
      <c r="H242" s="131">
        <f t="shared" si="27"/>
        <v>0.3843701399688958</v>
      </c>
      <c r="I242" s="131">
        <v>0.34567634650000001</v>
      </c>
      <c r="J242" s="131"/>
      <c r="K242" s="145">
        <v>-11407</v>
      </c>
      <c r="L242" s="131">
        <v>269</v>
      </c>
      <c r="M242" s="139">
        <v>5940</v>
      </c>
      <c r="N242" s="139">
        <v>205760</v>
      </c>
      <c r="O242" s="139">
        <v>49766</v>
      </c>
      <c r="P242" s="139">
        <v>126672</v>
      </c>
      <c r="Q242" s="139">
        <v>6729</v>
      </c>
      <c r="R242" s="139">
        <v>72359</v>
      </c>
      <c r="S242" s="139">
        <f t="shared" si="31"/>
        <v>79088</v>
      </c>
    </row>
    <row r="243" spans="1:19">
      <c r="A243" s="131" t="s">
        <v>54</v>
      </c>
      <c r="B243" s="131" t="s">
        <v>193</v>
      </c>
      <c r="C243" s="131" t="s">
        <v>201</v>
      </c>
      <c r="D243" s="131">
        <v>0</v>
      </c>
      <c r="E243" s="131">
        <v>17</v>
      </c>
      <c r="F243" s="131">
        <f t="shared" si="25"/>
        <v>0.22191323692992213</v>
      </c>
      <c r="G243" s="131">
        <f t="shared" si="26"/>
        <v>9.2453213408714277</v>
      </c>
      <c r="H243" s="131">
        <f t="shared" si="27"/>
        <v>3.5055040556199306</v>
      </c>
      <c r="I243" s="131">
        <v>0.34564577639999999</v>
      </c>
      <c r="J243" s="131"/>
      <c r="K243" s="145">
        <v>11970</v>
      </c>
      <c r="L243" s="131">
        <v>275</v>
      </c>
      <c r="M243" s="139">
        <v>1714</v>
      </c>
      <c r="N243" s="139">
        <v>10356</v>
      </c>
      <c r="O243" s="139">
        <v>53940</v>
      </c>
      <c r="P243" s="139">
        <f>N243-S243</f>
        <v>-25947</v>
      </c>
      <c r="Q243" s="139">
        <v>8467</v>
      </c>
      <c r="R243" s="139">
        <v>27836</v>
      </c>
      <c r="S243" s="139">
        <f t="shared" si="31"/>
        <v>36303</v>
      </c>
    </row>
    <row r="244" spans="1:19">
      <c r="A244" s="131" t="s">
        <v>66</v>
      </c>
      <c r="B244" s="131" t="s">
        <v>193</v>
      </c>
      <c r="C244" s="131" t="s">
        <v>201</v>
      </c>
      <c r="D244" s="131">
        <v>0</v>
      </c>
      <c r="E244" s="131">
        <v>15</v>
      </c>
      <c r="F244" s="131">
        <f t="shared" si="25"/>
        <v>-0.11059122121358392</v>
      </c>
      <c r="G244" s="131">
        <f t="shared" si="26"/>
        <v>12.196168763598237</v>
      </c>
      <c r="H244" s="131">
        <f t="shared" si="27"/>
        <v>0.591292184478031</v>
      </c>
      <c r="I244" s="131" t="str">
        <f t="shared" ref="I244:I256" si="34">IF(A244=A245, (O244-O245)/O245, "")</f>
        <v/>
      </c>
      <c r="J244" s="131"/>
      <c r="K244" s="145">
        <v>-14205</v>
      </c>
      <c r="L244" s="131">
        <v>334</v>
      </c>
      <c r="M244" s="139">
        <v>0</v>
      </c>
      <c r="N244" s="139">
        <v>198029</v>
      </c>
      <c r="O244" s="139">
        <v>128446</v>
      </c>
      <c r="P244" s="139">
        <v>80936</v>
      </c>
      <c r="Q244" s="139">
        <v>29431</v>
      </c>
      <c r="R244" s="139">
        <v>87662</v>
      </c>
      <c r="S244" s="139">
        <f t="shared" si="31"/>
        <v>117093</v>
      </c>
    </row>
    <row r="245" spans="1:19">
      <c r="A245" s="131" t="s">
        <v>108</v>
      </c>
      <c r="B245" s="131" t="s">
        <v>193</v>
      </c>
      <c r="C245" s="131" t="s">
        <v>201</v>
      </c>
      <c r="D245" s="131">
        <v>0</v>
      </c>
      <c r="E245" s="131">
        <v>11</v>
      </c>
      <c r="F245" s="131">
        <f t="shared" si="25"/>
        <v>-1.6452522720150423E-2</v>
      </c>
      <c r="G245" s="131">
        <f t="shared" si="26"/>
        <v>11.468733214177846</v>
      </c>
      <c r="H245" s="131">
        <f t="shared" si="27"/>
        <v>0.98468806505220685</v>
      </c>
      <c r="I245" s="131" t="str">
        <f t="shared" si="34"/>
        <v/>
      </c>
      <c r="J245" s="131"/>
      <c r="K245" s="145">
        <v>-1050</v>
      </c>
      <c r="L245" s="131">
        <v>354</v>
      </c>
      <c r="M245" s="145">
        <v>54761</v>
      </c>
      <c r="N245" s="139">
        <v>95677</v>
      </c>
      <c r="O245" s="139">
        <v>63820</v>
      </c>
      <c r="P245" s="139">
        <f>N245-S245</f>
        <v>1465</v>
      </c>
      <c r="Q245" s="139">
        <v>56644</v>
      </c>
      <c r="R245" s="139">
        <v>37568</v>
      </c>
      <c r="S245" s="139">
        <f t="shared" si="31"/>
        <v>94212</v>
      </c>
    </row>
    <row r="246" spans="1:19">
      <c r="A246" s="131" t="s">
        <v>117</v>
      </c>
      <c r="B246" s="131" t="s">
        <v>193</v>
      </c>
      <c r="C246" s="131" t="s">
        <v>201</v>
      </c>
      <c r="D246" s="131">
        <v>0</v>
      </c>
      <c r="E246" s="131">
        <v>6</v>
      </c>
      <c r="F246" s="131">
        <f t="shared" si="25"/>
        <v>-0.41838026482362201</v>
      </c>
      <c r="G246" s="131">
        <f t="shared" si="26"/>
        <v>11.809007161600341</v>
      </c>
      <c r="H246" s="131">
        <f t="shared" si="27"/>
        <v>1.2328905680584272</v>
      </c>
      <c r="I246" s="131" t="str">
        <f t="shared" si="34"/>
        <v/>
      </c>
      <c r="J246" s="131"/>
      <c r="K246" s="145">
        <v>-36684</v>
      </c>
      <c r="L246" s="131">
        <v>384</v>
      </c>
      <c r="M246" s="139">
        <v>37024</v>
      </c>
      <c r="N246" s="139">
        <v>134458</v>
      </c>
      <c r="O246" s="139">
        <v>87681</v>
      </c>
      <c r="P246" s="139">
        <v>-31314</v>
      </c>
      <c r="Q246" s="139">
        <v>31067</v>
      </c>
      <c r="R246" s="139">
        <v>134705</v>
      </c>
      <c r="S246" s="139">
        <f t="shared" si="31"/>
        <v>165772</v>
      </c>
    </row>
    <row r="247" spans="1:19">
      <c r="A247" s="131" t="s">
        <v>118</v>
      </c>
      <c r="B247" s="131" t="s">
        <v>193</v>
      </c>
      <c r="C247" s="131" t="s">
        <v>201</v>
      </c>
      <c r="D247" s="131">
        <v>0</v>
      </c>
      <c r="E247" s="131">
        <v>2</v>
      </c>
      <c r="F247" s="131">
        <f t="shared" si="25"/>
        <v>1.3641329795536132E-3</v>
      </c>
      <c r="G247" s="131">
        <f t="shared" si="26"/>
        <v>14.276452630030484</v>
      </c>
      <c r="H247" s="131">
        <f t="shared" si="27"/>
        <v>0.71165015417197763</v>
      </c>
      <c r="I247" s="131" t="str">
        <f t="shared" si="34"/>
        <v/>
      </c>
      <c r="J247" s="131"/>
      <c r="K247" s="145">
        <v>874</v>
      </c>
      <c r="L247" s="131">
        <v>861</v>
      </c>
      <c r="M247" s="139">
        <v>237237</v>
      </c>
      <c r="N247" s="139">
        <v>1585567</v>
      </c>
      <c r="O247" s="139">
        <v>640700</v>
      </c>
      <c r="P247" s="139">
        <v>533655</v>
      </c>
      <c r="Q247" s="139">
        <v>456682</v>
      </c>
      <c r="R247" s="139">
        <v>671687</v>
      </c>
      <c r="S247" s="139">
        <f t="shared" si="31"/>
        <v>1128369</v>
      </c>
    </row>
    <row r="248" spans="1:19">
      <c r="A248" s="131" t="s">
        <v>126</v>
      </c>
      <c r="B248" s="131" t="s">
        <v>193</v>
      </c>
      <c r="C248" s="131" t="s">
        <v>201</v>
      </c>
      <c r="D248" s="131">
        <v>0</v>
      </c>
      <c r="E248" s="131">
        <v>4</v>
      </c>
      <c r="F248" s="131">
        <f t="shared" si="25"/>
        <v>-0.23846424391284543</v>
      </c>
      <c r="G248" s="131">
        <f t="shared" si="26"/>
        <v>12.482582540978704</v>
      </c>
      <c r="H248" s="131">
        <f t="shared" si="27"/>
        <v>0.78573703849770959</v>
      </c>
      <c r="I248" s="131" t="str">
        <f t="shared" si="34"/>
        <v/>
      </c>
      <c r="J248" s="131"/>
      <c r="K248" s="145">
        <v>-41359</v>
      </c>
      <c r="L248" s="131">
        <v>397</v>
      </c>
      <c r="M248" s="139">
        <v>12949</v>
      </c>
      <c r="N248" s="139">
        <v>263704</v>
      </c>
      <c r="O248" s="139">
        <v>173439</v>
      </c>
      <c r="P248" s="139">
        <v>56502</v>
      </c>
      <c r="Q248" s="139">
        <v>61193</v>
      </c>
      <c r="R248" s="139">
        <v>146009</v>
      </c>
      <c r="S248" s="139">
        <f t="shared" si="31"/>
        <v>207202</v>
      </c>
    </row>
    <row r="249" spans="1:19">
      <c r="A249" s="131" t="s">
        <v>145</v>
      </c>
      <c r="B249" s="131" t="s">
        <v>193</v>
      </c>
      <c r="C249" s="131" t="s">
        <v>201</v>
      </c>
      <c r="D249" s="131">
        <v>0</v>
      </c>
      <c r="E249" s="131">
        <v>13</v>
      </c>
      <c r="F249" s="131">
        <f t="shared" si="25"/>
        <v>-0.284706826869566</v>
      </c>
      <c r="G249" s="131">
        <f t="shared" si="26"/>
        <v>12.899904591584704</v>
      </c>
      <c r="H249" s="131">
        <f t="shared" si="27"/>
        <v>0.97752289681568127</v>
      </c>
      <c r="I249" s="131" t="str">
        <f t="shared" si="34"/>
        <v/>
      </c>
      <c r="J249" s="131"/>
      <c r="K249" s="145">
        <v>-31207</v>
      </c>
      <c r="L249" s="131">
        <v>407</v>
      </c>
      <c r="M249" s="139">
        <v>14609</v>
      </c>
      <c r="N249" s="139">
        <v>400274</v>
      </c>
      <c r="O249" s="139">
        <v>109611</v>
      </c>
      <c r="P249" s="139">
        <v>8997</v>
      </c>
      <c r="Q249" s="139">
        <v>174727</v>
      </c>
      <c r="R249" s="139">
        <v>216550</v>
      </c>
      <c r="S249" s="139">
        <f t="shared" si="31"/>
        <v>391277</v>
      </c>
    </row>
    <row r="250" spans="1:19">
      <c r="A250" s="131" t="s">
        <v>147</v>
      </c>
      <c r="B250" s="131" t="s">
        <v>193</v>
      </c>
      <c r="C250" s="131" t="s">
        <v>201</v>
      </c>
      <c r="D250" s="131">
        <v>0</v>
      </c>
      <c r="E250" s="131">
        <v>7</v>
      </c>
      <c r="F250" s="131">
        <f t="shared" si="25"/>
        <v>-3.0690537084398974E-4</v>
      </c>
      <c r="G250" s="131">
        <f t="shared" si="26"/>
        <v>13.428344005426821</v>
      </c>
      <c r="H250" s="131">
        <f t="shared" si="27"/>
        <v>0.90065362942540117</v>
      </c>
      <c r="I250" s="131" t="str">
        <f t="shared" si="34"/>
        <v/>
      </c>
      <c r="J250" s="131"/>
      <c r="K250" s="145">
        <v>-30</v>
      </c>
      <c r="L250" s="131">
        <v>385</v>
      </c>
      <c r="M250" s="139">
        <v>87678</v>
      </c>
      <c r="N250" s="139">
        <v>678978</v>
      </c>
      <c r="O250" s="139">
        <v>97750</v>
      </c>
      <c r="P250" s="139">
        <f>N250-S250</f>
        <v>67454</v>
      </c>
      <c r="Q250" s="139">
        <v>467846</v>
      </c>
      <c r="R250" s="139">
        <v>143678</v>
      </c>
      <c r="S250" s="139">
        <f t="shared" si="31"/>
        <v>611524</v>
      </c>
    </row>
    <row r="251" spans="1:19">
      <c r="A251" s="134" t="s">
        <v>18</v>
      </c>
      <c r="B251" s="134" t="s">
        <v>200</v>
      </c>
      <c r="C251" s="134" t="s">
        <v>201</v>
      </c>
      <c r="D251" s="134">
        <v>0</v>
      </c>
      <c r="E251" s="134">
        <v>13</v>
      </c>
      <c r="F251" s="134">
        <f t="shared" si="25"/>
        <v>0.15619158878504674</v>
      </c>
      <c r="G251" s="134">
        <f t="shared" si="26"/>
        <v>10.891112413014609</v>
      </c>
      <c r="H251" s="134">
        <f t="shared" si="27"/>
        <v>0.73041324468778512</v>
      </c>
      <c r="I251" s="134" t="str">
        <f t="shared" si="34"/>
        <v/>
      </c>
      <c r="J251" s="134"/>
      <c r="K251" s="152">
        <v>4011</v>
      </c>
      <c r="L251" s="134"/>
      <c r="M251" s="153"/>
      <c r="N251" s="153">
        <v>53697</v>
      </c>
      <c r="O251" s="153">
        <v>25680</v>
      </c>
      <c r="P251" s="153">
        <v>14476</v>
      </c>
      <c r="Q251" s="153"/>
      <c r="R251" s="153"/>
      <c r="S251" s="153">
        <v>39221</v>
      </c>
    </row>
    <row r="252" spans="1:19">
      <c r="A252" s="134" t="s">
        <v>22</v>
      </c>
      <c r="B252" s="134" t="s">
        <v>200</v>
      </c>
      <c r="C252" s="134" t="s">
        <v>201</v>
      </c>
      <c r="D252" s="134">
        <v>0</v>
      </c>
      <c r="E252" s="134">
        <v>3</v>
      </c>
      <c r="F252" s="134">
        <f t="shared" si="25"/>
        <v>0.15619158878504674</v>
      </c>
      <c r="G252" s="134">
        <f t="shared" si="26"/>
        <v>10.891112413014609</v>
      </c>
      <c r="H252" s="134">
        <f t="shared" si="27"/>
        <v>0.73041324468778512</v>
      </c>
      <c r="I252" s="134" t="str">
        <f t="shared" si="34"/>
        <v/>
      </c>
      <c r="J252" s="134"/>
      <c r="K252" s="152">
        <v>4011</v>
      </c>
      <c r="L252" s="134"/>
      <c r="M252" s="153"/>
      <c r="N252" s="153">
        <v>53697</v>
      </c>
      <c r="O252" s="153">
        <v>25680</v>
      </c>
      <c r="P252" s="153">
        <v>14476</v>
      </c>
      <c r="Q252" s="153"/>
      <c r="R252" s="153"/>
      <c r="S252" s="153">
        <v>39221</v>
      </c>
    </row>
    <row r="253" spans="1:19" s="130" customFormat="1">
      <c r="A253" s="134" t="s">
        <v>23</v>
      </c>
      <c r="B253" s="134" t="s">
        <v>200</v>
      </c>
      <c r="C253" s="134" t="s">
        <v>201</v>
      </c>
      <c r="D253" s="134">
        <v>0</v>
      </c>
      <c r="E253" s="134">
        <v>11</v>
      </c>
      <c r="F253" s="134">
        <f t="shared" si="25"/>
        <v>0.15619158878504674</v>
      </c>
      <c r="G253" s="134">
        <f t="shared" si="26"/>
        <v>10.891112413014609</v>
      </c>
      <c r="H253" s="134">
        <f t="shared" si="27"/>
        <v>0.73041324468778512</v>
      </c>
      <c r="I253" s="134" t="str">
        <f t="shared" si="34"/>
        <v/>
      </c>
      <c r="J253" s="134"/>
      <c r="K253" s="152">
        <v>4011</v>
      </c>
      <c r="L253" s="134"/>
      <c r="M253" s="153"/>
      <c r="N253" s="153">
        <v>53697</v>
      </c>
      <c r="O253" s="153">
        <v>25680</v>
      </c>
      <c r="P253" s="153">
        <v>14476</v>
      </c>
      <c r="Q253" s="153"/>
      <c r="R253" s="153"/>
      <c r="S253" s="153">
        <v>39221</v>
      </c>
    </row>
    <row r="254" spans="1:19">
      <c r="A254" s="134" t="s">
        <v>51</v>
      </c>
      <c r="B254" s="134" t="s">
        <v>200</v>
      </c>
      <c r="C254" s="134" t="s">
        <v>201</v>
      </c>
      <c r="D254" s="134">
        <v>0</v>
      </c>
      <c r="E254" s="134">
        <v>20</v>
      </c>
      <c r="F254" s="134">
        <f t="shared" si="25"/>
        <v>0.15619158878504674</v>
      </c>
      <c r="G254" s="134">
        <f t="shared" si="26"/>
        <v>10.891112413014609</v>
      </c>
      <c r="H254" s="134">
        <f t="shared" si="27"/>
        <v>0.73041324468778512</v>
      </c>
      <c r="I254" s="134" t="str">
        <f t="shared" si="34"/>
        <v/>
      </c>
      <c r="J254" s="134"/>
      <c r="K254" s="152">
        <v>4011</v>
      </c>
      <c r="L254" s="134"/>
      <c r="M254" s="153"/>
      <c r="N254" s="153">
        <v>53697</v>
      </c>
      <c r="O254" s="153">
        <v>25680</v>
      </c>
      <c r="P254" s="153">
        <v>14476</v>
      </c>
      <c r="Q254" s="153"/>
      <c r="R254" s="153"/>
      <c r="S254" s="153">
        <v>39221</v>
      </c>
    </row>
    <row r="255" spans="1:19">
      <c r="A255" s="134" t="s">
        <v>68</v>
      </c>
      <c r="B255" s="134" t="s">
        <v>200</v>
      </c>
      <c r="C255" s="134" t="s">
        <v>201</v>
      </c>
      <c r="D255" s="134">
        <v>0</v>
      </c>
      <c r="E255" s="134">
        <v>12</v>
      </c>
      <c r="F255" s="134">
        <f t="shared" si="25"/>
        <v>0.15619158878504674</v>
      </c>
      <c r="G255" s="134">
        <f t="shared" si="26"/>
        <v>10.891112413014609</v>
      </c>
      <c r="H255" s="134">
        <f t="shared" si="27"/>
        <v>0.73041324468778512</v>
      </c>
      <c r="I255" s="134" t="str">
        <f t="shared" si="34"/>
        <v/>
      </c>
      <c r="J255" s="134"/>
      <c r="K255" s="152">
        <v>4011</v>
      </c>
      <c r="L255" s="134"/>
      <c r="M255" s="153"/>
      <c r="N255" s="153">
        <v>53697</v>
      </c>
      <c r="O255" s="153">
        <v>25680</v>
      </c>
      <c r="P255" s="153">
        <v>14476</v>
      </c>
      <c r="Q255" s="153"/>
      <c r="R255" s="153"/>
      <c r="S255" s="153">
        <v>39221</v>
      </c>
    </row>
    <row r="256" spans="1:19">
      <c r="A256" s="134" t="s">
        <v>89</v>
      </c>
      <c r="B256" s="134" t="s">
        <v>200</v>
      </c>
      <c r="C256" s="134" t="s">
        <v>201</v>
      </c>
      <c r="D256" s="134">
        <v>1</v>
      </c>
      <c r="E256" s="134">
        <v>1</v>
      </c>
      <c r="F256" s="134">
        <f t="shared" si="25"/>
        <v>0.15619158878504674</v>
      </c>
      <c r="G256" s="134">
        <f t="shared" si="26"/>
        <v>10.891112413014609</v>
      </c>
      <c r="H256" s="134">
        <f t="shared" si="27"/>
        <v>0.73041324468778512</v>
      </c>
      <c r="I256" s="134" t="str">
        <f t="shared" si="34"/>
        <v/>
      </c>
      <c r="J256" s="134"/>
      <c r="K256" s="152">
        <v>4011</v>
      </c>
      <c r="L256" s="134"/>
      <c r="M256" s="153"/>
      <c r="N256" s="153">
        <v>53697</v>
      </c>
      <c r="O256" s="153">
        <v>25680</v>
      </c>
      <c r="P256" s="153">
        <v>14476</v>
      </c>
      <c r="Q256" s="153"/>
      <c r="R256" s="153"/>
      <c r="S256" s="153">
        <v>39221</v>
      </c>
    </row>
    <row r="257" spans="1:19">
      <c r="A257" s="134" t="s">
        <v>91</v>
      </c>
      <c r="B257" s="134" t="s">
        <v>200</v>
      </c>
      <c r="C257" s="134" t="s">
        <v>201</v>
      </c>
      <c r="D257" s="134">
        <v>0</v>
      </c>
      <c r="E257" s="134">
        <v>16</v>
      </c>
      <c r="F257" s="134">
        <f t="shared" si="25"/>
        <v>0.15619158878504674</v>
      </c>
      <c r="G257" s="134">
        <f t="shared" si="26"/>
        <v>10.891112413014609</v>
      </c>
      <c r="H257" s="134">
        <f t="shared" si="27"/>
        <v>0.73041324468778512</v>
      </c>
      <c r="I257" s="134">
        <v>0.76547543650000005</v>
      </c>
      <c r="J257" s="134"/>
      <c r="K257" s="152">
        <v>4011</v>
      </c>
      <c r="L257" s="134"/>
      <c r="M257" s="153"/>
      <c r="N257" s="153">
        <v>53697</v>
      </c>
      <c r="O257" s="153">
        <v>25680</v>
      </c>
      <c r="P257" s="153">
        <v>14476</v>
      </c>
      <c r="Q257" s="153"/>
      <c r="R257" s="153"/>
      <c r="S257" s="153">
        <v>39221</v>
      </c>
    </row>
    <row r="258" spans="1:19">
      <c r="A258" s="134" t="s">
        <v>96</v>
      </c>
      <c r="B258" s="134" t="s">
        <v>200</v>
      </c>
      <c r="C258" s="134" t="s">
        <v>201</v>
      </c>
      <c r="D258" s="134">
        <v>0</v>
      </c>
      <c r="E258" s="134">
        <v>10</v>
      </c>
      <c r="F258" s="134">
        <f t="shared" si="25"/>
        <v>0.15619158878504674</v>
      </c>
      <c r="G258" s="134">
        <f t="shared" si="26"/>
        <v>10.891112413014609</v>
      </c>
      <c r="H258" s="134">
        <f t="shared" si="27"/>
        <v>0.73041324468778512</v>
      </c>
      <c r="I258" s="134" t="str">
        <f t="shared" ref="I258:I265" si="35">IF(A258=A259, (O258-O259)/O259, "")</f>
        <v/>
      </c>
      <c r="J258" s="134"/>
      <c r="K258" s="152">
        <v>4011</v>
      </c>
      <c r="L258" s="134"/>
      <c r="M258" s="153"/>
      <c r="N258" s="153">
        <v>53697</v>
      </c>
      <c r="O258" s="153">
        <v>25680</v>
      </c>
      <c r="P258" s="153">
        <v>14476</v>
      </c>
      <c r="Q258" s="153"/>
      <c r="R258" s="153"/>
      <c r="S258" s="153">
        <v>39221</v>
      </c>
    </row>
    <row r="259" spans="1:19">
      <c r="A259" s="134" t="s">
        <v>98</v>
      </c>
      <c r="B259" s="134" t="s">
        <v>200</v>
      </c>
      <c r="C259" s="134" t="s">
        <v>201</v>
      </c>
      <c r="D259" s="134">
        <v>0</v>
      </c>
      <c r="E259" s="134">
        <v>8</v>
      </c>
      <c r="F259" s="134">
        <f t="shared" ref="F259:F322" si="36">K259/O259</f>
        <v>0.15619158878504674</v>
      </c>
      <c r="G259" s="134">
        <f t="shared" ref="G259:G322" si="37">LN(N259)</f>
        <v>10.891112413014609</v>
      </c>
      <c r="H259" s="134">
        <f t="shared" ref="H259:H322" si="38">S259/N259</f>
        <v>0.73041324468778512</v>
      </c>
      <c r="I259" s="134" t="str">
        <f t="shared" si="35"/>
        <v/>
      </c>
      <c r="J259" s="134"/>
      <c r="K259" s="152">
        <v>4011</v>
      </c>
      <c r="L259" s="134"/>
      <c r="M259" s="153"/>
      <c r="N259" s="153">
        <v>53697</v>
      </c>
      <c r="O259" s="153">
        <v>25680</v>
      </c>
      <c r="P259" s="153">
        <v>14476</v>
      </c>
      <c r="Q259" s="153"/>
      <c r="R259" s="153"/>
      <c r="S259" s="153">
        <v>39221</v>
      </c>
    </row>
    <row r="260" spans="1:19">
      <c r="A260" s="134" t="s">
        <v>100</v>
      </c>
      <c r="B260" s="134" t="s">
        <v>200</v>
      </c>
      <c r="C260" s="134" t="s">
        <v>201</v>
      </c>
      <c r="D260" s="134">
        <v>0</v>
      </c>
      <c r="E260" s="134">
        <v>18</v>
      </c>
      <c r="F260" s="134">
        <f t="shared" si="36"/>
        <v>0.15619158878504674</v>
      </c>
      <c r="G260" s="134">
        <f t="shared" si="37"/>
        <v>10.891112413014609</v>
      </c>
      <c r="H260" s="134">
        <f t="shared" si="38"/>
        <v>0.73041324468778512</v>
      </c>
      <c r="I260" s="134" t="str">
        <f t="shared" si="35"/>
        <v/>
      </c>
      <c r="J260" s="134"/>
      <c r="K260" s="152">
        <v>4011</v>
      </c>
      <c r="L260" s="134"/>
      <c r="M260" s="153"/>
      <c r="N260" s="153">
        <v>53697</v>
      </c>
      <c r="O260" s="153">
        <v>25680</v>
      </c>
      <c r="P260" s="153">
        <v>14476</v>
      </c>
      <c r="Q260" s="153"/>
      <c r="R260" s="153"/>
      <c r="S260" s="153">
        <v>39221</v>
      </c>
    </row>
    <row r="261" spans="1:19">
      <c r="A261" s="134" t="s">
        <v>103</v>
      </c>
      <c r="B261" s="134" t="s">
        <v>200</v>
      </c>
      <c r="C261" s="134" t="s">
        <v>201</v>
      </c>
      <c r="D261" s="134">
        <v>0</v>
      </c>
      <c r="E261" s="134">
        <v>19</v>
      </c>
      <c r="F261" s="134">
        <f t="shared" si="36"/>
        <v>0.15619158878504674</v>
      </c>
      <c r="G261" s="134">
        <f t="shared" si="37"/>
        <v>10.891112413014609</v>
      </c>
      <c r="H261" s="134">
        <f t="shared" si="38"/>
        <v>0.73041324468778512</v>
      </c>
      <c r="I261" s="134" t="str">
        <f t="shared" si="35"/>
        <v/>
      </c>
      <c r="J261" s="134"/>
      <c r="K261" s="152">
        <v>4011</v>
      </c>
      <c r="L261" s="134"/>
      <c r="M261" s="153"/>
      <c r="N261" s="153">
        <v>53697</v>
      </c>
      <c r="O261" s="153">
        <v>25680</v>
      </c>
      <c r="P261" s="153">
        <v>14476</v>
      </c>
      <c r="Q261" s="153"/>
      <c r="R261" s="153"/>
      <c r="S261" s="153">
        <v>39221</v>
      </c>
    </row>
    <row r="262" spans="1:19">
      <c r="A262" s="134" t="s">
        <v>105</v>
      </c>
      <c r="B262" s="134" t="s">
        <v>200</v>
      </c>
      <c r="C262" s="134" t="s">
        <v>201</v>
      </c>
      <c r="D262" s="134">
        <v>0</v>
      </c>
      <c r="E262" s="134">
        <v>9</v>
      </c>
      <c r="F262" s="134">
        <f t="shared" si="36"/>
        <v>0.15619158878504674</v>
      </c>
      <c r="G262" s="134">
        <f t="shared" si="37"/>
        <v>10.891112413014609</v>
      </c>
      <c r="H262" s="134">
        <f t="shared" si="38"/>
        <v>0.73041324468778512</v>
      </c>
      <c r="I262" s="134" t="str">
        <f t="shared" si="35"/>
        <v/>
      </c>
      <c r="J262" s="134"/>
      <c r="K262" s="152">
        <v>4011</v>
      </c>
      <c r="L262" s="134"/>
      <c r="M262" s="153"/>
      <c r="N262" s="153">
        <v>53697</v>
      </c>
      <c r="O262" s="153">
        <v>25680</v>
      </c>
      <c r="P262" s="153">
        <v>14476</v>
      </c>
      <c r="Q262" s="153"/>
      <c r="R262" s="153"/>
      <c r="S262" s="153">
        <v>39221</v>
      </c>
    </row>
    <row r="263" spans="1:19">
      <c r="A263" s="134" t="s">
        <v>106</v>
      </c>
      <c r="B263" s="134" t="s">
        <v>200</v>
      </c>
      <c r="C263" s="134" t="s">
        <v>201</v>
      </c>
      <c r="D263" s="134">
        <v>1</v>
      </c>
      <c r="E263" s="134">
        <v>5</v>
      </c>
      <c r="F263" s="134">
        <f t="shared" si="36"/>
        <v>0.15619158878504674</v>
      </c>
      <c r="G263" s="134">
        <f t="shared" si="37"/>
        <v>10.891112413014609</v>
      </c>
      <c r="H263" s="134">
        <f t="shared" si="38"/>
        <v>0.73041324468778512</v>
      </c>
      <c r="I263" s="134" t="str">
        <f t="shared" si="35"/>
        <v/>
      </c>
      <c r="J263" s="134"/>
      <c r="K263" s="152">
        <v>4011</v>
      </c>
      <c r="L263" s="134"/>
      <c r="M263" s="153"/>
      <c r="N263" s="153">
        <v>53697</v>
      </c>
      <c r="O263" s="153">
        <v>25680</v>
      </c>
      <c r="P263" s="153">
        <v>14476</v>
      </c>
      <c r="Q263" s="153"/>
      <c r="R263" s="153"/>
      <c r="S263" s="153">
        <v>39221</v>
      </c>
    </row>
    <row r="264" spans="1:19">
      <c r="A264" s="134" t="s">
        <v>107</v>
      </c>
      <c r="B264" s="134" t="s">
        <v>200</v>
      </c>
      <c r="C264" s="134" t="s">
        <v>201</v>
      </c>
      <c r="D264" s="134">
        <v>0</v>
      </c>
      <c r="E264" s="134">
        <v>4</v>
      </c>
      <c r="F264" s="134">
        <f t="shared" si="36"/>
        <v>0.15619158878504674</v>
      </c>
      <c r="G264" s="134">
        <f t="shared" si="37"/>
        <v>10.891112413014609</v>
      </c>
      <c r="H264" s="134">
        <f t="shared" si="38"/>
        <v>0.73041324468778512</v>
      </c>
      <c r="I264" s="134" t="str">
        <f t="shared" si="35"/>
        <v/>
      </c>
      <c r="J264" s="134"/>
      <c r="K264" s="152">
        <v>4011</v>
      </c>
      <c r="L264" s="134"/>
      <c r="M264" s="153"/>
      <c r="N264" s="153">
        <v>53697</v>
      </c>
      <c r="O264" s="153">
        <v>25680</v>
      </c>
      <c r="P264" s="153">
        <v>14476</v>
      </c>
      <c r="Q264" s="153"/>
      <c r="R264" s="153"/>
      <c r="S264" s="153">
        <v>39221</v>
      </c>
    </row>
    <row r="265" spans="1:19">
      <c r="A265" s="134" t="s">
        <v>111</v>
      </c>
      <c r="B265" s="134" t="s">
        <v>200</v>
      </c>
      <c r="C265" s="134" t="s">
        <v>201</v>
      </c>
      <c r="D265" s="134">
        <v>0</v>
      </c>
      <c r="E265" s="134">
        <v>2</v>
      </c>
      <c r="F265" s="134">
        <f t="shared" si="36"/>
        <v>0.15619158878504674</v>
      </c>
      <c r="G265" s="134">
        <f t="shared" si="37"/>
        <v>10.891112413014609</v>
      </c>
      <c r="H265" s="134">
        <f t="shared" si="38"/>
        <v>0.73041324468778512</v>
      </c>
      <c r="I265" s="134" t="str">
        <f t="shared" si="35"/>
        <v/>
      </c>
      <c r="J265" s="134"/>
      <c r="K265" s="152">
        <v>4011</v>
      </c>
      <c r="L265" s="134"/>
      <c r="M265" s="153"/>
      <c r="N265" s="153">
        <v>53697</v>
      </c>
      <c r="O265" s="153">
        <v>25680</v>
      </c>
      <c r="P265" s="153">
        <v>14476</v>
      </c>
      <c r="Q265" s="153"/>
      <c r="R265" s="153"/>
      <c r="S265" s="153">
        <v>39221</v>
      </c>
    </row>
    <row r="266" spans="1:19">
      <c r="A266" s="134" t="s">
        <v>115</v>
      </c>
      <c r="B266" s="134" t="s">
        <v>200</v>
      </c>
      <c r="C266" s="134" t="s">
        <v>201</v>
      </c>
      <c r="D266" s="134">
        <v>0</v>
      </c>
      <c r="E266" s="134">
        <v>7</v>
      </c>
      <c r="F266" s="134">
        <f t="shared" si="36"/>
        <v>0.15619158878504674</v>
      </c>
      <c r="G266" s="134">
        <f t="shared" si="37"/>
        <v>10.891112413014609</v>
      </c>
      <c r="H266" s="134">
        <f t="shared" si="38"/>
        <v>0.73041324468778512</v>
      </c>
      <c r="I266" s="134">
        <v>0.34654374640000002</v>
      </c>
      <c r="J266" s="134"/>
      <c r="K266" s="152">
        <v>4011</v>
      </c>
      <c r="L266" s="134"/>
      <c r="M266" s="153"/>
      <c r="N266" s="153">
        <v>53697</v>
      </c>
      <c r="O266" s="153">
        <v>25680</v>
      </c>
      <c r="P266" s="153">
        <v>14476</v>
      </c>
      <c r="Q266" s="153"/>
      <c r="R266" s="153"/>
      <c r="S266" s="153">
        <v>39221</v>
      </c>
    </row>
    <row r="267" spans="1:19">
      <c r="A267" s="134" t="s">
        <v>116</v>
      </c>
      <c r="B267" s="134" t="s">
        <v>200</v>
      </c>
      <c r="C267" s="134" t="s">
        <v>201</v>
      </c>
      <c r="D267" s="134">
        <v>0</v>
      </c>
      <c r="E267" s="134">
        <v>15</v>
      </c>
      <c r="F267" s="134">
        <f t="shared" si="36"/>
        <v>0.15619158878504674</v>
      </c>
      <c r="G267" s="134">
        <f t="shared" si="37"/>
        <v>10.891112413014609</v>
      </c>
      <c r="H267" s="134">
        <f t="shared" si="38"/>
        <v>0.73041324468778512</v>
      </c>
      <c r="I267" s="134" t="str">
        <f t="shared" ref="I267:I278" si="39">IF(A267=A268, (O267-O268)/O268, "")</f>
        <v/>
      </c>
      <c r="J267" s="134"/>
      <c r="K267" s="152">
        <v>4011</v>
      </c>
      <c r="L267" s="134"/>
      <c r="M267" s="153"/>
      <c r="N267" s="153">
        <v>53697</v>
      </c>
      <c r="O267" s="153">
        <v>25680</v>
      </c>
      <c r="P267" s="153">
        <v>14476</v>
      </c>
      <c r="Q267" s="153"/>
      <c r="R267" s="153"/>
      <c r="S267" s="153">
        <v>39221</v>
      </c>
    </row>
    <row r="268" spans="1:19">
      <c r="A268" s="134" t="s">
        <v>133</v>
      </c>
      <c r="B268" s="134" t="s">
        <v>200</v>
      </c>
      <c r="C268" s="134" t="s">
        <v>201</v>
      </c>
      <c r="D268" s="134">
        <v>0</v>
      </c>
      <c r="E268" s="134">
        <v>17</v>
      </c>
      <c r="F268" s="134">
        <f t="shared" si="36"/>
        <v>0.15619158878504674</v>
      </c>
      <c r="G268" s="134">
        <f t="shared" si="37"/>
        <v>10.891112413014609</v>
      </c>
      <c r="H268" s="134">
        <f t="shared" si="38"/>
        <v>0.73041324468778512</v>
      </c>
      <c r="I268" s="134" t="str">
        <f t="shared" si="39"/>
        <v/>
      </c>
      <c r="J268" s="134"/>
      <c r="K268" s="152">
        <v>4011</v>
      </c>
      <c r="L268" s="134"/>
      <c r="M268" s="153"/>
      <c r="N268" s="153">
        <v>53697</v>
      </c>
      <c r="O268" s="153">
        <v>25680</v>
      </c>
      <c r="P268" s="153">
        <v>14476</v>
      </c>
      <c r="Q268" s="153"/>
      <c r="R268" s="153"/>
      <c r="S268" s="153">
        <v>39221</v>
      </c>
    </row>
    <row r="269" spans="1:19">
      <c r="A269" s="134" t="s">
        <v>134</v>
      </c>
      <c r="B269" s="134" t="s">
        <v>200</v>
      </c>
      <c r="C269" s="134" t="s">
        <v>201</v>
      </c>
      <c r="D269" s="134">
        <v>0</v>
      </c>
      <c r="E269" s="134">
        <v>14</v>
      </c>
      <c r="F269" s="134">
        <f t="shared" si="36"/>
        <v>0.15619158878504674</v>
      </c>
      <c r="G269" s="134">
        <f t="shared" si="37"/>
        <v>10.891112413014609</v>
      </c>
      <c r="H269" s="134">
        <f t="shared" si="38"/>
        <v>0.73041324468778512</v>
      </c>
      <c r="I269" s="134" t="str">
        <f t="shared" si="39"/>
        <v/>
      </c>
      <c r="J269" s="134"/>
      <c r="K269" s="152">
        <v>4011</v>
      </c>
      <c r="L269" s="134"/>
      <c r="M269" s="153"/>
      <c r="N269" s="153">
        <v>53697</v>
      </c>
      <c r="O269" s="153">
        <v>25680</v>
      </c>
      <c r="P269" s="153">
        <v>14476</v>
      </c>
      <c r="Q269" s="153"/>
      <c r="R269" s="153"/>
      <c r="S269" s="153">
        <v>39221</v>
      </c>
    </row>
    <row r="270" spans="1:19">
      <c r="A270" s="134" t="s">
        <v>135</v>
      </c>
      <c r="B270" s="134" t="s">
        <v>200</v>
      </c>
      <c r="C270" s="134" t="s">
        <v>201</v>
      </c>
      <c r="D270" s="134">
        <v>0</v>
      </c>
      <c r="E270" s="134">
        <v>6</v>
      </c>
      <c r="F270" s="134">
        <f t="shared" si="36"/>
        <v>0.15619158878504674</v>
      </c>
      <c r="G270" s="134">
        <f t="shared" si="37"/>
        <v>10.891112413014609</v>
      </c>
      <c r="H270" s="134">
        <f t="shared" si="38"/>
        <v>0.73041324468778512</v>
      </c>
      <c r="I270" s="134" t="str">
        <f t="shared" si="39"/>
        <v/>
      </c>
      <c r="J270" s="134"/>
      <c r="K270" s="152">
        <v>4011</v>
      </c>
      <c r="L270" s="134"/>
      <c r="M270" s="153"/>
      <c r="N270" s="153">
        <v>53697</v>
      </c>
      <c r="O270" s="153">
        <v>25680</v>
      </c>
      <c r="P270" s="153">
        <v>14476</v>
      </c>
      <c r="Q270" s="153"/>
      <c r="R270" s="153"/>
      <c r="S270" s="153">
        <v>39221</v>
      </c>
    </row>
    <row r="271" spans="1:19">
      <c r="A271" s="130" t="s">
        <v>21</v>
      </c>
      <c r="B271" s="130" t="s">
        <v>172</v>
      </c>
      <c r="C271" s="130" t="s">
        <v>201</v>
      </c>
      <c r="D271" s="130">
        <v>0</v>
      </c>
      <c r="E271" s="130">
        <v>8</v>
      </c>
      <c r="F271" s="130">
        <f t="shared" si="36"/>
        <v>-0.32688562555923995</v>
      </c>
      <c r="G271" s="130">
        <f t="shared" si="37"/>
        <v>13.723526839348086</v>
      </c>
      <c r="H271" s="130">
        <f t="shared" si="38"/>
        <v>0.77002148840064899</v>
      </c>
      <c r="I271" s="130" t="str">
        <f t="shared" si="39"/>
        <v/>
      </c>
      <c r="J271" s="130"/>
      <c r="K271" s="154">
        <v>-124210</v>
      </c>
      <c r="L271" s="130">
        <v>634</v>
      </c>
      <c r="M271" s="148">
        <v>0</v>
      </c>
      <c r="N271" s="148">
        <v>912120</v>
      </c>
      <c r="O271" s="148">
        <v>379980</v>
      </c>
      <c r="P271" s="148">
        <v>275247</v>
      </c>
      <c r="Q271" s="148">
        <v>381014</v>
      </c>
      <c r="R271" s="148">
        <v>255859</v>
      </c>
      <c r="S271" s="148">
        <v>702352</v>
      </c>
    </row>
    <row r="272" spans="1:19">
      <c r="A272" s="130" t="s">
        <v>24</v>
      </c>
      <c r="B272" s="130" t="s">
        <v>172</v>
      </c>
      <c r="C272" s="130" t="s">
        <v>201</v>
      </c>
      <c r="D272" s="130">
        <v>0</v>
      </c>
      <c r="E272" s="130">
        <v>11</v>
      </c>
      <c r="F272" s="130">
        <f t="shared" si="36"/>
        <v>-0.18269855009738151</v>
      </c>
      <c r="G272" s="130">
        <f t="shared" si="37"/>
        <v>12.404894815339226</v>
      </c>
      <c r="H272" s="130">
        <f t="shared" si="38"/>
        <v>1.1363727647924327</v>
      </c>
      <c r="I272" s="130" t="str">
        <f t="shared" si="39"/>
        <v/>
      </c>
      <c r="J272" s="130"/>
      <c r="K272" s="154">
        <v>-37147</v>
      </c>
      <c r="L272" s="130">
        <v>663</v>
      </c>
      <c r="M272" s="148">
        <v>248030</v>
      </c>
      <c r="N272" s="148">
        <v>243993</v>
      </c>
      <c r="O272" s="148">
        <v>203324</v>
      </c>
      <c r="P272" s="148">
        <v>-33274</v>
      </c>
      <c r="Q272" s="148">
        <v>0</v>
      </c>
      <c r="R272" s="148">
        <v>277267</v>
      </c>
      <c r="S272" s="148">
        <f t="shared" ref="S272:S303" si="40">Q272+R272</f>
        <v>277267</v>
      </c>
    </row>
    <row r="273" spans="1:29">
      <c r="A273" s="130" t="s">
        <v>36</v>
      </c>
      <c r="B273" s="130" t="s">
        <v>172</v>
      </c>
      <c r="C273" s="130" t="s">
        <v>201</v>
      </c>
      <c r="D273" s="130">
        <v>0</v>
      </c>
      <c r="E273" s="130">
        <v>16</v>
      </c>
      <c r="F273" s="130">
        <f t="shared" si="36"/>
        <v>-0.35464417177914109</v>
      </c>
      <c r="G273" s="130">
        <f t="shared" si="37"/>
        <v>12.026012529749854</v>
      </c>
      <c r="H273" s="130">
        <f t="shared" si="38"/>
        <v>2.6666327434687869</v>
      </c>
      <c r="I273" s="130" t="str">
        <f t="shared" si="39"/>
        <v/>
      </c>
      <c r="J273" s="130"/>
      <c r="K273" s="154">
        <v>-57807</v>
      </c>
      <c r="L273" s="130">
        <v>821</v>
      </c>
      <c r="M273" s="148">
        <v>350810</v>
      </c>
      <c r="N273" s="148">
        <v>167044</v>
      </c>
      <c r="O273" s="148">
        <v>163000</v>
      </c>
      <c r="P273" s="148">
        <v>-278401</v>
      </c>
      <c r="Q273" s="148">
        <v>13485</v>
      </c>
      <c r="R273" s="148">
        <v>431960</v>
      </c>
      <c r="S273" s="148">
        <f t="shared" si="40"/>
        <v>445445</v>
      </c>
    </row>
    <row r="274" spans="1:29">
      <c r="A274" s="130" t="s">
        <v>37</v>
      </c>
      <c r="B274" s="130" t="s">
        <v>172</v>
      </c>
      <c r="C274" s="130" t="s">
        <v>201</v>
      </c>
      <c r="D274" s="130">
        <v>0</v>
      </c>
      <c r="E274" s="130">
        <v>17</v>
      </c>
      <c r="F274" s="130">
        <f t="shared" si="36"/>
        <v>-2.2314098486753548E-2</v>
      </c>
      <c r="G274" s="130">
        <f t="shared" si="37"/>
        <v>12.145233938299091</v>
      </c>
      <c r="H274" s="130">
        <f t="shared" si="38"/>
        <v>0.53632668243045778</v>
      </c>
      <c r="I274" s="130" t="str">
        <f t="shared" si="39"/>
        <v/>
      </c>
      <c r="J274" s="130"/>
      <c r="K274" s="154">
        <v>-3017</v>
      </c>
      <c r="L274" s="130">
        <v>267</v>
      </c>
      <c r="M274" s="148">
        <v>607</v>
      </c>
      <c r="N274" s="148">
        <v>188195</v>
      </c>
      <c r="O274" s="148">
        <v>135206</v>
      </c>
      <c r="P274" s="148">
        <v>87262</v>
      </c>
      <c r="Q274" s="148">
        <v>16185</v>
      </c>
      <c r="R274" s="148">
        <v>84749</v>
      </c>
      <c r="S274" s="148">
        <f t="shared" si="40"/>
        <v>100934</v>
      </c>
    </row>
    <row r="275" spans="1:29">
      <c r="A275" s="130" t="s">
        <v>44</v>
      </c>
      <c r="B275" s="130" t="s">
        <v>172</v>
      </c>
      <c r="C275" s="130" t="s">
        <v>201</v>
      </c>
      <c r="D275" s="130">
        <v>0</v>
      </c>
      <c r="E275" s="130">
        <v>4</v>
      </c>
      <c r="F275" s="130">
        <f t="shared" si="36"/>
        <v>-0.35280585240074991</v>
      </c>
      <c r="G275" s="130">
        <f t="shared" si="37"/>
        <v>13.775176985813058</v>
      </c>
      <c r="H275" s="130">
        <f t="shared" si="38"/>
        <v>0.51334816636455727</v>
      </c>
      <c r="I275" s="130" t="str">
        <f t="shared" si="39"/>
        <v/>
      </c>
      <c r="J275" s="130"/>
      <c r="K275" s="154">
        <v>-178971</v>
      </c>
      <c r="L275" s="130">
        <v>817</v>
      </c>
      <c r="M275" s="148">
        <v>34471</v>
      </c>
      <c r="N275" s="148">
        <v>960469</v>
      </c>
      <c r="O275" s="148">
        <v>507279</v>
      </c>
      <c r="P275" s="148">
        <v>467414</v>
      </c>
      <c r="Q275" s="148">
        <v>70307</v>
      </c>
      <c r="R275" s="148">
        <v>422748</v>
      </c>
      <c r="S275" s="148">
        <f t="shared" si="40"/>
        <v>493055</v>
      </c>
    </row>
    <row r="276" spans="1:29">
      <c r="A276" s="130" t="s">
        <v>47</v>
      </c>
      <c r="B276" s="130" t="s">
        <v>172</v>
      </c>
      <c r="C276" s="130" t="s">
        <v>201</v>
      </c>
      <c r="D276" s="130">
        <v>0</v>
      </c>
      <c r="E276" s="130">
        <v>14</v>
      </c>
      <c r="F276" s="130">
        <f t="shared" si="36"/>
        <v>-0.31760713780760957</v>
      </c>
      <c r="G276" s="130">
        <f t="shared" si="37"/>
        <v>11.61760074590836</v>
      </c>
      <c r="H276" s="130">
        <f t="shared" si="38"/>
        <v>1.0336650605664881</v>
      </c>
      <c r="I276" s="130" t="str">
        <f t="shared" si="39"/>
        <v/>
      </c>
      <c r="J276" s="130"/>
      <c r="K276" s="154">
        <v>-42681</v>
      </c>
      <c r="L276" s="130">
        <v>297</v>
      </c>
      <c r="M276" s="148">
        <v>0</v>
      </c>
      <c r="N276" s="148">
        <v>111035</v>
      </c>
      <c r="O276" s="148">
        <v>134383</v>
      </c>
      <c r="P276" s="148">
        <v>-20497</v>
      </c>
      <c r="Q276" s="148">
        <v>27291</v>
      </c>
      <c r="R276" s="148">
        <v>87482</v>
      </c>
      <c r="S276" s="148">
        <f t="shared" si="40"/>
        <v>114773</v>
      </c>
    </row>
    <row r="277" spans="1:29">
      <c r="A277" s="130" t="s">
        <v>57</v>
      </c>
      <c r="B277" s="130" t="s">
        <v>172</v>
      </c>
      <c r="C277" s="130" t="s">
        <v>201</v>
      </c>
      <c r="D277" s="130">
        <v>0</v>
      </c>
      <c r="E277" s="130">
        <v>10</v>
      </c>
      <c r="F277" s="130">
        <f t="shared" si="36"/>
        <v>-0.62613956130773263</v>
      </c>
      <c r="G277" s="130">
        <f t="shared" si="37"/>
        <v>12.884164562210797</v>
      </c>
      <c r="H277" s="130">
        <f t="shared" si="38"/>
        <v>0.85271671958235939</v>
      </c>
      <c r="I277" s="130" t="str">
        <f t="shared" si="39"/>
        <v/>
      </c>
      <c r="J277" s="130"/>
      <c r="K277" s="154">
        <v>-141073</v>
      </c>
      <c r="L277" s="130">
        <v>450</v>
      </c>
      <c r="M277" s="148">
        <v>3957</v>
      </c>
      <c r="N277" s="148">
        <v>394023</v>
      </c>
      <c r="O277" s="148">
        <v>225306</v>
      </c>
      <c r="P277" s="148">
        <v>58034</v>
      </c>
      <c r="Q277" s="148">
        <v>193919</v>
      </c>
      <c r="R277" s="148">
        <v>142071</v>
      </c>
      <c r="S277" s="148">
        <f t="shared" si="40"/>
        <v>335990</v>
      </c>
    </row>
    <row r="278" spans="1:29">
      <c r="A278" s="130" t="s">
        <v>61</v>
      </c>
      <c r="B278" s="130" t="s">
        <v>172</v>
      </c>
      <c r="C278" s="130" t="s">
        <v>201</v>
      </c>
      <c r="D278" s="130">
        <v>0</v>
      </c>
      <c r="E278" s="130">
        <v>18</v>
      </c>
      <c r="F278" s="130">
        <f t="shared" si="36"/>
        <v>-0.80104395077041202</v>
      </c>
      <c r="G278" s="130">
        <f t="shared" si="37"/>
        <v>12.870624859210006</v>
      </c>
      <c r="H278" s="130">
        <f t="shared" si="38"/>
        <v>0.26372439057017316</v>
      </c>
      <c r="I278" s="130" t="str">
        <f t="shared" si="39"/>
        <v/>
      </c>
      <c r="J278" s="130"/>
      <c r="K278" s="154">
        <v>-108499</v>
      </c>
      <c r="L278" s="130">
        <v>194</v>
      </c>
      <c r="M278" s="148">
        <v>787</v>
      </c>
      <c r="N278" s="148">
        <v>388724</v>
      </c>
      <c r="O278" s="148">
        <v>135447</v>
      </c>
      <c r="P278" s="148">
        <v>286208</v>
      </c>
      <c r="Q278" s="148">
        <v>16258</v>
      </c>
      <c r="R278" s="148">
        <v>86258</v>
      </c>
      <c r="S278" s="148">
        <f t="shared" si="40"/>
        <v>102516</v>
      </c>
    </row>
    <row r="279" spans="1:29">
      <c r="A279" s="130" t="s">
        <v>85</v>
      </c>
      <c r="B279" s="130" t="s">
        <v>172</v>
      </c>
      <c r="C279" s="130" t="s">
        <v>201</v>
      </c>
      <c r="D279" s="130">
        <v>0</v>
      </c>
      <c r="E279" s="130">
        <v>9</v>
      </c>
      <c r="F279" s="130">
        <f t="shared" si="36"/>
        <v>0.15155281993704514</v>
      </c>
      <c r="G279" s="130">
        <f t="shared" si="37"/>
        <v>12.344128786026113</v>
      </c>
      <c r="H279" s="130">
        <f t="shared" si="38"/>
        <v>1.0644010661649419</v>
      </c>
      <c r="I279" s="130">
        <v>0.54733574600000001</v>
      </c>
      <c r="J279" s="130"/>
      <c r="K279" s="154">
        <v>30236</v>
      </c>
      <c r="L279" s="130">
        <v>428</v>
      </c>
      <c r="M279" s="148">
        <v>39959</v>
      </c>
      <c r="N279" s="148">
        <v>229608</v>
      </c>
      <c r="O279" s="148">
        <v>199508</v>
      </c>
      <c r="P279" s="148">
        <v>-14786</v>
      </c>
      <c r="Q279" s="148">
        <v>74872</v>
      </c>
      <c r="R279" s="148">
        <v>169523</v>
      </c>
      <c r="S279" s="148">
        <f t="shared" si="40"/>
        <v>244395</v>
      </c>
    </row>
    <row r="280" spans="1:29">
      <c r="A280" s="130" t="s">
        <v>87</v>
      </c>
      <c r="B280" s="130" t="s">
        <v>172</v>
      </c>
      <c r="C280" s="130" t="s">
        <v>201</v>
      </c>
      <c r="D280" s="130">
        <v>0</v>
      </c>
      <c r="E280" s="130">
        <v>5</v>
      </c>
      <c r="F280" s="130">
        <f t="shared" si="36"/>
        <v>-0.13795183943423173</v>
      </c>
      <c r="G280" s="130">
        <f t="shared" si="37"/>
        <v>13.203838289752181</v>
      </c>
      <c r="H280" s="130">
        <f t="shared" si="38"/>
        <v>0.91576442133090485</v>
      </c>
      <c r="I280" s="130" t="str">
        <f t="shared" ref="I280:I300" si="41">IF(A280=A281, (O280-O281)/O281, "")</f>
        <v/>
      </c>
      <c r="J280" s="130"/>
      <c r="K280" s="154">
        <v>-36126</v>
      </c>
      <c r="L280" s="130">
        <v>435</v>
      </c>
      <c r="M280" s="148">
        <v>124514</v>
      </c>
      <c r="N280" s="148">
        <v>542443</v>
      </c>
      <c r="O280" s="148">
        <v>261874</v>
      </c>
      <c r="P280" s="148">
        <v>45693</v>
      </c>
      <c r="Q280" s="148">
        <v>250590</v>
      </c>
      <c r="R280" s="148">
        <v>246160</v>
      </c>
      <c r="S280" s="148">
        <f t="shared" si="40"/>
        <v>496750</v>
      </c>
    </row>
    <row r="281" spans="1:29">
      <c r="A281" s="130" t="s">
        <v>90</v>
      </c>
      <c r="B281" s="130" t="s">
        <v>172</v>
      </c>
      <c r="C281" s="130" t="s">
        <v>201</v>
      </c>
      <c r="D281" s="130">
        <v>0</v>
      </c>
      <c r="E281" s="130">
        <v>3</v>
      </c>
      <c r="F281" s="130">
        <f t="shared" si="36"/>
        <v>-1.9565132626041707E-2</v>
      </c>
      <c r="G281" s="130">
        <f t="shared" si="37"/>
        <v>13.595849685079147</v>
      </c>
      <c r="H281" s="130">
        <f t="shared" si="38"/>
        <v>0.71267864238637457</v>
      </c>
      <c r="I281" s="130" t="str">
        <f t="shared" si="41"/>
        <v/>
      </c>
      <c r="J281" s="130"/>
      <c r="K281" s="154">
        <v>-11039</v>
      </c>
      <c r="L281" s="130">
        <v>964</v>
      </c>
      <c r="M281" s="148">
        <v>82659</v>
      </c>
      <c r="N281" s="148">
        <v>802791</v>
      </c>
      <c r="O281" s="148">
        <v>564218</v>
      </c>
      <c r="P281" s="148">
        <v>230658</v>
      </c>
      <c r="Q281" s="148">
        <v>253384</v>
      </c>
      <c r="R281" s="148">
        <v>318748</v>
      </c>
      <c r="S281" s="148">
        <f t="shared" si="40"/>
        <v>572132</v>
      </c>
    </row>
    <row r="282" spans="1:29">
      <c r="A282" s="130" t="s">
        <v>94</v>
      </c>
      <c r="B282" s="130" t="s">
        <v>172</v>
      </c>
      <c r="C282" s="130" t="s">
        <v>201</v>
      </c>
      <c r="D282" s="130">
        <v>0</v>
      </c>
      <c r="E282" s="130">
        <v>1</v>
      </c>
      <c r="F282" s="130">
        <f t="shared" si="36"/>
        <v>4.1534786323757719E-3</v>
      </c>
      <c r="G282" s="130">
        <f t="shared" si="37"/>
        <v>14.133332817019014</v>
      </c>
      <c r="H282" s="130">
        <f t="shared" si="38"/>
        <v>0.44285192397819134</v>
      </c>
      <c r="I282" s="130" t="str">
        <f t="shared" si="41"/>
        <v/>
      </c>
      <c r="J282" s="130"/>
      <c r="K282" s="154">
        <v>2761</v>
      </c>
      <c r="L282" s="130">
        <v>509</v>
      </c>
      <c r="M282" s="148">
        <v>34502</v>
      </c>
      <c r="N282" s="148">
        <v>1374132</v>
      </c>
      <c r="O282" s="148">
        <v>664744</v>
      </c>
      <c r="P282" s="148">
        <v>765595</v>
      </c>
      <c r="Q282" s="148">
        <v>150098</v>
      </c>
      <c r="R282" s="148">
        <v>458439</v>
      </c>
      <c r="S282" s="148">
        <f t="shared" si="40"/>
        <v>608537</v>
      </c>
    </row>
    <row r="283" spans="1:29">
      <c r="A283" s="130" t="s">
        <v>95</v>
      </c>
      <c r="B283" s="130" t="s">
        <v>172</v>
      </c>
      <c r="C283" s="130" t="s">
        <v>201</v>
      </c>
      <c r="D283" s="130">
        <v>0</v>
      </c>
      <c r="E283" s="130">
        <v>2</v>
      </c>
      <c r="F283" s="130">
        <f t="shared" si="36"/>
        <v>-0.18662701834313264</v>
      </c>
      <c r="G283" s="130">
        <f t="shared" si="37"/>
        <v>14.200898801176566</v>
      </c>
      <c r="H283" s="130">
        <f t="shared" si="38"/>
        <v>0.78377347068566205</v>
      </c>
      <c r="I283" s="130" t="str">
        <f t="shared" si="41"/>
        <v/>
      </c>
      <c r="J283" s="130"/>
      <c r="K283" s="154">
        <v>-107572</v>
      </c>
      <c r="L283" s="130">
        <v>983</v>
      </c>
      <c r="M283" s="148">
        <v>0</v>
      </c>
      <c r="N283" s="148">
        <v>1470185</v>
      </c>
      <c r="O283" s="148">
        <v>576401</v>
      </c>
      <c r="P283" s="148">
        <v>317892</v>
      </c>
      <c r="Q283" s="148">
        <v>704309</v>
      </c>
      <c r="R283" s="148">
        <v>447983</v>
      </c>
      <c r="S283" s="148">
        <f t="shared" si="40"/>
        <v>1152292</v>
      </c>
      <c r="T283" s="147"/>
      <c r="W283" s="149"/>
      <c r="X283" s="149"/>
      <c r="Y283" s="149"/>
      <c r="Z283" s="149"/>
      <c r="AA283" s="149"/>
      <c r="AB283" s="149"/>
      <c r="AC283" s="149"/>
    </row>
    <row r="284" spans="1:29">
      <c r="A284" s="130" t="s">
        <v>102</v>
      </c>
      <c r="B284" s="130" t="s">
        <v>172</v>
      </c>
      <c r="C284" s="130" t="s">
        <v>201</v>
      </c>
      <c r="D284" s="130">
        <v>0</v>
      </c>
      <c r="E284" s="130">
        <v>12</v>
      </c>
      <c r="F284" s="130">
        <f t="shared" si="36"/>
        <v>-8.6964497547970504E-2</v>
      </c>
      <c r="G284" s="130">
        <f t="shared" si="37"/>
        <v>12.284259786550393</v>
      </c>
      <c r="H284" s="130">
        <f t="shared" si="38"/>
        <v>1.0064226758837538</v>
      </c>
      <c r="I284" s="130" t="str">
        <f t="shared" si="41"/>
        <v/>
      </c>
      <c r="J284" s="130"/>
      <c r="K284" s="154">
        <v>-14222</v>
      </c>
      <c r="L284" s="130">
        <v>291</v>
      </c>
      <c r="M284" s="148">
        <v>137287</v>
      </c>
      <c r="N284" s="148">
        <v>216265</v>
      </c>
      <c r="O284" s="148">
        <v>163538</v>
      </c>
      <c r="P284" s="148">
        <v>-1389</v>
      </c>
      <c r="Q284" s="148">
        <v>11122</v>
      </c>
      <c r="R284" s="148">
        <v>206532</v>
      </c>
      <c r="S284" s="148">
        <f t="shared" si="40"/>
        <v>217654</v>
      </c>
      <c r="T284" s="147"/>
      <c r="W284" s="149"/>
      <c r="X284" s="149"/>
      <c r="Y284" s="149"/>
      <c r="Z284" s="149"/>
      <c r="AA284" s="149"/>
      <c r="AB284" s="149"/>
      <c r="AC284" s="149"/>
    </row>
    <row r="285" spans="1:29">
      <c r="A285" s="130" t="s">
        <v>129</v>
      </c>
      <c r="B285" s="130" t="s">
        <v>172</v>
      </c>
      <c r="C285" s="130" t="s">
        <v>201</v>
      </c>
      <c r="D285" s="130">
        <v>0</v>
      </c>
      <c r="E285" s="130">
        <v>15</v>
      </c>
      <c r="F285" s="130">
        <f t="shared" si="36"/>
        <v>-6.4120538320122628E-2</v>
      </c>
      <c r="G285" s="130">
        <f t="shared" si="37"/>
        <v>12.253714531632998</v>
      </c>
      <c r="H285" s="130">
        <f t="shared" si="38"/>
        <v>0.98522590210670336</v>
      </c>
      <c r="I285" s="130" t="str">
        <f t="shared" si="41"/>
        <v/>
      </c>
      <c r="J285" s="130"/>
      <c r="K285" s="154">
        <v>-11754</v>
      </c>
      <c r="L285" s="130">
        <v>385</v>
      </c>
      <c r="M285" s="148">
        <v>103501</v>
      </c>
      <c r="N285" s="148">
        <v>209759</v>
      </c>
      <c r="O285" s="148">
        <v>183311</v>
      </c>
      <c r="P285" s="148">
        <v>3099</v>
      </c>
      <c r="Q285" s="148">
        <v>31284</v>
      </c>
      <c r="R285" s="148">
        <v>175376</v>
      </c>
      <c r="S285" s="148">
        <f t="shared" si="40"/>
        <v>206660</v>
      </c>
      <c r="T285" s="147"/>
      <c r="W285" s="149"/>
      <c r="X285" s="149"/>
      <c r="Y285" s="149"/>
      <c r="Z285" s="149"/>
      <c r="AA285" s="149"/>
      <c r="AB285" s="149"/>
      <c r="AC285" s="149"/>
    </row>
    <row r="286" spans="1:29">
      <c r="A286" s="130" t="s">
        <v>140</v>
      </c>
      <c r="B286" s="130" t="s">
        <v>172</v>
      </c>
      <c r="C286" s="130" t="s">
        <v>201</v>
      </c>
      <c r="D286" s="130">
        <v>0</v>
      </c>
      <c r="E286" s="130">
        <v>7</v>
      </c>
      <c r="F286" s="130">
        <f t="shared" si="36"/>
        <v>-0.23251875496524921</v>
      </c>
      <c r="G286" s="130">
        <f t="shared" si="37"/>
        <v>14.525119497210829</v>
      </c>
      <c r="H286" s="130">
        <f t="shared" si="38"/>
        <v>0.85311844013071048</v>
      </c>
      <c r="I286" s="130" t="str">
        <f t="shared" si="41"/>
        <v/>
      </c>
      <c r="J286" s="130"/>
      <c r="K286" s="154">
        <v>-97756</v>
      </c>
      <c r="L286" s="130">
        <v>672</v>
      </c>
      <c r="M286" s="148">
        <v>2293</v>
      </c>
      <c r="N286" s="148">
        <v>2033196</v>
      </c>
      <c r="O286" s="148">
        <v>420422</v>
      </c>
      <c r="P286" s="148">
        <v>298639</v>
      </c>
      <c r="Q286" s="148">
        <v>1347378</v>
      </c>
      <c r="R286" s="148">
        <v>387179</v>
      </c>
      <c r="S286" s="148">
        <f t="shared" si="40"/>
        <v>1734557</v>
      </c>
      <c r="T286" s="147"/>
      <c r="X286" s="149"/>
      <c r="Y286" s="149"/>
      <c r="Z286" s="149"/>
      <c r="AA286" s="149"/>
      <c r="AB286" s="149"/>
      <c r="AC286" s="149"/>
    </row>
    <row r="287" spans="1:29">
      <c r="A287" s="130" t="s">
        <v>150</v>
      </c>
      <c r="B287" s="130" t="s">
        <v>172</v>
      </c>
      <c r="C287" s="130" t="s">
        <v>201</v>
      </c>
      <c r="D287" s="130">
        <v>0</v>
      </c>
      <c r="E287" s="130">
        <v>6</v>
      </c>
      <c r="F287" s="130">
        <f t="shared" si="36"/>
        <v>-0.13397305610014928</v>
      </c>
      <c r="G287" s="130">
        <f t="shared" si="37"/>
        <v>12.346182353514818</v>
      </c>
      <c r="H287" s="130">
        <f t="shared" si="38"/>
        <v>1.8299982614742698</v>
      </c>
      <c r="I287" s="130" t="str">
        <f t="shared" si="41"/>
        <v/>
      </c>
      <c r="J287" s="130"/>
      <c r="K287" s="154">
        <v>-29794</v>
      </c>
      <c r="L287" s="130">
        <v>652</v>
      </c>
      <c r="M287" s="148">
        <v>115505</v>
      </c>
      <c r="N287" s="148">
        <v>230080</v>
      </c>
      <c r="O287" s="148">
        <v>222388</v>
      </c>
      <c r="P287" s="148">
        <v>-190966</v>
      </c>
      <c r="Q287" s="148">
        <v>161292</v>
      </c>
      <c r="R287" s="148">
        <v>259754</v>
      </c>
      <c r="S287" s="148">
        <f t="shared" si="40"/>
        <v>421046</v>
      </c>
      <c r="T287" s="147"/>
      <c r="W287" s="149"/>
      <c r="X287" s="149"/>
      <c r="Y287" s="149"/>
      <c r="Z287" s="149"/>
      <c r="AA287" s="149"/>
      <c r="AB287" s="149"/>
      <c r="AC287" s="149"/>
    </row>
    <row r="288" spans="1:29">
      <c r="A288" s="130" t="s">
        <v>151</v>
      </c>
      <c r="B288" s="130" t="s">
        <v>172</v>
      </c>
      <c r="C288" s="130" t="s">
        <v>201</v>
      </c>
      <c r="D288" s="130">
        <v>1</v>
      </c>
      <c r="E288" s="130">
        <v>13</v>
      </c>
      <c r="F288" s="130">
        <f t="shared" si="36"/>
        <v>0.10876134275020806</v>
      </c>
      <c r="G288" s="130">
        <f t="shared" si="37"/>
        <v>12.874283996424873</v>
      </c>
      <c r="H288" s="130">
        <f t="shared" si="38"/>
        <v>1.1670413098585413</v>
      </c>
      <c r="I288" s="130" t="str">
        <f t="shared" si="41"/>
        <v/>
      </c>
      <c r="J288" s="130"/>
      <c r="K288" s="154">
        <v>24439</v>
      </c>
      <c r="L288" s="130">
        <v>379</v>
      </c>
      <c r="M288" s="148">
        <v>184220</v>
      </c>
      <c r="N288" s="148">
        <v>390149</v>
      </c>
      <c r="O288" s="148">
        <v>224703</v>
      </c>
      <c r="P288" s="148">
        <v>-65171</v>
      </c>
      <c r="Q288" s="148">
        <v>134866</v>
      </c>
      <c r="R288" s="148">
        <v>320454</v>
      </c>
      <c r="S288" s="148">
        <f t="shared" si="40"/>
        <v>455320</v>
      </c>
      <c r="T288" s="147"/>
    </row>
    <row r="289" spans="1:29">
      <c r="A289" s="132" t="s">
        <v>3</v>
      </c>
      <c r="B289" s="132" t="s">
        <v>198</v>
      </c>
      <c r="C289" s="132" t="s">
        <v>201</v>
      </c>
      <c r="D289" s="132">
        <v>0</v>
      </c>
      <c r="E289" s="132">
        <v>2</v>
      </c>
      <c r="F289" s="132">
        <f t="shared" si="36"/>
        <v>-0.39176455769238583</v>
      </c>
      <c r="G289" s="132">
        <f t="shared" si="37"/>
        <v>12.91346783935532</v>
      </c>
      <c r="H289" s="132">
        <f t="shared" si="38"/>
        <v>0.83414501897767046</v>
      </c>
      <c r="I289" s="132" t="str">
        <f t="shared" si="41"/>
        <v/>
      </c>
      <c r="J289" s="132"/>
      <c r="K289" s="155">
        <v>-96416</v>
      </c>
      <c r="L289" s="132">
        <v>411</v>
      </c>
      <c r="M289" s="156">
        <v>71684</v>
      </c>
      <c r="N289" s="156">
        <v>405740</v>
      </c>
      <c r="O289" s="156">
        <v>246107</v>
      </c>
      <c r="P289" s="156">
        <v>67294</v>
      </c>
      <c r="Q289" s="156">
        <v>104256</v>
      </c>
      <c r="R289" s="156">
        <v>234190</v>
      </c>
      <c r="S289" s="156">
        <f t="shared" si="40"/>
        <v>338446</v>
      </c>
      <c r="T289" s="147"/>
      <c r="X289" s="149"/>
      <c r="Y289" s="149"/>
      <c r="Z289" s="149"/>
      <c r="AA289" s="149"/>
      <c r="AB289" s="149"/>
      <c r="AC289" s="149"/>
    </row>
    <row r="290" spans="1:29">
      <c r="A290" s="132" t="s">
        <v>25</v>
      </c>
      <c r="B290" s="132" t="s">
        <v>198</v>
      </c>
      <c r="C290" s="132" t="s">
        <v>201</v>
      </c>
      <c r="D290" s="132">
        <v>0</v>
      </c>
      <c r="E290" s="132">
        <v>3</v>
      </c>
      <c r="F290" s="132">
        <f t="shared" si="36"/>
        <v>0.14676082156397116</v>
      </c>
      <c r="G290" s="132">
        <f t="shared" si="37"/>
        <v>12.758770272364451</v>
      </c>
      <c r="H290" s="132">
        <f t="shared" si="38"/>
        <v>0.5221081340786623</v>
      </c>
      <c r="I290" s="132" t="str">
        <f t="shared" si="41"/>
        <v/>
      </c>
      <c r="J290" s="132"/>
      <c r="K290" s="155">
        <v>35227</v>
      </c>
      <c r="L290" s="132">
        <v>171</v>
      </c>
      <c r="M290" s="156">
        <v>852</v>
      </c>
      <c r="N290" s="156">
        <v>347587</v>
      </c>
      <c r="O290" s="156">
        <v>240030</v>
      </c>
      <c r="P290" s="156">
        <v>166109</v>
      </c>
      <c r="Q290" s="156">
        <v>72572</v>
      </c>
      <c r="R290" s="156">
        <v>108906</v>
      </c>
      <c r="S290" s="156">
        <f t="shared" si="40"/>
        <v>181478</v>
      </c>
      <c r="W290" s="149"/>
      <c r="X290" s="149"/>
      <c r="Y290" s="149"/>
      <c r="Z290" s="149"/>
      <c r="AA290" s="149"/>
      <c r="AB290" s="149"/>
      <c r="AC290" s="149"/>
    </row>
    <row r="291" spans="1:29">
      <c r="A291" s="132" t="s">
        <v>32</v>
      </c>
      <c r="B291" s="132" t="s">
        <v>198</v>
      </c>
      <c r="C291" s="132" t="s">
        <v>201</v>
      </c>
      <c r="D291" s="132">
        <v>0</v>
      </c>
      <c r="E291" s="132">
        <v>12</v>
      </c>
      <c r="F291" s="132">
        <f t="shared" si="36"/>
        <v>-0.38627028651572831</v>
      </c>
      <c r="G291" s="132">
        <f t="shared" si="37"/>
        <v>11.707488455408749</v>
      </c>
      <c r="H291" s="132">
        <f t="shared" si="38"/>
        <v>0.8671529001136008</v>
      </c>
      <c r="I291" s="132" t="str">
        <f t="shared" si="41"/>
        <v/>
      </c>
      <c r="J291" s="132"/>
      <c r="K291" s="155">
        <v>-30846</v>
      </c>
      <c r="L291" s="132">
        <v>183</v>
      </c>
      <c r="M291" s="156">
        <v>6528</v>
      </c>
      <c r="N291" s="156">
        <v>121478</v>
      </c>
      <c r="O291" s="156">
        <v>79856</v>
      </c>
      <c r="P291" s="156">
        <v>16139</v>
      </c>
      <c r="Q291" s="156">
        <v>27562</v>
      </c>
      <c r="R291" s="156">
        <v>77778</v>
      </c>
      <c r="S291" s="156">
        <f t="shared" si="40"/>
        <v>105340</v>
      </c>
      <c r="T291" s="147"/>
      <c r="W291" s="149"/>
      <c r="X291" s="149"/>
      <c r="Y291" s="149"/>
      <c r="Z291" s="149"/>
      <c r="AA291" s="149"/>
      <c r="AB291" s="149"/>
      <c r="AC291" s="149"/>
    </row>
    <row r="292" spans="1:29">
      <c r="A292" s="132" t="s">
        <v>59</v>
      </c>
      <c r="B292" s="132" t="s">
        <v>198</v>
      </c>
      <c r="C292" s="132" t="s">
        <v>201</v>
      </c>
      <c r="D292" s="132">
        <v>0</v>
      </c>
      <c r="E292" s="132">
        <v>13</v>
      </c>
      <c r="F292" s="132">
        <f t="shared" si="36"/>
        <v>-6.4552062330420934E-2</v>
      </c>
      <c r="G292" s="132">
        <f t="shared" si="37"/>
        <v>12.599539393671195</v>
      </c>
      <c r="H292" s="132">
        <f t="shared" si="38"/>
        <v>0.48380349636666642</v>
      </c>
      <c r="I292" s="132" t="str">
        <f t="shared" si="41"/>
        <v/>
      </c>
      <c r="J292" s="132"/>
      <c r="K292" s="155">
        <v>-10373</v>
      </c>
      <c r="L292" s="132">
        <v>247</v>
      </c>
      <c r="M292" s="156">
        <v>0</v>
      </c>
      <c r="N292" s="156">
        <v>296422</v>
      </c>
      <c r="O292" s="156">
        <v>160692</v>
      </c>
      <c r="P292" s="156">
        <v>153012</v>
      </c>
      <c r="Q292" s="156">
        <v>39146</v>
      </c>
      <c r="R292" s="156">
        <v>104264</v>
      </c>
      <c r="S292" s="156">
        <f t="shared" si="40"/>
        <v>143410</v>
      </c>
      <c r="T292" s="147"/>
      <c r="X292" s="149"/>
      <c r="Y292" s="149"/>
      <c r="Z292" s="149"/>
      <c r="AA292" s="149"/>
      <c r="AB292" s="149"/>
      <c r="AC292" s="149"/>
    </row>
    <row r="293" spans="1:29">
      <c r="A293" s="132" t="s">
        <v>65</v>
      </c>
      <c r="B293" s="132" t="s">
        <v>198</v>
      </c>
      <c r="C293" s="132" t="s">
        <v>201</v>
      </c>
      <c r="D293" s="132">
        <v>0</v>
      </c>
      <c r="E293" s="132">
        <v>11</v>
      </c>
      <c r="F293" s="132">
        <f t="shared" si="36"/>
        <v>-0.57344928469817757</v>
      </c>
      <c r="G293" s="132">
        <f t="shared" si="37"/>
        <v>12.587374834069179</v>
      </c>
      <c r="H293" s="132">
        <f t="shared" si="38"/>
        <v>0.98400822297652624</v>
      </c>
      <c r="I293" s="132" t="str">
        <f t="shared" si="41"/>
        <v/>
      </c>
      <c r="J293" s="132"/>
      <c r="K293" s="155">
        <v>-42730</v>
      </c>
      <c r="L293" s="132">
        <v>196</v>
      </c>
      <c r="M293" s="156">
        <v>42892</v>
      </c>
      <c r="N293" s="156">
        <v>292838</v>
      </c>
      <c r="O293" s="156">
        <v>74514</v>
      </c>
      <c r="P293" s="156">
        <v>4682</v>
      </c>
      <c r="Q293" s="156">
        <v>125009</v>
      </c>
      <c r="R293" s="156">
        <v>163146</v>
      </c>
      <c r="S293" s="156">
        <f t="shared" si="40"/>
        <v>288155</v>
      </c>
      <c r="T293" s="147"/>
      <c r="W293" s="149"/>
      <c r="X293" s="149"/>
      <c r="Y293" s="149"/>
      <c r="Z293" s="149"/>
      <c r="AA293" s="149"/>
      <c r="AB293" s="149"/>
      <c r="AC293" s="149"/>
    </row>
    <row r="294" spans="1:29">
      <c r="A294" s="132" t="s">
        <v>75</v>
      </c>
      <c r="B294" s="132" t="s">
        <v>198</v>
      </c>
      <c r="C294" s="132" t="s">
        <v>201</v>
      </c>
      <c r="D294" s="132">
        <v>0</v>
      </c>
      <c r="E294" s="132">
        <v>1</v>
      </c>
      <c r="F294" s="132">
        <f t="shared" si="36"/>
        <v>-0.67725753430702029</v>
      </c>
      <c r="G294" s="132">
        <f t="shared" si="37"/>
        <v>13.76769017340655</v>
      </c>
      <c r="H294" s="132">
        <f t="shared" si="38"/>
        <v>0.94393085109172825</v>
      </c>
      <c r="I294" s="132" t="str">
        <f t="shared" si="41"/>
        <v/>
      </c>
      <c r="J294" s="132"/>
      <c r="K294" s="155">
        <v>-245579</v>
      </c>
      <c r="L294" s="132">
        <v>520</v>
      </c>
      <c r="M294" s="156">
        <v>9321</v>
      </c>
      <c r="N294" s="156">
        <v>953305</v>
      </c>
      <c r="O294" s="156">
        <v>362608</v>
      </c>
      <c r="P294" s="156">
        <v>53451</v>
      </c>
      <c r="Q294" s="156">
        <v>581891</v>
      </c>
      <c r="R294" s="156">
        <v>317963</v>
      </c>
      <c r="S294" s="156">
        <f t="shared" si="40"/>
        <v>899854</v>
      </c>
    </row>
    <row r="295" spans="1:29">
      <c r="A295" s="132" t="s">
        <v>77</v>
      </c>
      <c r="B295" s="132" t="s">
        <v>198</v>
      </c>
      <c r="C295" s="132" t="s">
        <v>201</v>
      </c>
      <c r="D295" s="132">
        <v>0</v>
      </c>
      <c r="E295" s="132">
        <v>4</v>
      </c>
      <c r="F295" s="132">
        <f t="shared" si="36"/>
        <v>-0.43661277438466273</v>
      </c>
      <c r="G295" s="132">
        <f t="shared" si="37"/>
        <v>13.718791486137523</v>
      </c>
      <c r="H295" s="132">
        <f t="shared" si="38"/>
        <v>0.96867299470925117</v>
      </c>
      <c r="I295" s="132" t="str">
        <f t="shared" si="41"/>
        <v/>
      </c>
      <c r="J295" s="132"/>
      <c r="K295" s="155">
        <v>-209885</v>
      </c>
      <c r="L295" s="132">
        <v>270</v>
      </c>
      <c r="M295" s="156">
        <v>48416</v>
      </c>
      <c r="N295" s="156">
        <v>907811</v>
      </c>
      <c r="O295" s="156">
        <v>480712</v>
      </c>
      <c r="P295" s="156">
        <v>28439</v>
      </c>
      <c r="Q295" s="156">
        <v>499212</v>
      </c>
      <c r="R295" s="156">
        <v>380160</v>
      </c>
      <c r="S295" s="156">
        <f t="shared" si="40"/>
        <v>879372</v>
      </c>
    </row>
    <row r="296" spans="1:29">
      <c r="A296" s="132" t="s">
        <v>83</v>
      </c>
      <c r="B296" s="132" t="s">
        <v>198</v>
      </c>
      <c r="C296" s="132" t="s">
        <v>201</v>
      </c>
      <c r="D296" s="132">
        <v>0</v>
      </c>
      <c r="E296" s="132">
        <v>6</v>
      </c>
      <c r="F296" s="132">
        <f t="shared" si="36"/>
        <v>-0.17278428572390889</v>
      </c>
      <c r="G296" s="132">
        <f t="shared" si="37"/>
        <v>12.720834512117683</v>
      </c>
      <c r="H296" s="132">
        <f t="shared" si="38"/>
        <v>0.7762305467237216</v>
      </c>
      <c r="I296" s="132" t="str">
        <f t="shared" si="41"/>
        <v/>
      </c>
      <c r="J296" s="132"/>
      <c r="K296" s="155">
        <v>-25650</v>
      </c>
      <c r="L296" s="132">
        <v>183</v>
      </c>
      <c r="M296" s="156">
        <v>25675</v>
      </c>
      <c r="N296" s="156">
        <v>334648</v>
      </c>
      <c r="O296" s="156">
        <v>148451</v>
      </c>
      <c r="P296" s="156">
        <v>74884</v>
      </c>
      <c r="Q296" s="156">
        <v>84582</v>
      </c>
      <c r="R296" s="156">
        <v>175182</v>
      </c>
      <c r="S296" s="156">
        <f t="shared" si="40"/>
        <v>259764</v>
      </c>
    </row>
    <row r="297" spans="1:29">
      <c r="A297" s="132" t="s">
        <v>101</v>
      </c>
      <c r="B297" s="132" t="s">
        <v>198</v>
      </c>
      <c r="C297" s="132" t="s">
        <v>201</v>
      </c>
      <c r="D297" s="132">
        <v>0</v>
      </c>
      <c r="E297" s="132">
        <v>5</v>
      </c>
      <c r="F297" s="132">
        <f t="shared" si="36"/>
        <v>-0.26439570988332711</v>
      </c>
      <c r="G297" s="132">
        <f t="shared" si="37"/>
        <v>12.942707863557493</v>
      </c>
      <c r="H297" s="132">
        <f t="shared" si="38"/>
        <v>0.664274652387985</v>
      </c>
      <c r="I297" s="132" t="str">
        <f t="shared" si="41"/>
        <v/>
      </c>
      <c r="J297" s="132"/>
      <c r="K297" s="155">
        <v>-58942</v>
      </c>
      <c r="L297" s="132">
        <v>110</v>
      </c>
      <c r="M297" s="156">
        <v>0</v>
      </c>
      <c r="N297" s="156">
        <v>417779</v>
      </c>
      <c r="O297" s="156">
        <v>222931</v>
      </c>
      <c r="P297" s="156">
        <v>140259</v>
      </c>
      <c r="Q297" s="156">
        <v>82783</v>
      </c>
      <c r="R297" s="156">
        <v>194737</v>
      </c>
      <c r="S297" s="156">
        <f t="shared" si="40"/>
        <v>277520</v>
      </c>
    </row>
    <row r="298" spans="1:29">
      <c r="A298" s="132" t="s">
        <v>121</v>
      </c>
      <c r="B298" s="132" t="s">
        <v>198</v>
      </c>
      <c r="C298" s="132" t="s">
        <v>201</v>
      </c>
      <c r="D298" s="132">
        <v>0</v>
      </c>
      <c r="E298" s="132">
        <v>7</v>
      </c>
      <c r="F298" s="132">
        <f t="shared" si="36"/>
        <v>-0.81804296869827009</v>
      </c>
      <c r="G298" s="132">
        <f t="shared" si="37"/>
        <v>12.835478320584524</v>
      </c>
      <c r="H298" s="132">
        <f t="shared" si="38"/>
        <v>1.7280728166075583</v>
      </c>
      <c r="I298" s="132" t="str">
        <f t="shared" si="41"/>
        <v/>
      </c>
      <c r="J298" s="132"/>
      <c r="K298" s="155">
        <v>-185317</v>
      </c>
      <c r="L298" s="132">
        <v>403</v>
      </c>
      <c r="M298" s="156">
        <v>22968</v>
      </c>
      <c r="N298" s="156">
        <v>375299</v>
      </c>
      <c r="O298" s="156">
        <v>226537</v>
      </c>
      <c r="P298" s="156">
        <v>-273245</v>
      </c>
      <c r="Q298" s="156">
        <v>389087</v>
      </c>
      <c r="R298" s="156">
        <v>259457</v>
      </c>
      <c r="S298" s="156">
        <f t="shared" si="40"/>
        <v>648544</v>
      </c>
      <c r="Y298" s="147"/>
    </row>
    <row r="299" spans="1:29">
      <c r="A299" s="132" t="s">
        <v>123</v>
      </c>
      <c r="B299" s="132" t="s">
        <v>198</v>
      </c>
      <c r="C299" s="132" t="s">
        <v>201</v>
      </c>
      <c r="D299" s="132">
        <v>0</v>
      </c>
      <c r="E299" s="132">
        <v>9</v>
      </c>
      <c r="F299" s="132">
        <f t="shared" si="36"/>
        <v>-0.32000681395287889</v>
      </c>
      <c r="G299" s="132">
        <f t="shared" si="37"/>
        <v>12.792950564314253</v>
      </c>
      <c r="H299" s="132">
        <f t="shared" si="38"/>
        <v>0.99963856058141698</v>
      </c>
      <c r="I299" s="132" t="str">
        <f t="shared" si="41"/>
        <v/>
      </c>
      <c r="J299" s="132"/>
      <c r="K299" s="155">
        <v>-24421</v>
      </c>
      <c r="L299" s="132">
        <v>201</v>
      </c>
      <c r="M299" s="156">
        <v>76784</v>
      </c>
      <c r="N299" s="156">
        <v>359673</v>
      </c>
      <c r="O299" s="156">
        <v>76314</v>
      </c>
      <c r="P299" s="156">
        <f>N299-S299</f>
        <v>130</v>
      </c>
      <c r="Q299" s="156">
        <v>254067</v>
      </c>
      <c r="R299" s="156">
        <v>105476</v>
      </c>
      <c r="S299" s="156">
        <f t="shared" si="40"/>
        <v>359543</v>
      </c>
      <c r="Y299" s="147"/>
    </row>
    <row r="300" spans="1:29">
      <c r="A300" s="132" t="s">
        <v>124</v>
      </c>
      <c r="B300" s="132" t="s">
        <v>198</v>
      </c>
      <c r="C300" s="132" t="s">
        <v>201</v>
      </c>
      <c r="D300" s="132">
        <v>0</v>
      </c>
      <c r="E300" s="132">
        <v>8</v>
      </c>
      <c r="F300" s="132">
        <f t="shared" si="36"/>
        <v>-0.11845244712784243</v>
      </c>
      <c r="G300" s="132">
        <f t="shared" si="37"/>
        <v>12.31168412969277</v>
      </c>
      <c r="H300" s="132">
        <f t="shared" si="38"/>
        <v>0.94385409262275166</v>
      </c>
      <c r="I300" s="132" t="str">
        <f t="shared" si="41"/>
        <v/>
      </c>
      <c r="J300" s="132"/>
      <c r="K300" s="155">
        <v>-13851</v>
      </c>
      <c r="L300" s="132">
        <v>181</v>
      </c>
      <c r="M300" s="156">
        <v>40997</v>
      </c>
      <c r="N300" s="156">
        <v>222278</v>
      </c>
      <c r="O300" s="156">
        <v>116933</v>
      </c>
      <c r="P300" s="156">
        <v>12480</v>
      </c>
      <c r="Q300" s="156">
        <v>58908</v>
      </c>
      <c r="R300" s="156">
        <v>150890</v>
      </c>
      <c r="S300" s="156">
        <f t="shared" si="40"/>
        <v>209798</v>
      </c>
      <c r="Y300" s="147"/>
    </row>
    <row r="301" spans="1:29">
      <c r="A301" s="132" t="s">
        <v>131</v>
      </c>
      <c r="B301" s="132" t="s">
        <v>198</v>
      </c>
      <c r="C301" s="132" t="s">
        <v>201</v>
      </c>
      <c r="D301" s="132">
        <v>0</v>
      </c>
      <c r="E301" s="132">
        <v>15</v>
      </c>
      <c r="F301" s="132">
        <f t="shared" si="36"/>
        <v>-0.4341472153972154</v>
      </c>
      <c r="G301" s="132">
        <f t="shared" si="37"/>
        <v>12.024400877577715</v>
      </c>
      <c r="H301" s="132">
        <f t="shared" si="38"/>
        <v>0.76378354069854593</v>
      </c>
      <c r="I301" s="132">
        <v>0.25346743570000002</v>
      </c>
      <c r="J301" s="132"/>
      <c r="K301" s="155">
        <v>-16963</v>
      </c>
      <c r="L301" s="132">
        <v>94</v>
      </c>
      <c r="M301" s="156">
        <v>124</v>
      </c>
      <c r="N301" s="156">
        <v>166775</v>
      </c>
      <c r="O301" s="156">
        <v>39072</v>
      </c>
      <c r="P301" s="156">
        <f>N301-S301</f>
        <v>39395</v>
      </c>
      <c r="Q301" s="156">
        <v>28890</v>
      </c>
      <c r="R301" s="156">
        <v>98490</v>
      </c>
      <c r="S301" s="156">
        <f t="shared" si="40"/>
        <v>127380</v>
      </c>
      <c r="Y301" s="147"/>
    </row>
    <row r="302" spans="1:29">
      <c r="A302" s="132" t="s">
        <v>139</v>
      </c>
      <c r="B302" s="132" t="s">
        <v>198</v>
      </c>
      <c r="C302" s="132" t="s">
        <v>201</v>
      </c>
      <c r="D302" s="132">
        <v>0</v>
      </c>
      <c r="E302" s="132">
        <v>17</v>
      </c>
      <c r="F302" s="132">
        <f t="shared" si="36"/>
        <v>-0.45146802360304833</v>
      </c>
      <c r="G302" s="132">
        <f t="shared" si="37"/>
        <v>11.906378718745147</v>
      </c>
      <c r="H302" s="132">
        <f t="shared" si="38"/>
        <v>0.86268040402404711</v>
      </c>
      <c r="I302" s="132" t="str">
        <f t="shared" ref="I302:I310" si="42">IF(A302=A303, (O302-O303)/O303, "")</f>
        <v/>
      </c>
      <c r="J302" s="132"/>
      <c r="K302" s="155">
        <v>-37796</v>
      </c>
      <c r="L302" s="132">
        <v>180</v>
      </c>
      <c r="M302" s="156">
        <v>1250</v>
      </c>
      <c r="N302" s="156">
        <v>148209</v>
      </c>
      <c r="O302" s="156">
        <v>83718</v>
      </c>
      <c r="P302" s="156">
        <v>20352</v>
      </c>
      <c r="Q302" s="156">
        <v>60382</v>
      </c>
      <c r="R302" s="156">
        <v>67475</v>
      </c>
      <c r="S302" s="156">
        <f t="shared" si="40"/>
        <v>127857</v>
      </c>
      <c r="V302" s="149"/>
      <c r="X302" s="149"/>
      <c r="Y302" s="149"/>
      <c r="Z302" s="149"/>
      <c r="AA302" s="149"/>
      <c r="AB302" s="149"/>
      <c r="AC302" s="149"/>
    </row>
    <row r="303" spans="1:29">
      <c r="A303" s="132" t="s">
        <v>144</v>
      </c>
      <c r="B303" s="132" t="s">
        <v>198</v>
      </c>
      <c r="C303" s="132" t="s">
        <v>201</v>
      </c>
      <c r="D303" s="132">
        <v>0</v>
      </c>
      <c r="E303" s="132">
        <v>14</v>
      </c>
      <c r="F303" s="132">
        <f t="shared" si="36"/>
        <v>-0.46747946872148433</v>
      </c>
      <c r="G303" s="132">
        <f t="shared" si="37"/>
        <v>12.87314275558</v>
      </c>
      <c r="H303" s="132">
        <f t="shared" si="38"/>
        <v>0.49633054831359186</v>
      </c>
      <c r="I303" s="132" t="str">
        <f t="shared" si="42"/>
        <v/>
      </c>
      <c r="J303" s="132"/>
      <c r="K303" s="155">
        <v>-36886</v>
      </c>
      <c r="L303" s="132">
        <v>175</v>
      </c>
      <c r="M303" s="156">
        <v>8169</v>
      </c>
      <c r="N303" s="156">
        <v>389704</v>
      </c>
      <c r="O303" s="156">
        <v>78904</v>
      </c>
      <c r="P303" s="156">
        <v>196282</v>
      </c>
      <c r="Q303" s="156">
        <v>101229</v>
      </c>
      <c r="R303" s="156">
        <v>92193</v>
      </c>
      <c r="S303" s="156">
        <f t="shared" si="40"/>
        <v>193422</v>
      </c>
      <c r="V303" s="149"/>
      <c r="X303" s="149"/>
      <c r="Y303" s="149"/>
      <c r="Z303" s="149"/>
      <c r="AA303" s="149"/>
      <c r="AB303" s="149"/>
      <c r="AC303" s="149"/>
    </row>
    <row r="304" spans="1:29">
      <c r="A304" s="132" t="s">
        <v>155</v>
      </c>
      <c r="B304" s="132" t="s">
        <v>198</v>
      </c>
      <c r="C304" s="132" t="s">
        <v>201</v>
      </c>
      <c r="D304" s="132">
        <v>0</v>
      </c>
      <c r="E304" s="132">
        <v>10</v>
      </c>
      <c r="F304" s="132">
        <f t="shared" si="36"/>
        <v>-0.24610902786177977</v>
      </c>
      <c r="G304" s="132">
        <f t="shared" si="37"/>
        <v>12.607757283323652</v>
      </c>
      <c r="H304" s="132">
        <f t="shared" si="38"/>
        <v>0.83436165798948025</v>
      </c>
      <c r="I304" s="132" t="str">
        <f t="shared" si="42"/>
        <v/>
      </c>
      <c r="J304" s="132"/>
      <c r="K304" s="155">
        <v>-24415</v>
      </c>
      <c r="L304" s="132">
        <v>160</v>
      </c>
      <c r="M304" s="156">
        <v>39683</v>
      </c>
      <c r="N304" s="156">
        <v>298868</v>
      </c>
      <c r="O304" s="156">
        <v>99204</v>
      </c>
      <c r="P304" s="156">
        <v>49504</v>
      </c>
      <c r="Q304" s="156">
        <v>102661</v>
      </c>
      <c r="R304" s="156">
        <v>146703</v>
      </c>
      <c r="S304" s="156">
        <f t="shared" ref="S304:S335" si="43">Q304+R304</f>
        <v>249364</v>
      </c>
      <c r="V304" s="149"/>
      <c r="X304" s="149"/>
      <c r="Y304" s="149"/>
      <c r="Z304" s="149"/>
      <c r="AA304" s="149"/>
      <c r="AB304" s="149"/>
      <c r="AC304" s="149"/>
    </row>
    <row r="305" spans="1:29">
      <c r="A305" s="133" t="s">
        <v>13</v>
      </c>
      <c r="B305" s="133" t="s">
        <v>199</v>
      </c>
      <c r="C305" s="133" t="s">
        <v>201</v>
      </c>
      <c r="D305" s="133">
        <v>0</v>
      </c>
      <c r="E305" s="133">
        <v>7</v>
      </c>
      <c r="F305" s="133">
        <f t="shared" si="36"/>
        <v>-0.89170511767060656</v>
      </c>
      <c r="G305" s="133">
        <f t="shared" si="37"/>
        <v>11.586594054895428</v>
      </c>
      <c r="H305" s="133">
        <f t="shared" si="38"/>
        <v>1.5476241348878257</v>
      </c>
      <c r="I305" s="133" t="str">
        <f t="shared" si="42"/>
        <v/>
      </c>
      <c r="J305" s="133"/>
      <c r="K305" s="158">
        <v>-42323</v>
      </c>
      <c r="L305" s="133">
        <v>134</v>
      </c>
      <c r="M305" s="159">
        <v>56223</v>
      </c>
      <c r="N305" s="159">
        <v>107645</v>
      </c>
      <c r="O305" s="159">
        <v>47463</v>
      </c>
      <c r="P305" s="159">
        <f t="shared" ref="P305:P319" si="44">N305-S305</f>
        <v>-58949</v>
      </c>
      <c r="Q305" s="159">
        <v>128952</v>
      </c>
      <c r="R305" s="159">
        <v>37642</v>
      </c>
      <c r="S305" s="159">
        <f t="shared" si="43"/>
        <v>166594</v>
      </c>
      <c r="V305" s="149"/>
      <c r="X305" s="149"/>
      <c r="Y305" s="149"/>
      <c r="Z305" s="149"/>
      <c r="AA305" s="149"/>
      <c r="AB305" s="149"/>
      <c r="AC305" s="149"/>
    </row>
    <row r="306" spans="1:29">
      <c r="A306" s="133" t="s">
        <v>19</v>
      </c>
      <c r="B306" s="133" t="s">
        <v>199</v>
      </c>
      <c r="C306" s="133" t="s">
        <v>201</v>
      </c>
      <c r="D306" s="133">
        <v>0</v>
      </c>
      <c r="E306" s="133">
        <v>19</v>
      </c>
      <c r="F306" s="133">
        <f t="shared" si="36"/>
        <v>-0.89170511767060656</v>
      </c>
      <c r="G306" s="133">
        <f t="shared" si="37"/>
        <v>11.586594054895428</v>
      </c>
      <c r="H306" s="133">
        <f t="shared" si="38"/>
        <v>1.5476241348878257</v>
      </c>
      <c r="I306" s="133" t="str">
        <f t="shared" si="42"/>
        <v/>
      </c>
      <c r="J306" s="133"/>
      <c r="K306" s="158">
        <v>-42323</v>
      </c>
      <c r="L306" s="133">
        <v>134</v>
      </c>
      <c r="M306" s="159">
        <v>56223</v>
      </c>
      <c r="N306" s="159">
        <v>107645</v>
      </c>
      <c r="O306" s="159">
        <v>47463</v>
      </c>
      <c r="P306" s="159">
        <f t="shared" si="44"/>
        <v>-58949</v>
      </c>
      <c r="Q306" s="159">
        <v>128952</v>
      </c>
      <c r="R306" s="159">
        <v>37642</v>
      </c>
      <c r="S306" s="159">
        <f t="shared" si="43"/>
        <v>166594</v>
      </c>
    </row>
    <row r="307" spans="1:29">
      <c r="A307" s="133" t="s">
        <v>20</v>
      </c>
      <c r="B307" s="133" t="s">
        <v>199</v>
      </c>
      <c r="C307" s="133" t="s">
        <v>201</v>
      </c>
      <c r="D307" s="133">
        <v>0</v>
      </c>
      <c r="E307" s="133">
        <v>16</v>
      </c>
      <c r="F307" s="133">
        <f t="shared" si="36"/>
        <v>-0.89170511767060656</v>
      </c>
      <c r="G307" s="133">
        <f t="shared" si="37"/>
        <v>11.586594054895428</v>
      </c>
      <c r="H307" s="133">
        <f t="shared" si="38"/>
        <v>1.5476241348878257</v>
      </c>
      <c r="I307" s="133" t="str">
        <f t="shared" si="42"/>
        <v/>
      </c>
      <c r="J307" s="133"/>
      <c r="K307" s="158">
        <v>-42323</v>
      </c>
      <c r="L307" s="133">
        <v>134</v>
      </c>
      <c r="M307" s="159">
        <v>56223</v>
      </c>
      <c r="N307" s="159">
        <v>107645</v>
      </c>
      <c r="O307" s="159">
        <v>47463</v>
      </c>
      <c r="P307" s="159">
        <f t="shared" si="44"/>
        <v>-58949</v>
      </c>
      <c r="Q307" s="159">
        <v>128952</v>
      </c>
      <c r="R307" s="159">
        <v>37642</v>
      </c>
      <c r="S307" s="159">
        <f t="shared" si="43"/>
        <v>166594</v>
      </c>
    </row>
    <row r="308" spans="1:29">
      <c r="A308" s="133" t="s">
        <v>29</v>
      </c>
      <c r="B308" s="133" t="s">
        <v>199</v>
      </c>
      <c r="C308" s="133" t="s">
        <v>201</v>
      </c>
      <c r="D308" s="133">
        <v>0</v>
      </c>
      <c r="E308" s="133">
        <v>18</v>
      </c>
      <c r="F308" s="133">
        <f t="shared" si="36"/>
        <v>-0.89170511767060656</v>
      </c>
      <c r="G308" s="133">
        <f t="shared" si="37"/>
        <v>11.586594054895428</v>
      </c>
      <c r="H308" s="133">
        <f t="shared" si="38"/>
        <v>1.5476241348878257</v>
      </c>
      <c r="I308" s="133" t="str">
        <f t="shared" si="42"/>
        <v/>
      </c>
      <c r="J308" s="133"/>
      <c r="K308" s="158">
        <v>-42323</v>
      </c>
      <c r="L308" s="133">
        <v>134</v>
      </c>
      <c r="M308" s="159">
        <v>56223</v>
      </c>
      <c r="N308" s="159">
        <v>107645</v>
      </c>
      <c r="O308" s="159">
        <v>47463</v>
      </c>
      <c r="P308" s="159">
        <f t="shared" si="44"/>
        <v>-58949</v>
      </c>
      <c r="Q308" s="159">
        <v>128952</v>
      </c>
      <c r="R308" s="159">
        <v>37642</v>
      </c>
      <c r="S308" s="159">
        <f t="shared" si="43"/>
        <v>166594</v>
      </c>
    </row>
    <row r="309" spans="1:29">
      <c r="A309" s="133" t="s">
        <v>31</v>
      </c>
      <c r="B309" s="133" t="s">
        <v>199</v>
      </c>
      <c r="C309" s="133" t="s">
        <v>201</v>
      </c>
      <c r="D309" s="133">
        <v>0</v>
      </c>
      <c r="E309" s="133">
        <v>1</v>
      </c>
      <c r="F309" s="133">
        <f t="shared" si="36"/>
        <v>-0.89170511767060656</v>
      </c>
      <c r="G309" s="133">
        <f t="shared" si="37"/>
        <v>11.586594054895428</v>
      </c>
      <c r="H309" s="133">
        <f t="shared" si="38"/>
        <v>1.5476241348878257</v>
      </c>
      <c r="I309" s="133" t="str">
        <f t="shared" si="42"/>
        <v/>
      </c>
      <c r="J309" s="133"/>
      <c r="K309" s="158">
        <v>-42323</v>
      </c>
      <c r="L309" s="133">
        <v>134</v>
      </c>
      <c r="M309" s="159">
        <v>56223</v>
      </c>
      <c r="N309" s="159">
        <v>107645</v>
      </c>
      <c r="O309" s="159">
        <v>47463</v>
      </c>
      <c r="P309" s="159">
        <f t="shared" si="44"/>
        <v>-58949</v>
      </c>
      <c r="Q309" s="159">
        <v>128952</v>
      </c>
      <c r="R309" s="159">
        <v>37642</v>
      </c>
      <c r="S309" s="159">
        <f t="shared" si="43"/>
        <v>166594</v>
      </c>
    </row>
    <row r="310" spans="1:29">
      <c r="A310" s="133" t="s">
        <v>48</v>
      </c>
      <c r="B310" s="133" t="s">
        <v>199</v>
      </c>
      <c r="C310" s="133" t="s">
        <v>201</v>
      </c>
      <c r="D310" s="133">
        <v>0</v>
      </c>
      <c r="E310" s="133">
        <v>21</v>
      </c>
      <c r="F310" s="133">
        <f t="shared" si="36"/>
        <v>-0.89170511767060656</v>
      </c>
      <c r="G310" s="133">
        <f t="shared" si="37"/>
        <v>11.586594054895428</v>
      </c>
      <c r="H310" s="133">
        <f t="shared" si="38"/>
        <v>1.5476241348878257</v>
      </c>
      <c r="I310" s="133" t="str">
        <f t="shared" si="42"/>
        <v/>
      </c>
      <c r="J310" s="133"/>
      <c r="K310" s="158">
        <v>-42323</v>
      </c>
      <c r="L310" s="133">
        <v>134</v>
      </c>
      <c r="M310" s="159">
        <v>56223</v>
      </c>
      <c r="N310" s="159">
        <v>107645</v>
      </c>
      <c r="O310" s="159">
        <v>47463</v>
      </c>
      <c r="P310" s="159">
        <f t="shared" si="44"/>
        <v>-58949</v>
      </c>
      <c r="Q310" s="159">
        <v>128952</v>
      </c>
      <c r="R310" s="159">
        <v>37642</v>
      </c>
      <c r="S310" s="159">
        <f t="shared" si="43"/>
        <v>166594</v>
      </c>
    </row>
    <row r="311" spans="1:29">
      <c r="A311" s="133" t="s">
        <v>158</v>
      </c>
      <c r="B311" s="133" t="s">
        <v>199</v>
      </c>
      <c r="C311" s="133" t="s">
        <v>201</v>
      </c>
      <c r="D311" s="133">
        <v>0</v>
      </c>
      <c r="E311" s="133">
        <v>8</v>
      </c>
      <c r="F311" s="133">
        <f t="shared" si="36"/>
        <v>-0.89170511767060656</v>
      </c>
      <c r="G311" s="133">
        <f t="shared" si="37"/>
        <v>11.586594054895428</v>
      </c>
      <c r="H311" s="133">
        <f t="shared" si="38"/>
        <v>1.5476241348878257</v>
      </c>
      <c r="I311" s="133">
        <v>-0.54624629999999996</v>
      </c>
      <c r="J311" s="133"/>
      <c r="K311" s="158">
        <v>-42323</v>
      </c>
      <c r="L311" s="133">
        <v>134</v>
      </c>
      <c r="M311" s="159">
        <v>56223</v>
      </c>
      <c r="N311" s="159">
        <v>107645</v>
      </c>
      <c r="O311" s="159">
        <v>47463</v>
      </c>
      <c r="P311" s="159">
        <f t="shared" si="44"/>
        <v>-58949</v>
      </c>
      <c r="Q311" s="159">
        <v>128952</v>
      </c>
      <c r="R311" s="159">
        <v>37642</v>
      </c>
      <c r="S311" s="159">
        <f t="shared" si="43"/>
        <v>166594</v>
      </c>
    </row>
    <row r="312" spans="1:29">
      <c r="A312" s="133" t="s">
        <v>58</v>
      </c>
      <c r="B312" s="133" t="s">
        <v>199</v>
      </c>
      <c r="C312" s="133" t="s">
        <v>201</v>
      </c>
      <c r="D312" s="133">
        <v>0</v>
      </c>
      <c r="E312" s="133">
        <v>3</v>
      </c>
      <c r="F312" s="133">
        <f t="shared" si="36"/>
        <v>-0.89170511767060656</v>
      </c>
      <c r="G312" s="133">
        <f t="shared" si="37"/>
        <v>11.586594054895428</v>
      </c>
      <c r="H312" s="133">
        <f t="shared" si="38"/>
        <v>1.5476241348878257</v>
      </c>
      <c r="I312" s="133" t="str">
        <f>IF(A312=A313, (O312-O313)/O313, "")</f>
        <v/>
      </c>
      <c r="J312" s="133"/>
      <c r="K312" s="158">
        <v>-42323</v>
      </c>
      <c r="L312" s="133">
        <v>134</v>
      </c>
      <c r="M312" s="159">
        <v>56223</v>
      </c>
      <c r="N312" s="159">
        <v>107645</v>
      </c>
      <c r="O312" s="159">
        <v>47463</v>
      </c>
      <c r="P312" s="159">
        <f t="shared" si="44"/>
        <v>-58949</v>
      </c>
      <c r="Q312" s="159">
        <v>128952</v>
      </c>
      <c r="R312" s="159">
        <v>37642</v>
      </c>
      <c r="S312" s="159">
        <f t="shared" si="43"/>
        <v>166594</v>
      </c>
    </row>
    <row r="313" spans="1:29">
      <c r="A313" s="133" t="s">
        <v>62</v>
      </c>
      <c r="B313" s="133" t="s">
        <v>199</v>
      </c>
      <c r="C313" s="133" t="s">
        <v>201</v>
      </c>
      <c r="D313" s="133">
        <v>1</v>
      </c>
      <c r="E313" s="133">
        <v>2</v>
      </c>
      <c r="F313" s="133">
        <f t="shared" si="36"/>
        <v>-0.89170511767060656</v>
      </c>
      <c r="G313" s="133">
        <f t="shared" si="37"/>
        <v>11.586594054895428</v>
      </c>
      <c r="H313" s="133">
        <f t="shared" si="38"/>
        <v>1.5476241348878257</v>
      </c>
      <c r="I313" s="133" t="str">
        <f>IF(A313=A314, (O313-O314)/O314, "")</f>
        <v/>
      </c>
      <c r="J313" s="133"/>
      <c r="K313" s="158">
        <v>-42323</v>
      </c>
      <c r="L313" s="133">
        <v>134</v>
      </c>
      <c r="M313" s="159">
        <v>56223</v>
      </c>
      <c r="N313" s="159">
        <v>107645</v>
      </c>
      <c r="O313" s="159">
        <v>47463</v>
      </c>
      <c r="P313" s="159">
        <f t="shared" si="44"/>
        <v>-58949</v>
      </c>
      <c r="Q313" s="159">
        <v>128952</v>
      </c>
      <c r="R313" s="159">
        <v>37642</v>
      </c>
      <c r="S313" s="159">
        <f t="shared" si="43"/>
        <v>166594</v>
      </c>
    </row>
    <row r="314" spans="1:29">
      <c r="A314" s="133" t="s">
        <v>71</v>
      </c>
      <c r="B314" s="133" t="s">
        <v>199</v>
      </c>
      <c r="C314" s="133" t="s">
        <v>201</v>
      </c>
      <c r="D314" s="133">
        <v>0</v>
      </c>
      <c r="E314" s="133">
        <v>6</v>
      </c>
      <c r="F314" s="133">
        <f t="shared" si="36"/>
        <v>-0.89170511767060656</v>
      </c>
      <c r="G314" s="133">
        <f t="shared" si="37"/>
        <v>11.586594054895428</v>
      </c>
      <c r="H314" s="133">
        <f t="shared" si="38"/>
        <v>1.5476241348878257</v>
      </c>
      <c r="I314" s="133">
        <v>0.2546574224</v>
      </c>
      <c r="J314" s="133"/>
      <c r="K314" s="158">
        <v>-42323</v>
      </c>
      <c r="L314" s="133">
        <v>134</v>
      </c>
      <c r="M314" s="159">
        <v>56223</v>
      </c>
      <c r="N314" s="159">
        <v>107645</v>
      </c>
      <c r="O314" s="159">
        <v>47463</v>
      </c>
      <c r="P314" s="159">
        <f t="shared" si="44"/>
        <v>-58949</v>
      </c>
      <c r="Q314" s="159">
        <v>128952</v>
      </c>
      <c r="R314" s="159">
        <v>37642</v>
      </c>
      <c r="S314" s="159">
        <f t="shared" si="43"/>
        <v>166594</v>
      </c>
    </row>
    <row r="315" spans="1:29">
      <c r="A315" s="133" t="s">
        <v>76</v>
      </c>
      <c r="B315" s="133" t="s">
        <v>199</v>
      </c>
      <c r="C315" s="133" t="s">
        <v>201</v>
      </c>
      <c r="D315" s="133">
        <v>1</v>
      </c>
      <c r="E315" s="133">
        <v>12</v>
      </c>
      <c r="F315" s="133">
        <f t="shared" si="36"/>
        <v>-0.89170511767060656</v>
      </c>
      <c r="G315" s="133">
        <f t="shared" si="37"/>
        <v>11.586594054895428</v>
      </c>
      <c r="H315" s="133">
        <f t="shared" si="38"/>
        <v>1.5476241348878257</v>
      </c>
      <c r="I315" s="133" t="str">
        <f t="shared" ref="I315:I338" si="45">IF(A315=A316, (O315-O316)/O316, "")</f>
        <v/>
      </c>
      <c r="J315" s="133"/>
      <c r="K315" s="158">
        <v>-42323</v>
      </c>
      <c r="L315" s="133">
        <v>134</v>
      </c>
      <c r="M315" s="159">
        <v>56223</v>
      </c>
      <c r="N315" s="159">
        <v>107645</v>
      </c>
      <c r="O315" s="159">
        <v>47463</v>
      </c>
      <c r="P315" s="159">
        <f t="shared" si="44"/>
        <v>-58949</v>
      </c>
      <c r="Q315" s="159">
        <v>128952</v>
      </c>
      <c r="R315" s="159">
        <v>37642</v>
      </c>
      <c r="S315" s="159">
        <f t="shared" si="43"/>
        <v>166594</v>
      </c>
    </row>
    <row r="316" spans="1:29">
      <c r="A316" s="133" t="s">
        <v>79</v>
      </c>
      <c r="B316" s="133" t="s">
        <v>199</v>
      </c>
      <c r="C316" s="133" t="s">
        <v>201</v>
      </c>
      <c r="D316" s="133">
        <v>0</v>
      </c>
      <c r="E316" s="133">
        <v>14</v>
      </c>
      <c r="F316" s="133">
        <f t="shared" si="36"/>
        <v>-0.89170511767060656</v>
      </c>
      <c r="G316" s="133">
        <f t="shared" si="37"/>
        <v>11.586594054895428</v>
      </c>
      <c r="H316" s="133">
        <f t="shared" si="38"/>
        <v>1.5476241348878257</v>
      </c>
      <c r="I316" s="133" t="str">
        <f t="shared" si="45"/>
        <v/>
      </c>
      <c r="J316" s="133"/>
      <c r="K316" s="158">
        <v>-42323</v>
      </c>
      <c r="L316" s="133">
        <v>134</v>
      </c>
      <c r="M316" s="159">
        <v>56223</v>
      </c>
      <c r="N316" s="159">
        <v>107645</v>
      </c>
      <c r="O316" s="159">
        <v>47463</v>
      </c>
      <c r="P316" s="159">
        <f t="shared" si="44"/>
        <v>-58949</v>
      </c>
      <c r="Q316" s="159">
        <v>128952</v>
      </c>
      <c r="R316" s="159">
        <v>37642</v>
      </c>
      <c r="S316" s="159">
        <f t="shared" si="43"/>
        <v>166594</v>
      </c>
    </row>
    <row r="317" spans="1:29">
      <c r="A317" s="133" t="s">
        <v>80</v>
      </c>
      <c r="B317" s="133" t="s">
        <v>199</v>
      </c>
      <c r="C317" s="133" t="s">
        <v>201</v>
      </c>
      <c r="D317" s="133">
        <v>0</v>
      </c>
      <c r="E317" s="133">
        <v>17</v>
      </c>
      <c r="F317" s="133">
        <f t="shared" si="36"/>
        <v>-0.89170511767060656</v>
      </c>
      <c r="G317" s="133">
        <f t="shared" si="37"/>
        <v>11.586594054895428</v>
      </c>
      <c r="H317" s="133">
        <f t="shared" si="38"/>
        <v>1.5476241348878257</v>
      </c>
      <c r="I317" s="133" t="str">
        <f t="shared" si="45"/>
        <v/>
      </c>
      <c r="J317" s="133"/>
      <c r="K317" s="158">
        <v>-42323</v>
      </c>
      <c r="L317" s="133">
        <v>134</v>
      </c>
      <c r="M317" s="159">
        <v>56223</v>
      </c>
      <c r="N317" s="159">
        <v>107645</v>
      </c>
      <c r="O317" s="159">
        <v>47463</v>
      </c>
      <c r="P317" s="159">
        <f t="shared" si="44"/>
        <v>-58949</v>
      </c>
      <c r="Q317" s="159">
        <v>128952</v>
      </c>
      <c r="R317" s="159">
        <v>37642</v>
      </c>
      <c r="S317" s="159">
        <f t="shared" si="43"/>
        <v>166594</v>
      </c>
    </row>
    <row r="318" spans="1:29">
      <c r="A318" s="133" t="s">
        <v>81</v>
      </c>
      <c r="B318" s="133" t="s">
        <v>199</v>
      </c>
      <c r="C318" s="133" t="s">
        <v>201</v>
      </c>
      <c r="D318" s="133">
        <v>0</v>
      </c>
      <c r="E318" s="133">
        <v>11</v>
      </c>
      <c r="F318" s="133">
        <f t="shared" si="36"/>
        <v>-0.89170511767060656</v>
      </c>
      <c r="G318" s="133">
        <f t="shared" si="37"/>
        <v>11.586594054895428</v>
      </c>
      <c r="H318" s="133">
        <f t="shared" si="38"/>
        <v>1.5476241348878257</v>
      </c>
      <c r="I318" s="133" t="str">
        <f t="shared" si="45"/>
        <v/>
      </c>
      <c r="J318" s="133"/>
      <c r="K318" s="158">
        <v>-42323</v>
      </c>
      <c r="L318" s="133">
        <v>134</v>
      </c>
      <c r="M318" s="159">
        <v>56223</v>
      </c>
      <c r="N318" s="159">
        <v>107645</v>
      </c>
      <c r="O318" s="159">
        <v>47463</v>
      </c>
      <c r="P318" s="159">
        <f t="shared" si="44"/>
        <v>-58949</v>
      </c>
      <c r="Q318" s="159">
        <v>128952</v>
      </c>
      <c r="R318" s="159">
        <v>37642</v>
      </c>
      <c r="S318" s="159">
        <f t="shared" si="43"/>
        <v>166594</v>
      </c>
    </row>
    <row r="319" spans="1:29">
      <c r="A319" s="133" t="s">
        <v>142</v>
      </c>
      <c r="B319" s="133" t="s">
        <v>199</v>
      </c>
      <c r="C319" s="133" t="s">
        <v>201</v>
      </c>
      <c r="D319" s="133">
        <v>1</v>
      </c>
      <c r="E319" s="133">
        <v>4</v>
      </c>
      <c r="F319" s="133">
        <f t="shared" si="36"/>
        <v>-0.89170511767060656</v>
      </c>
      <c r="G319" s="133">
        <f t="shared" si="37"/>
        <v>11.586594054895428</v>
      </c>
      <c r="H319" s="133">
        <f t="shared" si="38"/>
        <v>1.5476241348878257</v>
      </c>
      <c r="I319" s="133" t="str">
        <f t="shared" si="45"/>
        <v/>
      </c>
      <c r="J319" s="133"/>
      <c r="K319" s="158">
        <v>-42323</v>
      </c>
      <c r="L319" s="133">
        <v>134</v>
      </c>
      <c r="M319" s="159">
        <v>56223</v>
      </c>
      <c r="N319" s="159">
        <v>107645</v>
      </c>
      <c r="O319" s="159">
        <v>47463</v>
      </c>
      <c r="P319" s="159">
        <f t="shared" si="44"/>
        <v>-58949</v>
      </c>
      <c r="Q319" s="159">
        <v>128952</v>
      </c>
      <c r="R319" s="159">
        <v>37642</v>
      </c>
      <c r="S319" s="159">
        <f t="shared" si="43"/>
        <v>166594</v>
      </c>
    </row>
    <row r="320" spans="1:29">
      <c r="A320" s="131" t="s">
        <v>26</v>
      </c>
      <c r="B320" s="131" t="s">
        <v>193</v>
      </c>
      <c r="C320" s="131" t="s">
        <v>173</v>
      </c>
      <c r="D320" s="131">
        <v>0</v>
      </c>
      <c r="E320" s="131">
        <v>8</v>
      </c>
      <c r="F320" s="131">
        <f t="shared" si="36"/>
        <v>-0.10999482133609528</v>
      </c>
      <c r="G320" s="131">
        <f t="shared" si="37"/>
        <v>7.7437032581737535</v>
      </c>
      <c r="H320" s="131">
        <f t="shared" si="38"/>
        <v>52.583875162548765</v>
      </c>
      <c r="I320" s="131" t="str">
        <f t="shared" si="45"/>
        <v/>
      </c>
      <c r="J320" s="131"/>
      <c r="K320" s="145">
        <v>-10620</v>
      </c>
      <c r="L320" s="131">
        <v>327</v>
      </c>
      <c r="M320" s="139">
        <v>1379</v>
      </c>
      <c r="N320" s="139">
        <v>2307</v>
      </c>
      <c r="O320" s="139">
        <f>96550</f>
        <v>96550</v>
      </c>
      <c r="P320" s="139">
        <v>103403</v>
      </c>
      <c r="Q320" s="139">
        <v>60877</v>
      </c>
      <c r="R320" s="139">
        <v>60434</v>
      </c>
      <c r="S320" s="139">
        <f t="shared" si="43"/>
        <v>121311</v>
      </c>
    </row>
    <row r="321" spans="1:29">
      <c r="A321" s="131" t="s">
        <v>27</v>
      </c>
      <c r="B321" s="131" t="s">
        <v>193</v>
      </c>
      <c r="C321" s="131" t="s">
        <v>173</v>
      </c>
      <c r="D321" s="131">
        <v>0</v>
      </c>
      <c r="E321" s="131">
        <v>3</v>
      </c>
      <c r="F321" s="131">
        <f t="shared" si="36"/>
        <v>-5.8775601681837604E-2</v>
      </c>
      <c r="G321" s="131">
        <f t="shared" si="37"/>
        <v>13.80624879999038</v>
      </c>
      <c r="H321" s="131">
        <f t="shared" si="38"/>
        <v>0.93085252946917629</v>
      </c>
      <c r="I321" s="131" t="str">
        <f t="shared" si="45"/>
        <v/>
      </c>
      <c r="J321" s="131"/>
      <c r="K321" s="145">
        <v>-25176</v>
      </c>
      <c r="L321" s="151">
        <v>1193</v>
      </c>
      <c r="M321" s="139">
        <v>49911</v>
      </c>
      <c r="N321" s="139">
        <v>990781</v>
      </c>
      <c r="O321" s="139">
        <v>428341</v>
      </c>
      <c r="P321" s="139">
        <v>68510</v>
      </c>
      <c r="Q321" s="139">
        <v>541190</v>
      </c>
      <c r="R321" s="139">
        <v>381081</v>
      </c>
      <c r="S321" s="139">
        <f t="shared" si="43"/>
        <v>922271</v>
      </c>
    </row>
    <row r="322" spans="1:29">
      <c r="A322" s="131" t="s">
        <v>28</v>
      </c>
      <c r="B322" s="131" t="s">
        <v>193</v>
      </c>
      <c r="C322" s="131" t="s">
        <v>173</v>
      </c>
      <c r="D322" s="131">
        <v>1</v>
      </c>
      <c r="E322" s="131">
        <v>2</v>
      </c>
      <c r="F322" s="131">
        <f t="shared" si="36"/>
        <v>0.15274138357455255</v>
      </c>
      <c r="G322" s="131">
        <f t="shared" si="37"/>
        <v>14.153129993444031</v>
      </c>
      <c r="H322" s="131">
        <f t="shared" si="38"/>
        <v>1.2520057334188541</v>
      </c>
      <c r="I322" s="131" t="str">
        <f t="shared" si="45"/>
        <v/>
      </c>
      <c r="J322" s="131"/>
      <c r="K322" s="145">
        <v>97577</v>
      </c>
      <c r="L322" s="151">
        <v>1392</v>
      </c>
      <c r="M322" s="139">
        <v>175306</v>
      </c>
      <c r="N322" s="139">
        <v>1401607</v>
      </c>
      <c r="O322" s="139">
        <v>638838</v>
      </c>
      <c r="P322" s="139">
        <v>-353213</v>
      </c>
      <c r="Q322" s="139">
        <v>914154</v>
      </c>
      <c r="R322" s="139">
        <v>840666</v>
      </c>
      <c r="S322" s="139">
        <f t="shared" si="43"/>
        <v>1754820</v>
      </c>
    </row>
    <row r="323" spans="1:29">
      <c r="A323" s="131" t="s">
        <v>39</v>
      </c>
      <c r="B323" s="131" t="s">
        <v>193</v>
      </c>
      <c r="C323" s="131" t="s">
        <v>173</v>
      </c>
      <c r="D323" s="131">
        <v>0</v>
      </c>
      <c r="E323" s="131">
        <v>17</v>
      </c>
      <c r="F323" s="131">
        <f t="shared" ref="F323:F386" si="46">K323/O323</f>
        <v>1.1104381183121341E-2</v>
      </c>
      <c r="G323" s="131">
        <f t="shared" ref="G323:G386" si="47">LN(N323)</f>
        <v>7.4109518755836366</v>
      </c>
      <c r="H323" s="131">
        <f t="shared" ref="H323:H386" si="48">S323/N323</f>
        <v>24.909915356711004</v>
      </c>
      <c r="I323" s="131" t="str">
        <f t="shared" si="45"/>
        <v/>
      </c>
      <c r="J323" s="131"/>
      <c r="K323" s="145">
        <v>660</v>
      </c>
      <c r="L323" s="131">
        <v>273</v>
      </c>
      <c r="M323" s="139">
        <v>946</v>
      </c>
      <c r="N323" s="139">
        <v>1654</v>
      </c>
      <c r="O323" s="139">
        <v>59436</v>
      </c>
      <c r="P323" s="139">
        <f>N323-S323</f>
        <v>-39547</v>
      </c>
      <c r="Q323" s="139">
        <v>35433</v>
      </c>
      <c r="R323" s="139">
        <v>5768</v>
      </c>
      <c r="S323" s="139">
        <f t="shared" si="43"/>
        <v>41201</v>
      </c>
    </row>
    <row r="324" spans="1:29">
      <c r="A324" s="131" t="s">
        <v>43</v>
      </c>
      <c r="B324" s="131" t="s">
        <v>193</v>
      </c>
      <c r="C324" s="131" t="s">
        <v>173</v>
      </c>
      <c r="D324" s="131">
        <v>0</v>
      </c>
      <c r="E324" s="131">
        <v>11</v>
      </c>
      <c r="F324" s="131">
        <f t="shared" si="46"/>
        <v>-1.0854243022272343E-2</v>
      </c>
      <c r="G324" s="131">
        <f t="shared" si="47"/>
        <v>7.9280456008747766</v>
      </c>
      <c r="H324" s="131">
        <f t="shared" si="48"/>
        <v>20.563085796683488</v>
      </c>
      <c r="I324" s="131" t="str">
        <f t="shared" si="45"/>
        <v/>
      </c>
      <c r="J324" s="131"/>
      <c r="K324" s="145">
        <v>-770</v>
      </c>
      <c r="L324" s="131">
        <v>301</v>
      </c>
      <c r="M324" s="139">
        <v>1224</v>
      </c>
      <c r="N324" s="139">
        <v>2774</v>
      </c>
      <c r="O324" s="139">
        <v>70940</v>
      </c>
      <c r="P324" s="139">
        <f>N324-S324</f>
        <v>-54268</v>
      </c>
      <c r="Q324" s="139">
        <v>54675</v>
      </c>
      <c r="R324" s="139">
        <v>2367</v>
      </c>
      <c r="S324" s="139">
        <f t="shared" si="43"/>
        <v>57042</v>
      </c>
    </row>
    <row r="325" spans="1:29">
      <c r="A325" s="131" t="s">
        <v>54</v>
      </c>
      <c r="B325" s="131" t="s">
        <v>193</v>
      </c>
      <c r="C325" s="131" t="s">
        <v>173</v>
      </c>
      <c r="D325" s="131">
        <v>0</v>
      </c>
      <c r="E325" s="131">
        <v>13</v>
      </c>
      <c r="F325" s="131">
        <f t="shared" si="46"/>
        <v>0.16059353869271226</v>
      </c>
      <c r="G325" s="131">
        <f t="shared" si="47"/>
        <v>7.2841348061952047</v>
      </c>
      <c r="H325" s="131">
        <f t="shared" si="48"/>
        <v>1.0988332189430337</v>
      </c>
      <c r="I325" s="131" t="str">
        <f t="shared" si="45"/>
        <v/>
      </c>
      <c r="J325" s="131"/>
      <c r="K325" s="145">
        <v>11970</v>
      </c>
      <c r="L325" s="131">
        <v>291</v>
      </c>
      <c r="M325" s="139">
        <v>965</v>
      </c>
      <c r="N325" s="139">
        <v>1457</v>
      </c>
      <c r="O325" s="139">
        <v>74536</v>
      </c>
      <c r="P325" s="139">
        <f>N325-S325</f>
        <v>-144</v>
      </c>
      <c r="Q325" s="139">
        <v>1427</v>
      </c>
      <c r="R325" s="139">
        <v>174</v>
      </c>
      <c r="S325" s="139">
        <f t="shared" si="43"/>
        <v>1601</v>
      </c>
    </row>
    <row r="326" spans="1:29">
      <c r="A326" s="131" t="s">
        <v>56</v>
      </c>
      <c r="B326" s="131" t="s">
        <v>193</v>
      </c>
      <c r="C326" s="131" t="s">
        <v>173</v>
      </c>
      <c r="D326" s="131">
        <v>0</v>
      </c>
      <c r="E326" s="131">
        <v>14</v>
      </c>
      <c r="F326" s="131">
        <f t="shared" si="46"/>
        <v>7.8425784839426332E-2</v>
      </c>
      <c r="G326" s="131">
        <f t="shared" si="47"/>
        <v>12.568487584134461</v>
      </c>
      <c r="H326" s="131">
        <f t="shared" si="48"/>
        <v>0.48970451595391129</v>
      </c>
      <c r="I326" s="131" t="str">
        <f t="shared" si="45"/>
        <v/>
      </c>
      <c r="J326" s="131"/>
      <c r="K326" s="145">
        <v>13485</v>
      </c>
      <c r="L326" s="131">
        <v>324</v>
      </c>
      <c r="M326" s="139">
        <v>7546</v>
      </c>
      <c r="N326" s="139">
        <v>287359</v>
      </c>
      <c r="O326" s="139">
        <v>171946</v>
      </c>
      <c r="P326" s="139">
        <f>N326-S326</f>
        <v>146638</v>
      </c>
      <c r="Q326" s="139">
        <v>93076</v>
      </c>
      <c r="R326" s="139">
        <v>47645</v>
      </c>
      <c r="S326" s="139">
        <f t="shared" si="43"/>
        <v>140721</v>
      </c>
    </row>
    <row r="327" spans="1:29">
      <c r="A327" s="131" t="s">
        <v>66</v>
      </c>
      <c r="B327" s="131" t="s">
        <v>193</v>
      </c>
      <c r="C327" s="131" t="s">
        <v>173</v>
      </c>
      <c r="D327" s="131">
        <v>0</v>
      </c>
      <c r="E327" s="131">
        <v>15</v>
      </c>
      <c r="F327" s="131">
        <f t="shared" si="46"/>
        <v>-4.0610413318903794E-3</v>
      </c>
      <c r="G327" s="131">
        <f t="shared" si="47"/>
        <v>12.497110331607818</v>
      </c>
      <c r="H327" s="131">
        <f t="shared" si="48"/>
        <v>0.70027993407160183</v>
      </c>
      <c r="I327" s="131" t="str">
        <f t="shared" si="45"/>
        <v/>
      </c>
      <c r="J327" s="131"/>
      <c r="K327" s="145">
        <v>-743</v>
      </c>
      <c r="L327" s="131">
        <v>394</v>
      </c>
      <c r="M327" s="139">
        <v>1441</v>
      </c>
      <c r="N327" s="139">
        <v>267563</v>
      </c>
      <c r="O327" s="139">
        <v>182958</v>
      </c>
      <c r="P327" s="139">
        <v>80193</v>
      </c>
      <c r="Q327" s="139">
        <v>81987</v>
      </c>
      <c r="R327" s="139">
        <v>105382</v>
      </c>
      <c r="S327" s="139">
        <f t="shared" si="43"/>
        <v>187369</v>
      </c>
    </row>
    <row r="328" spans="1:29">
      <c r="A328" s="131" t="s">
        <v>93</v>
      </c>
      <c r="B328" s="131" t="s">
        <v>193</v>
      </c>
      <c r="C328" s="131" t="s">
        <v>173</v>
      </c>
      <c r="D328" s="131">
        <v>0</v>
      </c>
      <c r="E328" s="131">
        <v>16</v>
      </c>
      <c r="F328" s="131">
        <f t="shared" si="46"/>
        <v>-6.4743138634764247E-2</v>
      </c>
      <c r="G328" s="131">
        <f t="shared" si="47"/>
        <v>5.1873858058407549</v>
      </c>
      <c r="H328" s="131">
        <f t="shared" si="48"/>
        <v>8.3854748603351954</v>
      </c>
      <c r="I328" s="131" t="str">
        <f t="shared" si="45"/>
        <v/>
      </c>
      <c r="J328" s="131"/>
      <c r="K328" s="145">
        <v>-920</v>
      </c>
      <c r="L328" s="131">
        <v>173</v>
      </c>
      <c r="M328" s="139">
        <v>674</v>
      </c>
      <c r="N328" s="139">
        <v>179</v>
      </c>
      <c r="O328" s="139">
        <v>14210</v>
      </c>
      <c r="P328" s="139">
        <f>N328-S328</f>
        <v>-1322</v>
      </c>
      <c r="Q328" s="139">
        <v>645</v>
      </c>
      <c r="R328" s="139">
        <v>856</v>
      </c>
      <c r="S328" s="139">
        <f t="shared" si="43"/>
        <v>1501</v>
      </c>
    </row>
    <row r="329" spans="1:29">
      <c r="A329" s="131" t="s">
        <v>108</v>
      </c>
      <c r="B329" s="131" t="s">
        <v>193</v>
      </c>
      <c r="C329" s="131" t="s">
        <v>173</v>
      </c>
      <c r="D329" s="131">
        <v>0</v>
      </c>
      <c r="E329" s="131">
        <v>10</v>
      </c>
      <c r="F329" s="131">
        <f t="shared" si="46"/>
        <v>1.956347178626177E-2</v>
      </c>
      <c r="G329" s="131">
        <f t="shared" si="47"/>
        <v>7.8030266436322169</v>
      </c>
      <c r="H329" s="131">
        <f t="shared" si="48"/>
        <v>0.67075163398692805</v>
      </c>
      <c r="I329" s="131" t="str">
        <f t="shared" si="45"/>
        <v/>
      </c>
      <c r="J329" s="131"/>
      <c r="K329" s="145">
        <v>1340</v>
      </c>
      <c r="L329" s="131">
        <v>323</v>
      </c>
      <c r="M329" s="139">
        <v>886</v>
      </c>
      <c r="N329" s="139">
        <v>2448</v>
      </c>
      <c r="O329" s="139">
        <v>68495</v>
      </c>
      <c r="P329" s="139">
        <f>N329-S329</f>
        <v>806</v>
      </c>
      <c r="Q329" s="139">
        <v>1178</v>
      </c>
      <c r="R329" s="139">
        <v>464</v>
      </c>
      <c r="S329" s="139">
        <f t="shared" si="43"/>
        <v>1642</v>
      </c>
    </row>
    <row r="330" spans="1:29">
      <c r="A330" s="131" t="s">
        <v>114</v>
      </c>
      <c r="B330" s="131" t="s">
        <v>193</v>
      </c>
      <c r="C330" s="131" t="s">
        <v>173</v>
      </c>
      <c r="D330" s="131">
        <v>0</v>
      </c>
      <c r="E330" s="131">
        <v>12</v>
      </c>
      <c r="F330" s="131">
        <f t="shared" si="46"/>
        <v>-0.67785234899328861</v>
      </c>
      <c r="G330" s="131">
        <f t="shared" si="47"/>
        <v>4.9126548857360524</v>
      </c>
      <c r="H330" s="131">
        <f t="shared" si="48"/>
        <v>10.272058823529411</v>
      </c>
      <c r="I330" s="131" t="str">
        <f t="shared" si="45"/>
        <v/>
      </c>
      <c r="J330" s="131"/>
      <c r="K330" s="145">
        <v>-7070</v>
      </c>
      <c r="L330" s="131">
        <v>98</v>
      </c>
      <c r="M330" s="139">
        <v>476</v>
      </c>
      <c r="N330" s="139">
        <v>136</v>
      </c>
      <c r="O330" s="139">
        <v>10430</v>
      </c>
      <c r="P330" s="139">
        <f>N330-S330</f>
        <v>-1261</v>
      </c>
      <c r="Q330" s="139">
        <v>689</v>
      </c>
      <c r="R330" s="139">
        <v>708</v>
      </c>
      <c r="S330" s="139">
        <f t="shared" si="43"/>
        <v>1397</v>
      </c>
    </row>
    <row r="331" spans="1:29">
      <c r="A331" s="131" t="s">
        <v>117</v>
      </c>
      <c r="B331" s="131" t="s">
        <v>193</v>
      </c>
      <c r="C331" s="131" t="s">
        <v>173</v>
      </c>
      <c r="D331" s="131">
        <v>1</v>
      </c>
      <c r="E331" s="131">
        <v>5</v>
      </c>
      <c r="F331" s="131">
        <f t="shared" si="46"/>
        <v>-0.31181401568896067</v>
      </c>
      <c r="G331" s="131">
        <f t="shared" si="47"/>
        <v>12.031719258385396</v>
      </c>
      <c r="H331" s="131">
        <f t="shared" si="48"/>
        <v>1.41675</v>
      </c>
      <c r="I331" s="131" t="str">
        <f t="shared" si="45"/>
        <v/>
      </c>
      <c r="J331" s="131"/>
      <c r="K331" s="145">
        <v>-38239</v>
      </c>
      <c r="L331" s="131">
        <v>450</v>
      </c>
      <c r="M331" s="139">
        <v>39946</v>
      </c>
      <c r="N331" s="139">
        <v>168000</v>
      </c>
      <c r="O331" s="139">
        <v>122634</v>
      </c>
      <c r="P331" s="139">
        <v>-70013</v>
      </c>
      <c r="Q331" s="139">
        <v>82885</v>
      </c>
      <c r="R331" s="139">
        <v>155129</v>
      </c>
      <c r="S331" s="139">
        <f t="shared" si="43"/>
        <v>238014</v>
      </c>
    </row>
    <row r="332" spans="1:29">
      <c r="A332" s="131" t="s">
        <v>118</v>
      </c>
      <c r="B332" s="131" t="s">
        <v>193</v>
      </c>
      <c r="C332" s="131" t="s">
        <v>173</v>
      </c>
      <c r="D332" s="131">
        <v>0</v>
      </c>
      <c r="E332" s="131">
        <v>1</v>
      </c>
      <c r="F332" s="131">
        <f t="shared" si="46"/>
        <v>1.7972208097496729E-2</v>
      </c>
      <c r="G332" s="131">
        <f t="shared" si="47"/>
        <v>14.634948040113837</v>
      </c>
      <c r="H332" s="131">
        <f t="shared" si="48"/>
        <v>0.75919202299641775</v>
      </c>
      <c r="I332" s="131" t="str">
        <f t="shared" si="45"/>
        <v/>
      </c>
      <c r="J332" s="131"/>
      <c r="K332" s="145">
        <v>12936</v>
      </c>
      <c r="L332" s="131">
        <v>894</v>
      </c>
      <c r="M332" s="139">
        <v>38356</v>
      </c>
      <c r="N332" s="139">
        <v>2269223</v>
      </c>
      <c r="O332" s="139">
        <v>719778</v>
      </c>
      <c r="P332" s="139">
        <v>546447</v>
      </c>
      <c r="Q332" s="139">
        <v>1096046</v>
      </c>
      <c r="R332" s="139">
        <v>626730</v>
      </c>
      <c r="S332" s="139">
        <f t="shared" si="43"/>
        <v>1722776</v>
      </c>
      <c r="V332" s="146"/>
      <c r="W332" s="146"/>
      <c r="X332" s="146"/>
      <c r="Y332" s="146"/>
      <c r="Z332" s="146"/>
      <c r="AA332" s="146"/>
      <c r="AB332" s="146"/>
      <c r="AC332" s="146"/>
    </row>
    <row r="333" spans="1:29" s="130" customFormat="1">
      <c r="A333" s="131" t="s">
        <v>126</v>
      </c>
      <c r="B333" s="131" t="s">
        <v>193</v>
      </c>
      <c r="C333" s="131" t="s">
        <v>173</v>
      </c>
      <c r="D333" s="131">
        <v>0</v>
      </c>
      <c r="E333" s="131">
        <v>4</v>
      </c>
      <c r="F333" s="131">
        <f t="shared" si="46"/>
        <v>1.3857249852927075E-2</v>
      </c>
      <c r="G333" s="131">
        <f t="shared" si="47"/>
        <v>13.660918947608103</v>
      </c>
      <c r="H333" s="131">
        <f t="shared" si="48"/>
        <v>0.86124199751390407</v>
      </c>
      <c r="I333" s="131" t="str">
        <f t="shared" si="45"/>
        <v/>
      </c>
      <c r="J333" s="131"/>
      <c r="K333" s="145">
        <v>5347</v>
      </c>
      <c r="L333" s="131">
        <v>524</v>
      </c>
      <c r="M333" s="139">
        <v>95635</v>
      </c>
      <c r="N333" s="139">
        <v>856765</v>
      </c>
      <c r="O333" s="139">
        <v>385863</v>
      </c>
      <c r="P333" s="139">
        <f>N333-S333</f>
        <v>118883</v>
      </c>
      <c r="Q333" s="139">
        <v>478007</v>
      </c>
      <c r="R333" s="139">
        <v>259875</v>
      </c>
      <c r="S333" s="139">
        <f t="shared" si="43"/>
        <v>737882</v>
      </c>
    </row>
    <row r="334" spans="1:29">
      <c r="A334" s="131" t="s">
        <v>145</v>
      </c>
      <c r="B334" s="131" t="s">
        <v>193</v>
      </c>
      <c r="C334" s="131" t="s">
        <v>173</v>
      </c>
      <c r="D334" s="131">
        <v>0</v>
      </c>
      <c r="E334" s="131">
        <v>9</v>
      </c>
      <c r="F334" s="131">
        <f t="shared" si="46"/>
        <v>-0.41838281342179545</v>
      </c>
      <c r="G334" s="131">
        <f t="shared" si="47"/>
        <v>12.851756031902989</v>
      </c>
      <c r="H334" s="131">
        <f t="shared" si="48"/>
        <v>0.98275563758002193</v>
      </c>
      <c r="I334" s="131" t="str">
        <f t="shared" si="45"/>
        <v/>
      </c>
      <c r="J334" s="131"/>
      <c r="K334" s="145">
        <v>-46097</v>
      </c>
      <c r="L334" s="131">
        <v>413</v>
      </c>
      <c r="M334" s="139">
        <v>21489</v>
      </c>
      <c r="N334" s="139">
        <v>381458</v>
      </c>
      <c r="O334" s="139">
        <v>110179</v>
      </c>
      <c r="P334" s="139">
        <v>6578</v>
      </c>
      <c r="Q334" s="139">
        <v>192361</v>
      </c>
      <c r="R334" s="139">
        <v>182519</v>
      </c>
      <c r="S334" s="139">
        <f t="shared" si="43"/>
        <v>374880</v>
      </c>
    </row>
    <row r="335" spans="1:29">
      <c r="A335" s="131" t="s">
        <v>147</v>
      </c>
      <c r="B335" s="131" t="s">
        <v>193</v>
      </c>
      <c r="C335" s="131" t="s">
        <v>173</v>
      </c>
      <c r="D335" s="131">
        <v>0</v>
      </c>
      <c r="E335" s="131">
        <v>7</v>
      </c>
      <c r="F335" s="131">
        <f t="shared" si="46"/>
        <v>-0.13927598287271312</v>
      </c>
      <c r="G335" s="131">
        <f t="shared" si="47"/>
        <v>13.263258590429137</v>
      </c>
      <c r="H335" s="131">
        <f t="shared" si="48"/>
        <v>0.48530709525894117</v>
      </c>
      <c r="I335" s="131" t="str">
        <f t="shared" si="45"/>
        <v/>
      </c>
      <c r="J335" s="131"/>
      <c r="K335" s="145">
        <v>-17890</v>
      </c>
      <c r="L335" s="131">
        <v>432</v>
      </c>
      <c r="M335" s="139">
        <v>54678</v>
      </c>
      <c r="N335" s="139">
        <v>575652</v>
      </c>
      <c r="O335" s="139">
        <v>128450</v>
      </c>
      <c r="P335" s="139">
        <f>N335-S335</f>
        <v>296284</v>
      </c>
      <c r="Q335" s="139">
        <v>102567</v>
      </c>
      <c r="R335" s="139">
        <v>176801</v>
      </c>
      <c r="S335" s="139">
        <f t="shared" si="43"/>
        <v>279368</v>
      </c>
    </row>
    <row r="336" spans="1:29">
      <c r="A336" s="134" t="s">
        <v>18</v>
      </c>
      <c r="B336" s="134" t="s">
        <v>200</v>
      </c>
      <c r="C336" s="134" t="s">
        <v>173</v>
      </c>
      <c r="D336" s="134">
        <v>0</v>
      </c>
      <c r="E336" s="134">
        <v>14</v>
      </c>
      <c r="F336" s="134">
        <f t="shared" si="46"/>
        <v>0.15619158878504674</v>
      </c>
      <c r="G336" s="134">
        <f t="shared" si="47"/>
        <v>10.891112413014609</v>
      </c>
      <c r="H336" s="134">
        <f t="shared" si="48"/>
        <v>0.73041324468778512</v>
      </c>
      <c r="I336" s="134" t="str">
        <f t="shared" si="45"/>
        <v/>
      </c>
      <c r="J336" s="134"/>
      <c r="K336" s="152">
        <v>4011</v>
      </c>
      <c r="L336" s="134"/>
      <c r="M336" s="153"/>
      <c r="N336" s="153">
        <v>53697</v>
      </c>
      <c r="O336" s="153">
        <v>25680</v>
      </c>
      <c r="P336" s="153">
        <v>14476</v>
      </c>
      <c r="Q336" s="153"/>
      <c r="R336" s="153"/>
      <c r="S336" s="153">
        <v>39221</v>
      </c>
    </row>
    <row r="337" spans="1:21">
      <c r="A337" s="134" t="s">
        <v>22</v>
      </c>
      <c r="B337" s="134" t="s">
        <v>200</v>
      </c>
      <c r="C337" s="134" t="s">
        <v>173</v>
      </c>
      <c r="D337" s="134">
        <v>1</v>
      </c>
      <c r="E337" s="134">
        <v>3</v>
      </c>
      <c r="F337" s="134">
        <f t="shared" si="46"/>
        <v>0.15619158878504674</v>
      </c>
      <c r="G337" s="134">
        <f t="shared" si="47"/>
        <v>10.891112413014609</v>
      </c>
      <c r="H337" s="134">
        <f t="shared" si="48"/>
        <v>0.73041324468778512</v>
      </c>
      <c r="I337" s="134" t="str">
        <f t="shared" si="45"/>
        <v/>
      </c>
      <c r="J337" s="134"/>
      <c r="K337" s="152">
        <v>4011</v>
      </c>
      <c r="L337" s="134"/>
      <c r="M337" s="153"/>
      <c r="N337" s="153">
        <v>53697</v>
      </c>
      <c r="O337" s="153">
        <v>25680</v>
      </c>
      <c r="P337" s="153">
        <v>14476</v>
      </c>
      <c r="Q337" s="153"/>
      <c r="R337" s="153"/>
      <c r="S337" s="153">
        <v>39221</v>
      </c>
    </row>
    <row r="338" spans="1:21">
      <c r="A338" s="134" t="s">
        <v>23</v>
      </c>
      <c r="B338" s="134" t="s">
        <v>200</v>
      </c>
      <c r="C338" s="134" t="s">
        <v>173</v>
      </c>
      <c r="D338" s="134">
        <v>0</v>
      </c>
      <c r="E338" s="134">
        <v>18</v>
      </c>
      <c r="F338" s="134">
        <f t="shared" si="46"/>
        <v>0.15619158878504674</v>
      </c>
      <c r="G338" s="134">
        <f t="shared" si="47"/>
        <v>10.891112413014609</v>
      </c>
      <c r="H338" s="134">
        <f t="shared" si="48"/>
        <v>0.73041324468778512</v>
      </c>
      <c r="I338" s="134" t="str">
        <f t="shared" si="45"/>
        <v/>
      </c>
      <c r="J338" s="134"/>
      <c r="K338" s="152">
        <v>4011</v>
      </c>
      <c r="L338" s="134"/>
      <c r="M338" s="153"/>
      <c r="N338" s="153">
        <v>53697</v>
      </c>
      <c r="O338" s="153">
        <v>25680</v>
      </c>
      <c r="P338" s="153">
        <v>14476</v>
      </c>
      <c r="Q338" s="153"/>
      <c r="R338" s="153"/>
      <c r="S338" s="153">
        <v>39221</v>
      </c>
    </row>
    <row r="339" spans="1:21">
      <c r="A339" s="134" t="s">
        <v>45</v>
      </c>
      <c r="B339" s="134" t="s">
        <v>200</v>
      </c>
      <c r="C339" s="134" t="s">
        <v>173</v>
      </c>
      <c r="D339" s="134">
        <v>0</v>
      </c>
      <c r="E339" s="134">
        <v>17</v>
      </c>
      <c r="F339" s="134">
        <f t="shared" si="46"/>
        <v>0.15619158878504674</v>
      </c>
      <c r="G339" s="134">
        <f t="shared" si="47"/>
        <v>10.891112413014609</v>
      </c>
      <c r="H339" s="134">
        <f t="shared" si="48"/>
        <v>0.73041324468778512</v>
      </c>
      <c r="I339" s="134">
        <v>-2.3632259999999999E-2</v>
      </c>
      <c r="J339" s="134"/>
      <c r="K339" s="152">
        <v>4011</v>
      </c>
      <c r="L339" s="134"/>
      <c r="M339" s="153"/>
      <c r="N339" s="153">
        <v>53697</v>
      </c>
      <c r="O339" s="153">
        <v>25680</v>
      </c>
      <c r="P339" s="153">
        <v>14476</v>
      </c>
      <c r="Q339" s="153"/>
      <c r="R339" s="153"/>
      <c r="S339" s="153">
        <v>39221</v>
      </c>
    </row>
    <row r="340" spans="1:21">
      <c r="A340" s="134" t="s">
        <v>68</v>
      </c>
      <c r="B340" s="134" t="s">
        <v>200</v>
      </c>
      <c r="C340" s="134" t="s">
        <v>173</v>
      </c>
      <c r="D340" s="134">
        <v>0</v>
      </c>
      <c r="E340" s="134">
        <v>20</v>
      </c>
      <c r="F340" s="134">
        <f t="shared" si="46"/>
        <v>0.15619158878504674</v>
      </c>
      <c r="G340" s="134">
        <f t="shared" si="47"/>
        <v>10.891112413014609</v>
      </c>
      <c r="H340" s="134">
        <f t="shared" si="48"/>
        <v>0.73041324468778512</v>
      </c>
      <c r="I340" s="134" t="str">
        <f t="shared" ref="I340:I357" si="49">IF(A340=A341, (O340-O341)/O341, "")</f>
        <v/>
      </c>
      <c r="J340" s="134"/>
      <c r="K340" s="152">
        <v>4011</v>
      </c>
      <c r="L340" s="134"/>
      <c r="M340" s="153"/>
      <c r="N340" s="153">
        <v>53697</v>
      </c>
      <c r="O340" s="153">
        <v>25680</v>
      </c>
      <c r="P340" s="153">
        <v>14476</v>
      </c>
      <c r="Q340" s="153"/>
      <c r="R340" s="153"/>
      <c r="S340" s="153">
        <v>39221</v>
      </c>
    </row>
    <row r="341" spans="1:21">
      <c r="A341" s="134" t="s">
        <v>89</v>
      </c>
      <c r="B341" s="134" t="s">
        <v>200</v>
      </c>
      <c r="C341" s="134" t="s">
        <v>173</v>
      </c>
      <c r="D341" s="134">
        <v>0</v>
      </c>
      <c r="E341" s="134">
        <v>10</v>
      </c>
      <c r="F341" s="134">
        <f t="shared" si="46"/>
        <v>0.15619158878504674</v>
      </c>
      <c r="G341" s="134">
        <f t="shared" si="47"/>
        <v>10.891112413014609</v>
      </c>
      <c r="H341" s="134">
        <f t="shared" si="48"/>
        <v>0.73041324468778512</v>
      </c>
      <c r="I341" s="134" t="str">
        <f t="shared" si="49"/>
        <v/>
      </c>
      <c r="J341" s="134"/>
      <c r="K341" s="152">
        <v>4011</v>
      </c>
      <c r="L341" s="134"/>
      <c r="M341" s="153"/>
      <c r="N341" s="153">
        <v>53697</v>
      </c>
      <c r="O341" s="153">
        <v>25680</v>
      </c>
      <c r="P341" s="153">
        <v>14476</v>
      </c>
      <c r="Q341" s="153"/>
      <c r="R341" s="153"/>
      <c r="S341" s="153">
        <v>39221</v>
      </c>
    </row>
    <row r="342" spans="1:21">
      <c r="A342" s="134" t="s">
        <v>91</v>
      </c>
      <c r="B342" s="134" t="s">
        <v>200</v>
      </c>
      <c r="C342" s="134" t="s">
        <v>173</v>
      </c>
      <c r="D342" s="134">
        <v>0</v>
      </c>
      <c r="E342" s="134">
        <v>16</v>
      </c>
      <c r="F342" s="134">
        <f t="shared" si="46"/>
        <v>0.15619158878504674</v>
      </c>
      <c r="G342" s="134">
        <f t="shared" si="47"/>
        <v>10.891112413014609</v>
      </c>
      <c r="H342" s="134">
        <f t="shared" si="48"/>
        <v>0.73041324468778512</v>
      </c>
      <c r="I342" s="134" t="str">
        <f t="shared" si="49"/>
        <v/>
      </c>
      <c r="J342" s="134"/>
      <c r="K342" s="152">
        <v>4011</v>
      </c>
      <c r="L342" s="134"/>
      <c r="M342" s="153"/>
      <c r="N342" s="153">
        <v>53697</v>
      </c>
      <c r="O342" s="153">
        <v>25680</v>
      </c>
      <c r="P342" s="153">
        <v>14476</v>
      </c>
      <c r="Q342" s="153"/>
      <c r="R342" s="153"/>
      <c r="S342" s="153">
        <v>39221</v>
      </c>
    </row>
    <row r="343" spans="1:21">
      <c r="A343" s="134" t="s">
        <v>96</v>
      </c>
      <c r="B343" s="134" t="s">
        <v>200</v>
      </c>
      <c r="C343" s="134" t="s">
        <v>173</v>
      </c>
      <c r="D343" s="134">
        <v>0</v>
      </c>
      <c r="E343" s="134">
        <v>19</v>
      </c>
      <c r="F343" s="134">
        <f t="shared" si="46"/>
        <v>0.15619158878504674</v>
      </c>
      <c r="G343" s="134">
        <f t="shared" si="47"/>
        <v>10.891112413014609</v>
      </c>
      <c r="H343" s="134">
        <f t="shared" si="48"/>
        <v>0.73041324468778512</v>
      </c>
      <c r="I343" s="134" t="str">
        <f t="shared" si="49"/>
        <v/>
      </c>
      <c r="J343" s="134"/>
      <c r="K343" s="152">
        <v>4011</v>
      </c>
      <c r="L343" s="134"/>
      <c r="M343" s="153"/>
      <c r="N343" s="153">
        <v>53697</v>
      </c>
      <c r="O343" s="153">
        <v>25680</v>
      </c>
      <c r="P343" s="153">
        <v>14476</v>
      </c>
      <c r="Q343" s="153"/>
      <c r="R343" s="153"/>
      <c r="S343" s="153">
        <v>39221</v>
      </c>
    </row>
    <row r="344" spans="1:21">
      <c r="A344" s="134" t="s">
        <v>98</v>
      </c>
      <c r="B344" s="134" t="s">
        <v>200</v>
      </c>
      <c r="C344" s="134" t="s">
        <v>173</v>
      </c>
      <c r="D344" s="134">
        <v>0</v>
      </c>
      <c r="E344" s="134">
        <v>13</v>
      </c>
      <c r="F344" s="134">
        <f t="shared" si="46"/>
        <v>0.15619158878504674</v>
      </c>
      <c r="G344" s="134">
        <f t="shared" si="47"/>
        <v>10.891112413014609</v>
      </c>
      <c r="H344" s="134">
        <f t="shared" si="48"/>
        <v>0.73041324468778512</v>
      </c>
      <c r="I344" s="134" t="str">
        <f t="shared" si="49"/>
        <v/>
      </c>
      <c r="J344" s="134"/>
      <c r="K344" s="152">
        <v>4011</v>
      </c>
      <c r="L344" s="134"/>
      <c r="M344" s="153"/>
      <c r="N344" s="153">
        <v>53697</v>
      </c>
      <c r="O344" s="153">
        <v>25680</v>
      </c>
      <c r="P344" s="153">
        <v>14476</v>
      </c>
      <c r="Q344" s="153"/>
      <c r="R344" s="153"/>
      <c r="S344" s="153">
        <v>39221</v>
      </c>
    </row>
    <row r="345" spans="1:21">
      <c r="A345" s="134" t="s">
        <v>100</v>
      </c>
      <c r="B345" s="134" t="s">
        <v>200</v>
      </c>
      <c r="C345" s="134" t="s">
        <v>173</v>
      </c>
      <c r="D345" s="134">
        <v>0</v>
      </c>
      <c r="E345" s="134">
        <v>9</v>
      </c>
      <c r="F345" s="134">
        <f t="shared" si="46"/>
        <v>0.15619158878504674</v>
      </c>
      <c r="G345" s="134">
        <f t="shared" si="47"/>
        <v>10.891112413014609</v>
      </c>
      <c r="H345" s="134">
        <f t="shared" si="48"/>
        <v>0.73041324468778512</v>
      </c>
      <c r="I345" s="134" t="str">
        <f t="shared" si="49"/>
        <v/>
      </c>
      <c r="J345" s="134"/>
      <c r="K345" s="152">
        <v>4011</v>
      </c>
      <c r="L345" s="134"/>
      <c r="M345" s="153"/>
      <c r="N345" s="153">
        <v>53697</v>
      </c>
      <c r="O345" s="153">
        <v>25680</v>
      </c>
      <c r="P345" s="153">
        <v>14476</v>
      </c>
      <c r="Q345" s="153"/>
      <c r="R345" s="153"/>
      <c r="S345" s="153">
        <v>39221</v>
      </c>
    </row>
    <row r="346" spans="1:21">
      <c r="A346" s="134" t="s">
        <v>105</v>
      </c>
      <c r="B346" s="134" t="s">
        <v>200</v>
      </c>
      <c r="C346" s="134" t="s">
        <v>173</v>
      </c>
      <c r="D346" s="134">
        <v>0</v>
      </c>
      <c r="E346" s="134">
        <v>5</v>
      </c>
      <c r="F346" s="134">
        <f t="shared" si="46"/>
        <v>0.15619158878504674</v>
      </c>
      <c r="G346" s="134">
        <f t="shared" si="47"/>
        <v>10.891112413014609</v>
      </c>
      <c r="H346" s="134">
        <f t="shared" si="48"/>
        <v>0.73041324468778512</v>
      </c>
      <c r="I346" s="134" t="str">
        <f t="shared" si="49"/>
        <v/>
      </c>
      <c r="J346" s="134"/>
      <c r="K346" s="152">
        <v>4011</v>
      </c>
      <c r="L346" s="134"/>
      <c r="M346" s="153"/>
      <c r="N346" s="153">
        <v>53697</v>
      </c>
      <c r="O346" s="153">
        <v>25680</v>
      </c>
      <c r="P346" s="153">
        <v>14476</v>
      </c>
      <c r="Q346" s="153"/>
      <c r="R346" s="153"/>
      <c r="S346" s="153">
        <v>39221</v>
      </c>
    </row>
    <row r="347" spans="1:21">
      <c r="A347" s="134" t="s">
        <v>106</v>
      </c>
      <c r="B347" s="134" t="s">
        <v>200</v>
      </c>
      <c r="C347" s="134" t="s">
        <v>173</v>
      </c>
      <c r="D347" s="134">
        <v>1</v>
      </c>
      <c r="E347" s="134">
        <v>2</v>
      </c>
      <c r="F347" s="134">
        <f t="shared" si="46"/>
        <v>0.15619158878504674</v>
      </c>
      <c r="G347" s="134">
        <f t="shared" si="47"/>
        <v>10.891112413014609</v>
      </c>
      <c r="H347" s="134">
        <f t="shared" si="48"/>
        <v>0.73041324468778512</v>
      </c>
      <c r="I347" s="134" t="str">
        <f t="shared" si="49"/>
        <v/>
      </c>
      <c r="J347" s="134"/>
      <c r="K347" s="152">
        <v>4011</v>
      </c>
      <c r="L347" s="134"/>
      <c r="M347" s="153"/>
      <c r="N347" s="153">
        <v>53697</v>
      </c>
      <c r="O347" s="153">
        <v>25680</v>
      </c>
      <c r="P347" s="153">
        <v>14476</v>
      </c>
      <c r="Q347" s="153"/>
      <c r="R347" s="153"/>
      <c r="S347" s="153">
        <v>39221</v>
      </c>
    </row>
    <row r="348" spans="1:21">
      <c r="A348" s="134" t="s">
        <v>107</v>
      </c>
      <c r="B348" s="134" t="s">
        <v>200</v>
      </c>
      <c r="C348" s="134" t="s">
        <v>173</v>
      </c>
      <c r="D348" s="134">
        <v>0</v>
      </c>
      <c r="E348" s="134">
        <v>8</v>
      </c>
      <c r="F348" s="134">
        <f t="shared" si="46"/>
        <v>0.15619158878504674</v>
      </c>
      <c r="G348" s="134">
        <f t="shared" si="47"/>
        <v>10.891112413014609</v>
      </c>
      <c r="H348" s="134">
        <f t="shared" si="48"/>
        <v>0.73041324468778512</v>
      </c>
      <c r="I348" s="134" t="str">
        <f t="shared" si="49"/>
        <v/>
      </c>
      <c r="J348" s="134"/>
      <c r="K348" s="152">
        <v>4011</v>
      </c>
      <c r="L348" s="134"/>
      <c r="M348" s="153"/>
      <c r="N348" s="153">
        <v>53697</v>
      </c>
      <c r="O348" s="153">
        <v>25680</v>
      </c>
      <c r="P348" s="153">
        <v>14476</v>
      </c>
      <c r="Q348" s="153"/>
      <c r="R348" s="153"/>
      <c r="S348" s="153">
        <v>39221</v>
      </c>
      <c r="T348" s="149"/>
      <c r="U348" s="149"/>
    </row>
    <row r="349" spans="1:21">
      <c r="A349" s="134" t="s">
        <v>111</v>
      </c>
      <c r="B349" s="134" t="s">
        <v>200</v>
      </c>
      <c r="C349" s="134" t="s">
        <v>173</v>
      </c>
      <c r="D349" s="134">
        <v>1</v>
      </c>
      <c r="E349" s="134">
        <v>1</v>
      </c>
      <c r="F349" s="134">
        <f t="shared" si="46"/>
        <v>0.15619158878504674</v>
      </c>
      <c r="G349" s="134">
        <f t="shared" si="47"/>
        <v>10.891112413014609</v>
      </c>
      <c r="H349" s="134">
        <f t="shared" si="48"/>
        <v>0.73041324468778512</v>
      </c>
      <c r="I349" s="134" t="str">
        <f t="shared" si="49"/>
        <v/>
      </c>
      <c r="J349" s="134"/>
      <c r="K349" s="152">
        <v>4011</v>
      </c>
      <c r="L349" s="134"/>
      <c r="M349" s="153"/>
      <c r="N349" s="153">
        <v>53697</v>
      </c>
      <c r="O349" s="153">
        <v>25680</v>
      </c>
      <c r="P349" s="153">
        <v>14476</v>
      </c>
      <c r="Q349" s="153"/>
      <c r="R349" s="153"/>
      <c r="S349" s="153">
        <v>39221</v>
      </c>
      <c r="T349" s="149"/>
      <c r="U349" s="149"/>
    </row>
    <row r="350" spans="1:21">
      <c r="A350" s="134" t="s">
        <v>115</v>
      </c>
      <c r="B350" s="134" t="s">
        <v>200</v>
      </c>
      <c r="C350" s="134" t="s">
        <v>173</v>
      </c>
      <c r="D350" s="134">
        <v>0</v>
      </c>
      <c r="E350" s="134">
        <v>7</v>
      </c>
      <c r="F350" s="134">
        <f t="shared" si="46"/>
        <v>0.15619158878504674</v>
      </c>
      <c r="G350" s="134">
        <f t="shared" si="47"/>
        <v>10.891112413014609</v>
      </c>
      <c r="H350" s="134">
        <f t="shared" si="48"/>
        <v>0.73041324468778512</v>
      </c>
      <c r="I350" s="134" t="str">
        <f t="shared" si="49"/>
        <v/>
      </c>
      <c r="J350" s="134"/>
      <c r="K350" s="152">
        <v>4011</v>
      </c>
      <c r="L350" s="134"/>
      <c r="M350" s="153"/>
      <c r="N350" s="153">
        <v>53697</v>
      </c>
      <c r="O350" s="153">
        <v>25680</v>
      </c>
      <c r="P350" s="153">
        <v>14476</v>
      </c>
      <c r="Q350" s="153"/>
      <c r="R350" s="153"/>
      <c r="S350" s="153">
        <v>39221</v>
      </c>
      <c r="T350" s="149"/>
      <c r="U350" s="149"/>
    </row>
    <row r="351" spans="1:21">
      <c r="A351" s="134" t="s">
        <v>116</v>
      </c>
      <c r="B351" s="134" t="s">
        <v>200</v>
      </c>
      <c r="C351" s="134" t="s">
        <v>173</v>
      </c>
      <c r="D351" s="134">
        <v>0</v>
      </c>
      <c r="E351" s="134">
        <v>6</v>
      </c>
      <c r="F351" s="134">
        <f t="shared" si="46"/>
        <v>0.15619158878504674</v>
      </c>
      <c r="G351" s="134">
        <f t="shared" si="47"/>
        <v>10.891112413014609</v>
      </c>
      <c r="H351" s="134">
        <f t="shared" si="48"/>
        <v>0.73041324468778512</v>
      </c>
      <c r="I351" s="134" t="str">
        <f t="shared" si="49"/>
        <v/>
      </c>
      <c r="J351" s="134"/>
      <c r="K351" s="152">
        <v>4011</v>
      </c>
      <c r="L351" s="134"/>
      <c r="M351" s="153"/>
      <c r="N351" s="153">
        <v>53697</v>
      </c>
      <c r="O351" s="153">
        <v>25680</v>
      </c>
      <c r="P351" s="153">
        <v>14476</v>
      </c>
      <c r="Q351" s="153"/>
      <c r="R351" s="153"/>
      <c r="S351" s="153">
        <v>39221</v>
      </c>
      <c r="T351" s="149"/>
      <c r="U351" s="149"/>
    </row>
    <row r="352" spans="1:21">
      <c r="A352" s="134" t="s">
        <v>133</v>
      </c>
      <c r="B352" s="134" t="s">
        <v>200</v>
      </c>
      <c r="C352" s="134" t="s">
        <v>173</v>
      </c>
      <c r="D352" s="134">
        <v>0</v>
      </c>
      <c r="E352" s="134">
        <v>11</v>
      </c>
      <c r="F352" s="134">
        <f t="shared" si="46"/>
        <v>0.15619158878504674</v>
      </c>
      <c r="G352" s="134">
        <f t="shared" si="47"/>
        <v>10.891112413014609</v>
      </c>
      <c r="H352" s="134">
        <f t="shared" si="48"/>
        <v>0.73041324468778512</v>
      </c>
      <c r="I352" s="134" t="str">
        <f t="shared" si="49"/>
        <v/>
      </c>
      <c r="J352" s="134"/>
      <c r="K352" s="152">
        <v>4011</v>
      </c>
      <c r="L352" s="134"/>
      <c r="M352" s="153"/>
      <c r="N352" s="153">
        <v>53697</v>
      </c>
      <c r="O352" s="153">
        <v>25680</v>
      </c>
      <c r="P352" s="153">
        <v>14476</v>
      </c>
      <c r="Q352" s="153"/>
      <c r="R352" s="153"/>
      <c r="S352" s="153">
        <v>39221</v>
      </c>
      <c r="T352" s="149"/>
      <c r="U352" s="149"/>
    </row>
    <row r="353" spans="1:24">
      <c r="A353" s="134" t="s">
        <v>134</v>
      </c>
      <c r="B353" s="134" t="s">
        <v>200</v>
      </c>
      <c r="C353" s="134" t="s">
        <v>173</v>
      </c>
      <c r="D353" s="134">
        <v>0</v>
      </c>
      <c r="E353" s="134">
        <v>12</v>
      </c>
      <c r="F353" s="134">
        <f t="shared" si="46"/>
        <v>0.15619158878504674</v>
      </c>
      <c r="G353" s="134">
        <f t="shared" si="47"/>
        <v>10.891112413014609</v>
      </c>
      <c r="H353" s="134">
        <f t="shared" si="48"/>
        <v>0.73041324468778512</v>
      </c>
      <c r="I353" s="134" t="str">
        <f t="shared" si="49"/>
        <v/>
      </c>
      <c r="J353" s="134"/>
      <c r="K353" s="152">
        <v>4011</v>
      </c>
      <c r="L353" s="134"/>
      <c r="M353" s="153"/>
      <c r="N353" s="153">
        <v>53697</v>
      </c>
      <c r="O353" s="153">
        <v>25680</v>
      </c>
      <c r="P353" s="153">
        <v>14476</v>
      </c>
      <c r="Q353" s="153"/>
      <c r="R353" s="153"/>
      <c r="S353" s="153">
        <v>39221</v>
      </c>
      <c r="T353" s="149"/>
      <c r="U353" s="149"/>
    </row>
    <row r="354" spans="1:24">
      <c r="A354" s="134" t="s">
        <v>135</v>
      </c>
      <c r="B354" s="134" t="s">
        <v>200</v>
      </c>
      <c r="C354" s="134" t="s">
        <v>173</v>
      </c>
      <c r="D354" s="134">
        <v>0</v>
      </c>
      <c r="E354" s="134">
        <v>4</v>
      </c>
      <c r="F354" s="134">
        <f t="shared" si="46"/>
        <v>0.15619158878504674</v>
      </c>
      <c r="G354" s="134">
        <f t="shared" si="47"/>
        <v>10.891112413014609</v>
      </c>
      <c r="H354" s="134">
        <f t="shared" si="48"/>
        <v>0.73041324468778512</v>
      </c>
      <c r="I354" s="134" t="str">
        <f t="shared" si="49"/>
        <v/>
      </c>
      <c r="J354" s="134"/>
      <c r="K354" s="152">
        <v>4011</v>
      </c>
      <c r="L354" s="134"/>
      <c r="M354" s="153"/>
      <c r="N354" s="153">
        <v>53697</v>
      </c>
      <c r="O354" s="153">
        <v>25680</v>
      </c>
      <c r="P354" s="153">
        <v>14476</v>
      </c>
      <c r="Q354" s="153"/>
      <c r="R354" s="153"/>
      <c r="S354" s="153">
        <v>39221</v>
      </c>
      <c r="T354" s="149"/>
      <c r="U354" s="149"/>
      <c r="V354" s="149"/>
      <c r="W354" s="149"/>
      <c r="X354" s="149"/>
    </row>
    <row r="355" spans="1:24">
      <c r="A355" s="134" t="s">
        <v>143</v>
      </c>
      <c r="B355" s="134" t="s">
        <v>200</v>
      </c>
      <c r="C355" s="134" t="s">
        <v>173</v>
      </c>
      <c r="D355" s="134">
        <v>0</v>
      </c>
      <c r="E355" s="134">
        <v>15</v>
      </c>
      <c r="F355" s="134">
        <f t="shared" si="46"/>
        <v>0.15619158878504674</v>
      </c>
      <c r="G355" s="134">
        <f t="shared" si="47"/>
        <v>10.891112413014609</v>
      </c>
      <c r="H355" s="134">
        <f t="shared" si="48"/>
        <v>0.73041324468778512</v>
      </c>
      <c r="I355" s="134" t="str">
        <f t="shared" si="49"/>
        <v/>
      </c>
      <c r="J355" s="134"/>
      <c r="K355" s="152">
        <v>4011</v>
      </c>
      <c r="L355" s="134"/>
      <c r="M355" s="153"/>
      <c r="N355" s="153">
        <v>53697</v>
      </c>
      <c r="O355" s="153">
        <v>25680</v>
      </c>
      <c r="P355" s="153">
        <v>14476</v>
      </c>
      <c r="Q355" s="153"/>
      <c r="R355" s="153"/>
      <c r="S355" s="153">
        <v>39221</v>
      </c>
      <c r="T355" s="149"/>
      <c r="U355" s="149"/>
      <c r="V355" s="149"/>
      <c r="W355" s="149"/>
      <c r="X355" s="149"/>
    </row>
    <row r="356" spans="1:24">
      <c r="A356" s="130" t="s">
        <v>21</v>
      </c>
      <c r="B356" s="130" t="s">
        <v>172</v>
      </c>
      <c r="C356" s="130" t="s">
        <v>173</v>
      </c>
      <c r="D356" s="130">
        <v>0</v>
      </c>
      <c r="E356" s="130">
        <v>5</v>
      </c>
      <c r="F356" s="130">
        <f t="shared" si="46"/>
        <v>-0.12229511272604128</v>
      </c>
      <c r="G356" s="130">
        <f t="shared" si="47"/>
        <v>13.794257299010576</v>
      </c>
      <c r="H356" s="130">
        <f t="shared" si="48"/>
        <v>0.7691800880720675</v>
      </c>
      <c r="I356" s="130" t="str">
        <f t="shared" si="49"/>
        <v/>
      </c>
      <c r="J356" s="130"/>
      <c r="K356" s="154">
        <v>-53447</v>
      </c>
      <c r="L356" s="130">
        <v>649</v>
      </c>
      <c r="M356" s="148">
        <v>0</v>
      </c>
      <c r="N356" s="148">
        <v>978971</v>
      </c>
      <c r="O356" s="148">
        <v>437033</v>
      </c>
      <c r="P356" s="148">
        <v>225966</v>
      </c>
      <c r="Q356" s="148">
        <v>433857</v>
      </c>
      <c r="R356" s="148">
        <v>319148</v>
      </c>
      <c r="S356" s="148">
        <f t="shared" ref="S356:S387" si="50">Q356+R356</f>
        <v>753005</v>
      </c>
      <c r="T356" s="149"/>
      <c r="U356" s="149"/>
      <c r="V356" s="149"/>
      <c r="W356" s="149"/>
      <c r="X356" s="149"/>
    </row>
    <row r="357" spans="1:24">
      <c r="A357" s="130" t="s">
        <v>24</v>
      </c>
      <c r="B357" s="130" t="s">
        <v>172</v>
      </c>
      <c r="C357" s="130" t="s">
        <v>173</v>
      </c>
      <c r="D357" s="130">
        <v>0</v>
      </c>
      <c r="E357" s="130">
        <v>14</v>
      </c>
      <c r="F357" s="130">
        <f t="shared" si="46"/>
        <v>3.9528526437235603E-2</v>
      </c>
      <c r="G357" s="130">
        <f t="shared" si="47"/>
        <v>12.605184279666164</v>
      </c>
      <c r="H357" s="130">
        <f t="shared" si="48"/>
        <v>1.0877859778597787</v>
      </c>
      <c r="I357" s="130" t="str">
        <f t="shared" si="49"/>
        <v/>
      </c>
      <c r="J357" s="130"/>
      <c r="K357" s="154">
        <v>7606</v>
      </c>
      <c r="L357" s="130">
        <v>642</v>
      </c>
      <c r="M357" s="148">
        <v>275311</v>
      </c>
      <c r="N357" s="148">
        <v>298100</v>
      </c>
      <c r="O357" s="148">
        <v>192418</v>
      </c>
      <c r="P357" s="148">
        <v>-26169</v>
      </c>
      <c r="Q357" s="148">
        <v>0</v>
      </c>
      <c r="R357" s="148">
        <v>324269</v>
      </c>
      <c r="S357" s="148">
        <f t="shared" si="50"/>
        <v>324269</v>
      </c>
      <c r="T357" s="149"/>
      <c r="U357" s="149"/>
      <c r="V357" s="149"/>
      <c r="W357" s="149"/>
      <c r="X357" s="149"/>
    </row>
    <row r="358" spans="1:24">
      <c r="A358" s="130" t="s">
        <v>34</v>
      </c>
      <c r="B358" s="130" t="s">
        <v>172</v>
      </c>
      <c r="C358" s="130" t="s">
        <v>173</v>
      </c>
      <c r="D358" s="130">
        <v>0</v>
      </c>
      <c r="E358" s="130">
        <v>13</v>
      </c>
      <c r="F358" s="130">
        <f t="shared" si="46"/>
        <v>0.18214690090945615</v>
      </c>
      <c r="G358" s="130">
        <f t="shared" si="47"/>
        <v>12.236616399440733</v>
      </c>
      <c r="H358" s="130">
        <f t="shared" si="48"/>
        <v>0.732671202649816</v>
      </c>
      <c r="I358" s="130">
        <v>0.24574373699999999</v>
      </c>
      <c r="J358" s="130"/>
      <c r="K358" s="154">
        <v>29922</v>
      </c>
      <c r="L358" s="130">
        <v>190</v>
      </c>
      <c r="M358" s="148">
        <v>27324</v>
      </c>
      <c r="N358" s="148">
        <v>206203</v>
      </c>
      <c r="O358" s="148">
        <v>164274</v>
      </c>
      <c r="P358" s="148">
        <v>55124</v>
      </c>
      <c r="Q358" s="148">
        <v>72809</v>
      </c>
      <c r="R358" s="148">
        <v>78270</v>
      </c>
      <c r="S358" s="148">
        <f t="shared" si="50"/>
        <v>151079</v>
      </c>
    </row>
    <row r="359" spans="1:24">
      <c r="A359" s="130" t="s">
        <v>36</v>
      </c>
      <c r="B359" s="130" t="s">
        <v>172</v>
      </c>
      <c r="C359" s="130" t="s">
        <v>173</v>
      </c>
      <c r="D359" s="130">
        <v>0</v>
      </c>
      <c r="E359" s="130">
        <v>9</v>
      </c>
      <c r="F359" s="130">
        <f t="shared" si="46"/>
        <v>0.16362341561382476</v>
      </c>
      <c r="G359" s="130">
        <f t="shared" si="47"/>
        <v>12.501763809412871</v>
      </c>
      <c r="H359" s="130">
        <f t="shared" si="48"/>
        <v>1.9162087860987831</v>
      </c>
      <c r="I359" s="130" t="str">
        <f t="shared" ref="I359:I386" si="51">IF(A359=A360, (O359-O360)/O360, "")</f>
        <v/>
      </c>
      <c r="J359" s="130"/>
      <c r="K359" s="154">
        <v>31937</v>
      </c>
      <c r="L359" s="130">
        <v>828</v>
      </c>
      <c r="M359" s="148">
        <v>395201</v>
      </c>
      <c r="N359" s="148">
        <v>268811</v>
      </c>
      <c r="O359" s="148">
        <v>195186</v>
      </c>
      <c r="P359" s="148">
        <v>-246287</v>
      </c>
      <c r="Q359" s="148">
        <v>12695</v>
      </c>
      <c r="R359" s="148">
        <v>502403</v>
      </c>
      <c r="S359" s="148">
        <f t="shared" si="50"/>
        <v>515098</v>
      </c>
      <c r="T359" s="146" t="s">
        <v>253</v>
      </c>
      <c r="U359" s="146" t="s">
        <v>254</v>
      </c>
      <c r="V359" s="146"/>
      <c r="W359" s="146"/>
    </row>
    <row r="360" spans="1:24">
      <c r="A360" s="130" t="s">
        <v>37</v>
      </c>
      <c r="B360" s="130" t="s">
        <v>172</v>
      </c>
      <c r="C360" s="130" t="s">
        <v>173</v>
      </c>
      <c r="D360" s="130">
        <v>0</v>
      </c>
      <c r="E360" s="130">
        <v>18</v>
      </c>
      <c r="F360" s="130">
        <f t="shared" si="46"/>
        <v>0.25295083301676885</v>
      </c>
      <c r="G360" s="130">
        <f t="shared" si="47"/>
        <v>12.524962645106148</v>
      </c>
      <c r="H360" s="130">
        <f t="shared" si="48"/>
        <v>0.52979063681302707</v>
      </c>
      <c r="I360" s="130" t="str">
        <f t="shared" si="51"/>
        <v/>
      </c>
      <c r="J360" s="130"/>
      <c r="K360" s="154">
        <v>37289</v>
      </c>
      <c r="L360" s="130">
        <v>273</v>
      </c>
      <c r="M360" s="148">
        <v>20059</v>
      </c>
      <c r="N360" s="148">
        <v>275120</v>
      </c>
      <c r="O360" s="148">
        <v>147416</v>
      </c>
      <c r="P360" s="148">
        <v>129364</v>
      </c>
      <c r="Q360" s="148">
        <v>38369</v>
      </c>
      <c r="R360" s="148">
        <v>107387</v>
      </c>
      <c r="S360" s="148">
        <f t="shared" si="50"/>
        <v>145756</v>
      </c>
    </row>
    <row r="361" spans="1:24">
      <c r="A361" s="130" t="s">
        <v>44</v>
      </c>
      <c r="B361" s="130" t="s">
        <v>172</v>
      </c>
      <c r="C361" s="130" t="s">
        <v>173</v>
      </c>
      <c r="D361" s="130">
        <v>1</v>
      </c>
      <c r="E361" s="130">
        <v>3</v>
      </c>
      <c r="F361" s="130">
        <f t="shared" si="46"/>
        <v>-0.25200065589431547</v>
      </c>
      <c r="G361" s="130">
        <f t="shared" si="47"/>
        <v>13.834276373446992</v>
      </c>
      <c r="H361" s="130">
        <f t="shared" si="48"/>
        <v>0.49564499682514135</v>
      </c>
      <c r="I361" s="130" t="str">
        <f t="shared" si="51"/>
        <v/>
      </c>
      <c r="J361" s="130"/>
      <c r="K361" s="154">
        <v>-141389</v>
      </c>
      <c r="L361" s="130">
        <v>788</v>
      </c>
      <c r="M361" s="148">
        <v>0</v>
      </c>
      <c r="N361" s="148">
        <v>1018943</v>
      </c>
      <c r="O361" s="148">
        <v>561066</v>
      </c>
      <c r="P361" s="148">
        <v>513909</v>
      </c>
      <c r="Q361" s="148">
        <v>93836</v>
      </c>
      <c r="R361" s="148">
        <v>411198</v>
      </c>
      <c r="S361" s="148">
        <f t="shared" si="50"/>
        <v>505034</v>
      </c>
    </row>
    <row r="362" spans="1:24">
      <c r="A362" s="130" t="s">
        <v>47</v>
      </c>
      <c r="B362" s="130" t="s">
        <v>172</v>
      </c>
      <c r="C362" s="130" t="s">
        <v>173</v>
      </c>
      <c r="D362" s="130">
        <v>0</v>
      </c>
      <c r="E362" s="130">
        <v>12</v>
      </c>
      <c r="F362" s="130">
        <f t="shared" si="46"/>
        <v>-0.17144482153013457</v>
      </c>
      <c r="G362" s="130">
        <f t="shared" si="47"/>
        <v>12.071008650498905</v>
      </c>
      <c r="H362" s="130">
        <f t="shared" si="48"/>
        <v>0.89993246800814963</v>
      </c>
      <c r="I362" s="130" t="str">
        <f t="shared" si="51"/>
        <v/>
      </c>
      <c r="J362" s="130"/>
      <c r="K362" s="154">
        <v>-27431</v>
      </c>
      <c r="L362" s="130">
        <v>295</v>
      </c>
      <c r="M362" s="148">
        <v>30000</v>
      </c>
      <c r="N362" s="148">
        <v>174732</v>
      </c>
      <c r="O362" s="148">
        <v>159999</v>
      </c>
      <c r="P362" s="148">
        <v>-6770</v>
      </c>
      <c r="Q362" s="148">
        <v>63286</v>
      </c>
      <c r="R362" s="148">
        <v>93961</v>
      </c>
      <c r="S362" s="148">
        <f t="shared" si="50"/>
        <v>157247</v>
      </c>
    </row>
    <row r="363" spans="1:24">
      <c r="A363" s="130" t="s">
        <v>57</v>
      </c>
      <c r="B363" s="130" t="s">
        <v>172</v>
      </c>
      <c r="C363" s="130" t="s">
        <v>173</v>
      </c>
      <c r="D363" s="130">
        <v>0</v>
      </c>
      <c r="E363" s="130">
        <v>16</v>
      </c>
      <c r="F363" s="130">
        <f t="shared" si="46"/>
        <v>-0.24712935099400515</v>
      </c>
      <c r="G363" s="130">
        <f t="shared" si="47"/>
        <v>13.352253717865493</v>
      </c>
      <c r="H363" s="130">
        <f t="shared" si="48"/>
        <v>0.56578903455169882</v>
      </c>
      <c r="I363" s="130" t="str">
        <f t="shared" si="51"/>
        <v/>
      </c>
      <c r="J363" s="130"/>
      <c r="K363" s="154">
        <v>-52148</v>
      </c>
      <c r="L363" s="130">
        <v>442</v>
      </c>
      <c r="M363" s="148">
        <v>16825</v>
      </c>
      <c r="N363" s="148">
        <v>629231</v>
      </c>
      <c r="O363" s="148">
        <v>211015</v>
      </c>
      <c r="P363" s="148">
        <v>273219</v>
      </c>
      <c r="Q363" s="148">
        <v>208672</v>
      </c>
      <c r="R363" s="148">
        <v>147340</v>
      </c>
      <c r="S363" s="148">
        <f t="shared" si="50"/>
        <v>356012</v>
      </c>
    </row>
    <row r="364" spans="1:24">
      <c r="A364" s="130" t="s">
        <v>85</v>
      </c>
      <c r="B364" s="130" t="s">
        <v>172</v>
      </c>
      <c r="C364" s="130" t="s">
        <v>173</v>
      </c>
      <c r="D364" s="130">
        <v>0</v>
      </c>
      <c r="E364" s="130">
        <v>17</v>
      </c>
      <c r="F364" s="130">
        <f t="shared" si="46"/>
        <v>-0.19402105415869503</v>
      </c>
      <c r="G364" s="130">
        <f t="shared" si="47"/>
        <v>12.333863216124113</v>
      </c>
      <c r="H364" s="130">
        <f t="shared" si="48"/>
        <v>1.3075247620598163</v>
      </c>
      <c r="I364" s="130" t="str">
        <f t="shared" si="51"/>
        <v/>
      </c>
      <c r="J364" s="130"/>
      <c r="K364" s="154">
        <v>-42796</v>
      </c>
      <c r="L364" s="130">
        <v>999</v>
      </c>
      <c r="M364" s="148">
        <v>58339</v>
      </c>
      <c r="N364" s="148">
        <v>227263</v>
      </c>
      <c r="O364" s="148">
        <v>220574</v>
      </c>
      <c r="P364" s="148">
        <v>-69890</v>
      </c>
      <c r="Q364" s="148">
        <v>106058</v>
      </c>
      <c r="R364" s="148">
        <v>191094</v>
      </c>
      <c r="S364" s="148">
        <f t="shared" si="50"/>
        <v>297152</v>
      </c>
    </row>
    <row r="365" spans="1:24">
      <c r="A365" s="130" t="s">
        <v>87</v>
      </c>
      <c r="B365" s="130" t="s">
        <v>172</v>
      </c>
      <c r="C365" s="130" t="s">
        <v>173</v>
      </c>
      <c r="D365" s="130">
        <v>0</v>
      </c>
      <c r="E365" s="130">
        <v>8</v>
      </c>
      <c r="F365" s="130">
        <f t="shared" si="46"/>
        <v>-0.43103407252307985</v>
      </c>
      <c r="G365" s="130">
        <f t="shared" si="47"/>
        <v>13.161407151827953</v>
      </c>
      <c r="H365" s="130">
        <f t="shared" si="48"/>
        <v>1.1013890919162621</v>
      </c>
      <c r="I365" s="130" t="str">
        <f t="shared" si="51"/>
        <v/>
      </c>
      <c r="J365" s="130"/>
      <c r="K365" s="154">
        <v>-108693</v>
      </c>
      <c r="L365" s="130">
        <v>467</v>
      </c>
      <c r="M365" s="148">
        <v>60426</v>
      </c>
      <c r="N365" s="148">
        <v>519908</v>
      </c>
      <c r="O365" s="148">
        <v>252168</v>
      </c>
      <c r="P365" s="148">
        <v>-52713</v>
      </c>
      <c r="Q365" s="148">
        <v>403931</v>
      </c>
      <c r="R365" s="148">
        <v>168690</v>
      </c>
      <c r="S365" s="148">
        <f t="shared" si="50"/>
        <v>572621</v>
      </c>
    </row>
    <row r="366" spans="1:24">
      <c r="A366" s="130" t="s">
        <v>90</v>
      </c>
      <c r="B366" s="130" t="s">
        <v>172</v>
      </c>
      <c r="C366" s="130" t="s">
        <v>173</v>
      </c>
      <c r="D366" s="130">
        <v>0</v>
      </c>
      <c r="E366" s="130">
        <v>2</v>
      </c>
      <c r="F366" s="130">
        <f t="shared" si="46"/>
        <v>4.0997456811620765E-3</v>
      </c>
      <c r="G366" s="130">
        <f t="shared" si="47"/>
        <v>13.58697499585235</v>
      </c>
      <c r="H366" s="130">
        <f t="shared" si="48"/>
        <v>0.70216841062815294</v>
      </c>
      <c r="I366" s="130" t="str">
        <f t="shared" si="51"/>
        <v/>
      </c>
      <c r="J366" s="130"/>
      <c r="K366" s="154">
        <v>2863</v>
      </c>
      <c r="L366" s="130">
        <v>1005</v>
      </c>
      <c r="M366" s="148">
        <v>83903</v>
      </c>
      <c r="N366" s="148">
        <v>795698</v>
      </c>
      <c r="O366" s="148">
        <v>698336</v>
      </c>
      <c r="P366" s="148">
        <v>236984</v>
      </c>
      <c r="Q366" s="148">
        <v>174231</v>
      </c>
      <c r="R366" s="148">
        <v>384483</v>
      </c>
      <c r="S366" s="148">
        <f t="shared" si="50"/>
        <v>558714</v>
      </c>
    </row>
    <row r="367" spans="1:24">
      <c r="A367" s="130" t="s">
        <v>94</v>
      </c>
      <c r="B367" s="130" t="s">
        <v>172</v>
      </c>
      <c r="C367" s="130" t="s">
        <v>173</v>
      </c>
      <c r="D367" s="130">
        <v>0</v>
      </c>
      <c r="E367" s="130">
        <v>1</v>
      </c>
      <c r="F367" s="130">
        <f t="shared" si="46"/>
        <v>6.8067647857248809E-2</v>
      </c>
      <c r="G367" s="130">
        <f t="shared" si="47"/>
        <v>14.221589477651561</v>
      </c>
      <c r="H367" s="130">
        <f t="shared" si="48"/>
        <v>0.45783155808999942</v>
      </c>
      <c r="I367" s="130" t="str">
        <f t="shared" si="51"/>
        <v/>
      </c>
      <c r="J367" s="130"/>
      <c r="K367" s="154">
        <v>48644</v>
      </c>
      <c r="L367" s="130">
        <v>549</v>
      </c>
      <c r="M367" s="148">
        <v>57831</v>
      </c>
      <c r="N367" s="148">
        <v>1500921</v>
      </c>
      <c r="O367" s="148">
        <v>714642</v>
      </c>
      <c r="P367" s="148">
        <v>813751</v>
      </c>
      <c r="Q367" s="148">
        <v>152122</v>
      </c>
      <c r="R367" s="148">
        <v>535047</v>
      </c>
      <c r="S367" s="148">
        <f t="shared" si="50"/>
        <v>687169</v>
      </c>
    </row>
    <row r="368" spans="1:24">
      <c r="A368" s="130" t="s">
        <v>95</v>
      </c>
      <c r="B368" s="130" t="s">
        <v>172</v>
      </c>
      <c r="C368" s="130" t="s">
        <v>173</v>
      </c>
      <c r="D368" s="130">
        <v>1</v>
      </c>
      <c r="E368" s="130">
        <v>6</v>
      </c>
      <c r="F368" s="130">
        <f t="shared" si="46"/>
        <v>-0.19806232506284133</v>
      </c>
      <c r="G368" s="130">
        <f t="shared" si="47"/>
        <v>14.226383683018719</v>
      </c>
      <c r="H368" s="130">
        <f t="shared" si="48"/>
        <v>0.90143714020106969</v>
      </c>
      <c r="I368" s="130" t="str">
        <f t="shared" si="51"/>
        <v/>
      </c>
      <c r="J368" s="130"/>
      <c r="K368" s="154">
        <v>-134660</v>
      </c>
      <c r="L368" s="130">
        <v>1035</v>
      </c>
      <c r="M368" s="148">
        <v>0</v>
      </c>
      <c r="N368" s="148">
        <v>1508134</v>
      </c>
      <c r="O368" s="148">
        <v>679887</v>
      </c>
      <c r="P368" s="148">
        <v>148647</v>
      </c>
      <c r="Q368" s="148">
        <v>782609</v>
      </c>
      <c r="R368" s="148">
        <v>576879</v>
      </c>
      <c r="S368" s="148">
        <f t="shared" si="50"/>
        <v>1359488</v>
      </c>
    </row>
    <row r="369" spans="1:19">
      <c r="A369" s="130" t="s">
        <v>102</v>
      </c>
      <c r="B369" s="130" t="s">
        <v>172</v>
      </c>
      <c r="C369" s="130" t="s">
        <v>173</v>
      </c>
      <c r="D369" s="130">
        <v>0</v>
      </c>
      <c r="E369" s="130">
        <v>11</v>
      </c>
      <c r="F369" s="130">
        <f t="shared" si="46"/>
        <v>-0.39253187179792687</v>
      </c>
      <c r="G369" s="130">
        <f t="shared" si="47"/>
        <v>12.735532567302572</v>
      </c>
      <c r="H369" s="130">
        <f t="shared" si="48"/>
        <v>0.66788868178431871</v>
      </c>
      <c r="I369" s="130" t="str">
        <f t="shared" si="51"/>
        <v/>
      </c>
      <c r="J369" s="130"/>
      <c r="K369" s="154">
        <v>-82363</v>
      </c>
      <c r="L369" s="130">
        <v>289</v>
      </c>
      <c r="M369" s="148">
        <v>11335</v>
      </c>
      <c r="N369" s="148">
        <v>339603</v>
      </c>
      <c r="O369" s="148">
        <v>209825</v>
      </c>
      <c r="P369" s="148">
        <v>112786</v>
      </c>
      <c r="Q369" s="148">
        <v>56670</v>
      </c>
      <c r="R369" s="148">
        <v>170147</v>
      </c>
      <c r="S369" s="148">
        <f t="shared" si="50"/>
        <v>226817</v>
      </c>
    </row>
    <row r="370" spans="1:19">
      <c r="A370" s="130" t="s">
        <v>104</v>
      </c>
      <c r="B370" s="130" t="s">
        <v>172</v>
      </c>
      <c r="C370" s="130" t="s">
        <v>173</v>
      </c>
      <c r="D370" s="130">
        <v>0</v>
      </c>
      <c r="E370" s="130">
        <v>20</v>
      </c>
      <c r="F370" s="130">
        <f t="shared" si="46"/>
        <v>-0.13342774025707732</v>
      </c>
      <c r="G370" s="130">
        <f t="shared" si="47"/>
        <v>12.000093440385545</v>
      </c>
      <c r="H370" s="130">
        <f t="shared" si="48"/>
        <v>0.98061067764330034</v>
      </c>
      <c r="I370" s="130" t="str">
        <f t="shared" si="51"/>
        <v/>
      </c>
      <c r="J370" s="130"/>
      <c r="K370" s="154">
        <v>-20823</v>
      </c>
      <c r="L370" s="130">
        <v>354</v>
      </c>
      <c r="M370" s="148">
        <v>27370</v>
      </c>
      <c r="N370" s="148">
        <v>162770</v>
      </c>
      <c r="O370" s="148">
        <v>156062</v>
      </c>
      <c r="P370" s="148">
        <v>3156</v>
      </c>
      <c r="Q370" s="148">
        <v>62341</v>
      </c>
      <c r="R370" s="148">
        <v>97273</v>
      </c>
      <c r="S370" s="148">
        <f t="shared" si="50"/>
        <v>159614</v>
      </c>
    </row>
    <row r="371" spans="1:19">
      <c r="A371" s="130" t="s">
        <v>129</v>
      </c>
      <c r="B371" s="130" t="s">
        <v>172</v>
      </c>
      <c r="C371" s="130" t="s">
        <v>173</v>
      </c>
      <c r="D371" s="130">
        <v>0</v>
      </c>
      <c r="E371" s="130">
        <v>15</v>
      </c>
      <c r="F371" s="130">
        <f t="shared" si="46"/>
        <v>-2.8929384965831435E-2</v>
      </c>
      <c r="G371" s="130">
        <f t="shared" si="47"/>
        <v>12.212914188710526</v>
      </c>
      <c r="H371" s="130">
        <f t="shared" si="48"/>
        <v>1.0098473976153706</v>
      </c>
      <c r="I371" s="130" t="str">
        <f t="shared" si="51"/>
        <v/>
      </c>
      <c r="J371" s="130"/>
      <c r="K371" s="154">
        <v>-5080</v>
      </c>
      <c r="L371" s="130">
        <v>408</v>
      </c>
      <c r="M371" s="148">
        <v>91980</v>
      </c>
      <c r="N371" s="148">
        <v>201373</v>
      </c>
      <c r="O371" s="148">
        <v>175600</v>
      </c>
      <c r="P371" s="148">
        <v>-1983</v>
      </c>
      <c r="Q371" s="148">
        <v>41669</v>
      </c>
      <c r="R371" s="148">
        <v>161687</v>
      </c>
      <c r="S371" s="148">
        <f t="shared" si="50"/>
        <v>203356</v>
      </c>
    </row>
    <row r="372" spans="1:19">
      <c r="A372" s="130" t="s">
        <v>140</v>
      </c>
      <c r="B372" s="130" t="s">
        <v>172</v>
      </c>
      <c r="C372" s="130" t="s">
        <v>173</v>
      </c>
      <c r="D372" s="130">
        <v>0</v>
      </c>
      <c r="E372" s="130">
        <v>4</v>
      </c>
      <c r="F372" s="130">
        <f t="shared" si="46"/>
        <v>-0.11302584896097313</v>
      </c>
      <c r="G372" s="130">
        <f t="shared" si="47"/>
        <v>14.589669822354679</v>
      </c>
      <c r="H372" s="130">
        <f t="shared" si="48"/>
        <v>0.90472517115708084</v>
      </c>
      <c r="I372" s="130" t="str">
        <f t="shared" si="51"/>
        <v/>
      </c>
      <c r="J372" s="130"/>
      <c r="K372" s="154">
        <v>-58426</v>
      </c>
      <c r="L372" s="130">
        <v>719</v>
      </c>
      <c r="M372" s="148">
        <v>2376</v>
      </c>
      <c r="N372" s="148">
        <v>2168768</v>
      </c>
      <c r="O372" s="148">
        <v>516926</v>
      </c>
      <c r="P372" s="148">
        <v>206628</v>
      </c>
      <c r="Q372" s="148">
        <v>1358642</v>
      </c>
      <c r="R372" s="148">
        <v>603497</v>
      </c>
      <c r="S372" s="148">
        <f t="shared" si="50"/>
        <v>1962139</v>
      </c>
    </row>
    <row r="373" spans="1:19">
      <c r="A373" s="130" t="s">
        <v>148</v>
      </c>
      <c r="B373" s="130" t="s">
        <v>172</v>
      </c>
      <c r="C373" s="130" t="s">
        <v>173</v>
      </c>
      <c r="D373" s="130">
        <v>0</v>
      </c>
      <c r="E373" s="130">
        <v>19</v>
      </c>
      <c r="F373" s="130">
        <f t="shared" si="46"/>
        <v>-0.1381704948771178</v>
      </c>
      <c r="G373" s="130">
        <f t="shared" si="47"/>
        <v>12.463663999297939</v>
      </c>
      <c r="H373" s="130">
        <f t="shared" si="48"/>
        <v>1.157360818049018</v>
      </c>
      <c r="I373" s="130" t="str">
        <f t="shared" si="51"/>
        <v/>
      </c>
      <c r="J373" s="130"/>
      <c r="K373" s="154">
        <v>-20633</v>
      </c>
      <c r="L373" s="130">
        <v>361</v>
      </c>
      <c r="M373" s="148">
        <v>41975</v>
      </c>
      <c r="N373" s="148">
        <v>258762</v>
      </c>
      <c r="O373" s="148">
        <v>149330</v>
      </c>
      <c r="P373" s="148">
        <v>-40720</v>
      </c>
      <c r="Q373" s="148">
        <v>146379</v>
      </c>
      <c r="R373" s="148">
        <v>153102</v>
      </c>
      <c r="S373" s="148">
        <f t="shared" si="50"/>
        <v>299481</v>
      </c>
    </row>
    <row r="374" spans="1:19">
      <c r="A374" s="130" t="s">
        <v>150</v>
      </c>
      <c r="B374" s="130" t="s">
        <v>172</v>
      </c>
      <c r="C374" s="130" t="s">
        <v>173</v>
      </c>
      <c r="D374" s="130">
        <v>0</v>
      </c>
      <c r="E374" s="130">
        <v>7</v>
      </c>
      <c r="F374" s="130">
        <f t="shared" si="46"/>
        <v>4.5940456193833371E-2</v>
      </c>
      <c r="G374" s="130">
        <f t="shared" si="47"/>
        <v>12.673949013759735</v>
      </c>
      <c r="H374" s="130">
        <f t="shared" si="48"/>
        <v>1.5644713766754352</v>
      </c>
      <c r="I374" s="130" t="str">
        <f t="shared" si="51"/>
        <v/>
      </c>
      <c r="J374" s="130"/>
      <c r="K374" s="154">
        <v>13593</v>
      </c>
      <c r="L374" s="130">
        <v>725</v>
      </c>
      <c r="M374" s="148">
        <v>249900</v>
      </c>
      <c r="N374" s="148">
        <v>319320</v>
      </c>
      <c r="O374" s="148">
        <v>295883</v>
      </c>
      <c r="P374" s="148">
        <v>-180247</v>
      </c>
      <c r="Q374" s="148">
        <v>122467</v>
      </c>
      <c r="R374" s="148">
        <v>377100</v>
      </c>
      <c r="S374" s="148">
        <f t="shared" si="50"/>
        <v>499567</v>
      </c>
    </row>
    <row r="375" spans="1:19">
      <c r="A375" s="130" t="s">
        <v>151</v>
      </c>
      <c r="B375" s="130" t="s">
        <v>172</v>
      </c>
      <c r="C375" s="130" t="s">
        <v>173</v>
      </c>
      <c r="D375" s="130">
        <v>0</v>
      </c>
      <c r="E375" s="130">
        <v>10</v>
      </c>
      <c r="F375" s="130">
        <f t="shared" si="46"/>
        <v>-0.26010951979780961</v>
      </c>
      <c r="G375" s="130">
        <f t="shared" si="47"/>
        <v>12.727523619797052</v>
      </c>
      <c r="H375" s="130">
        <f t="shared" si="48"/>
        <v>1.3466550309592928</v>
      </c>
      <c r="I375" s="130" t="str">
        <f t="shared" si="51"/>
        <v/>
      </c>
      <c r="J375" s="130"/>
      <c r="K375" s="154">
        <v>-50635</v>
      </c>
      <c r="L375" s="130">
        <v>424</v>
      </c>
      <c r="M375" s="148">
        <v>243622</v>
      </c>
      <c r="N375" s="148">
        <v>336894</v>
      </c>
      <c r="O375" s="148">
        <v>194668</v>
      </c>
      <c r="P375" s="148">
        <v>-116786</v>
      </c>
      <c r="Q375" s="148">
        <v>121301</v>
      </c>
      <c r="R375" s="148">
        <v>332379</v>
      </c>
      <c r="S375" s="148">
        <f t="shared" si="50"/>
        <v>453680</v>
      </c>
    </row>
    <row r="376" spans="1:19">
      <c r="A376" s="132" t="s">
        <v>3</v>
      </c>
      <c r="B376" s="132" t="s">
        <v>198</v>
      </c>
      <c r="C376" s="132" t="s">
        <v>173</v>
      </c>
      <c r="D376" s="132">
        <v>1</v>
      </c>
      <c r="E376" s="132">
        <v>1</v>
      </c>
      <c r="F376" s="132">
        <f t="shared" si="46"/>
        <v>-0.22358463937202613</v>
      </c>
      <c r="G376" s="132">
        <f t="shared" si="47"/>
        <v>13.128144633691187</v>
      </c>
      <c r="H376" s="132">
        <f t="shared" si="48"/>
        <v>0.73905297087486754</v>
      </c>
      <c r="I376" s="132" t="str">
        <f t="shared" si="51"/>
        <v/>
      </c>
      <c r="J376" s="132"/>
      <c r="K376" s="155">
        <v>-66537</v>
      </c>
      <c r="L376" s="132">
        <v>427</v>
      </c>
      <c r="M376" s="156">
        <v>25961</v>
      </c>
      <c r="N376" s="156">
        <v>502899</v>
      </c>
      <c r="O376" s="156">
        <v>297592</v>
      </c>
      <c r="P376" s="156">
        <v>131230</v>
      </c>
      <c r="Q376" s="156">
        <v>139040</v>
      </c>
      <c r="R376" s="156">
        <v>232629</v>
      </c>
      <c r="S376" s="156">
        <f t="shared" si="50"/>
        <v>371669</v>
      </c>
    </row>
    <row r="377" spans="1:19">
      <c r="A377" s="132" t="s">
        <v>25</v>
      </c>
      <c r="B377" s="132" t="s">
        <v>198</v>
      </c>
      <c r="C377" s="132" t="s">
        <v>173</v>
      </c>
      <c r="D377" s="132">
        <v>0</v>
      </c>
      <c r="E377" s="132">
        <v>8</v>
      </c>
      <c r="F377" s="132">
        <f t="shared" si="46"/>
        <v>9.2810916570511215E-2</v>
      </c>
      <c r="G377" s="132">
        <f t="shared" si="47"/>
        <v>12.782517456303976</v>
      </c>
      <c r="H377" s="132">
        <f t="shared" si="48"/>
        <v>0.50214081024891832</v>
      </c>
      <c r="I377" s="132" t="str">
        <f t="shared" si="51"/>
        <v/>
      </c>
      <c r="J377" s="132"/>
      <c r="K377" s="155">
        <v>11100</v>
      </c>
      <c r="L377" s="132">
        <v>187</v>
      </c>
      <c r="M377" s="156">
        <v>864</v>
      </c>
      <c r="N377" s="156">
        <v>355940</v>
      </c>
      <c r="O377" s="156">
        <v>119598</v>
      </c>
      <c r="P377" s="156">
        <v>177208</v>
      </c>
      <c r="Q377" s="156">
        <v>91148</v>
      </c>
      <c r="R377" s="156">
        <v>87584</v>
      </c>
      <c r="S377" s="156">
        <f t="shared" si="50"/>
        <v>178732</v>
      </c>
    </row>
    <row r="378" spans="1:19">
      <c r="A378" s="132" t="s">
        <v>32</v>
      </c>
      <c r="B378" s="132" t="s">
        <v>198</v>
      </c>
      <c r="C378" s="132" t="s">
        <v>173</v>
      </c>
      <c r="D378" s="132">
        <v>0</v>
      </c>
      <c r="E378" s="132">
        <v>13</v>
      </c>
      <c r="F378" s="132">
        <f t="shared" si="46"/>
        <v>-0.58091565065936801</v>
      </c>
      <c r="G378" s="132">
        <f t="shared" si="47"/>
        <v>11.611493967036091</v>
      </c>
      <c r="H378" s="132">
        <f t="shared" si="48"/>
        <v>0.91529462934604333</v>
      </c>
      <c r="I378" s="132" t="str">
        <f t="shared" si="51"/>
        <v/>
      </c>
      <c r="J378" s="132"/>
      <c r="K378" s="155">
        <v>-46694</v>
      </c>
      <c r="L378" s="132">
        <v>204</v>
      </c>
      <c r="M378" s="156">
        <v>4342</v>
      </c>
      <c r="N378" s="156">
        <v>110359</v>
      </c>
      <c r="O378" s="156">
        <v>80380</v>
      </c>
      <c r="P378" s="156">
        <v>9348</v>
      </c>
      <c r="Q378" s="156">
        <v>36212</v>
      </c>
      <c r="R378" s="156">
        <v>64799</v>
      </c>
      <c r="S378" s="156">
        <f t="shared" si="50"/>
        <v>101011</v>
      </c>
    </row>
    <row r="379" spans="1:19">
      <c r="A379" s="132" t="s">
        <v>55</v>
      </c>
      <c r="B379" s="132" t="s">
        <v>198</v>
      </c>
      <c r="C379" s="132" t="s">
        <v>173</v>
      </c>
      <c r="D379" s="132">
        <v>0</v>
      </c>
      <c r="E379" s="132">
        <v>14</v>
      </c>
      <c r="F379" s="132">
        <f t="shared" si="46"/>
        <v>-4.9781413058806935E-2</v>
      </c>
      <c r="G379" s="132">
        <f t="shared" si="47"/>
        <v>12.447311485113476</v>
      </c>
      <c r="H379" s="132">
        <f t="shared" si="48"/>
        <v>1.3916170722605228</v>
      </c>
      <c r="I379" s="132" t="str">
        <f t="shared" si="51"/>
        <v/>
      </c>
      <c r="J379" s="132"/>
      <c r="K379" s="155">
        <v>-3530</v>
      </c>
      <c r="L379" s="132">
        <v>192</v>
      </c>
      <c r="M379" s="156">
        <v>2564</v>
      </c>
      <c r="N379" s="156">
        <v>254565</v>
      </c>
      <c r="O379" s="156">
        <v>70910</v>
      </c>
      <c r="P379" s="156">
        <v>38562</v>
      </c>
      <c r="Q379" s="156">
        <v>275668</v>
      </c>
      <c r="R379" s="156">
        <v>78589</v>
      </c>
      <c r="S379" s="156">
        <f t="shared" si="50"/>
        <v>354257</v>
      </c>
    </row>
    <row r="380" spans="1:19">
      <c r="A380" s="132" t="s">
        <v>59</v>
      </c>
      <c r="B380" s="132" t="s">
        <v>198</v>
      </c>
      <c r="C380" s="132" t="s">
        <v>173</v>
      </c>
      <c r="D380" s="132">
        <v>0</v>
      </c>
      <c r="E380" s="132">
        <v>7</v>
      </c>
      <c r="F380" s="132">
        <f t="shared" si="46"/>
        <v>0.2015467844185356</v>
      </c>
      <c r="G380" s="132">
        <f t="shared" si="47"/>
        <v>12.810388612383504</v>
      </c>
      <c r="H380" s="132">
        <f t="shared" si="48"/>
        <v>0.40412295081967214</v>
      </c>
      <c r="I380" s="132" t="str">
        <f t="shared" si="51"/>
        <v/>
      </c>
      <c r="J380" s="132"/>
      <c r="K380" s="155">
        <v>46830</v>
      </c>
      <c r="L380" s="132">
        <v>246</v>
      </c>
      <c r="M380" s="156">
        <v>0</v>
      </c>
      <c r="N380" s="156">
        <v>366000</v>
      </c>
      <c r="O380" s="156">
        <v>232353</v>
      </c>
      <c r="P380" s="156">
        <v>218092</v>
      </c>
      <c r="Q380" s="156">
        <v>49512</v>
      </c>
      <c r="R380" s="156">
        <v>98397</v>
      </c>
      <c r="S380" s="156">
        <f t="shared" si="50"/>
        <v>147909</v>
      </c>
    </row>
    <row r="381" spans="1:19">
      <c r="A381" s="132" t="s">
        <v>65</v>
      </c>
      <c r="B381" s="132" t="s">
        <v>198</v>
      </c>
      <c r="C381" s="132" t="s">
        <v>173</v>
      </c>
      <c r="D381" s="132">
        <v>0</v>
      </c>
      <c r="E381" s="132">
        <v>19</v>
      </c>
      <c r="F381" s="132">
        <f t="shared" si="46"/>
        <v>-0.76193591389355186</v>
      </c>
      <c r="G381" s="132">
        <f t="shared" si="47"/>
        <v>12.634993829674679</v>
      </c>
      <c r="H381" s="132">
        <f t="shared" si="48"/>
        <v>0.9824140401146132</v>
      </c>
      <c r="I381" s="132" t="str">
        <f t="shared" si="51"/>
        <v/>
      </c>
      <c r="J381" s="132"/>
      <c r="K381" s="155">
        <v>-61729</v>
      </c>
      <c r="L381" s="132">
        <v>185</v>
      </c>
      <c r="M381" s="156">
        <v>37917</v>
      </c>
      <c r="N381" s="156">
        <v>307120</v>
      </c>
      <c r="O381" s="156">
        <v>81016</v>
      </c>
      <c r="P381" s="156">
        <v>5401</v>
      </c>
      <c r="Q381" s="156">
        <v>134149</v>
      </c>
      <c r="R381" s="156">
        <v>167570</v>
      </c>
      <c r="S381" s="156">
        <f t="shared" si="50"/>
        <v>301719</v>
      </c>
    </row>
    <row r="382" spans="1:19">
      <c r="A382" s="132" t="s">
        <v>75</v>
      </c>
      <c r="B382" s="132" t="s">
        <v>198</v>
      </c>
      <c r="C382" s="132" t="s">
        <v>173</v>
      </c>
      <c r="D382" s="132">
        <v>1</v>
      </c>
      <c r="E382" s="132">
        <v>2</v>
      </c>
      <c r="F382" s="132">
        <f t="shared" si="46"/>
        <v>-0.31887291620182961</v>
      </c>
      <c r="G382" s="132">
        <f t="shared" si="47"/>
        <v>13.677471879915865</v>
      </c>
      <c r="H382" s="132">
        <f t="shared" si="48"/>
        <v>1.0994242679937778</v>
      </c>
      <c r="I382" s="132" t="str">
        <f t="shared" si="51"/>
        <v/>
      </c>
      <c r="J382" s="132"/>
      <c r="K382" s="155">
        <v>-140056</v>
      </c>
      <c r="L382" s="132">
        <v>498</v>
      </c>
      <c r="M382" s="156">
        <v>52</v>
      </c>
      <c r="N382" s="156">
        <v>871065</v>
      </c>
      <c r="O382" s="156">
        <v>439222</v>
      </c>
      <c r="P382" s="156">
        <v>-86605</v>
      </c>
      <c r="Q382" s="156">
        <v>613642</v>
      </c>
      <c r="R382" s="156">
        <v>344028</v>
      </c>
      <c r="S382" s="156">
        <f t="shared" si="50"/>
        <v>957670</v>
      </c>
    </row>
    <row r="383" spans="1:19">
      <c r="A383" s="132" t="s">
        <v>77</v>
      </c>
      <c r="B383" s="132" t="s">
        <v>198</v>
      </c>
      <c r="C383" s="132" t="s">
        <v>173</v>
      </c>
      <c r="D383" s="132">
        <v>1</v>
      </c>
      <c r="E383" s="132">
        <v>4</v>
      </c>
      <c r="F383" s="132">
        <f t="shared" si="46"/>
        <v>-0.57207739183835982</v>
      </c>
      <c r="G383" s="132">
        <f t="shared" si="47"/>
        <v>13.744760786889824</v>
      </c>
      <c r="H383" s="132">
        <f t="shared" si="48"/>
        <v>0.8181443498140486</v>
      </c>
      <c r="I383" s="132" t="str">
        <f t="shared" si="51"/>
        <v/>
      </c>
      <c r="J383" s="132"/>
      <c r="K383" s="155">
        <v>-254313</v>
      </c>
      <c r="L383" s="132">
        <v>281</v>
      </c>
      <c r="M383" s="156">
        <v>10058</v>
      </c>
      <c r="N383" s="156">
        <v>931695</v>
      </c>
      <c r="O383" s="156">
        <v>444543</v>
      </c>
      <c r="P383" s="156">
        <v>169434</v>
      </c>
      <c r="Q383" s="156">
        <v>382773</v>
      </c>
      <c r="R383" s="156">
        <v>379488</v>
      </c>
      <c r="S383" s="156">
        <f t="shared" si="50"/>
        <v>762261</v>
      </c>
    </row>
    <row r="384" spans="1:19">
      <c r="A384" s="132" t="s">
        <v>83</v>
      </c>
      <c r="B384" s="132" t="s">
        <v>198</v>
      </c>
      <c r="C384" s="132" t="s">
        <v>173</v>
      </c>
      <c r="D384" s="132">
        <v>0</v>
      </c>
      <c r="E384" s="132">
        <v>5</v>
      </c>
      <c r="F384" s="132">
        <f t="shared" si="46"/>
        <v>-0.19696074888275789</v>
      </c>
      <c r="G384" s="132">
        <f t="shared" si="47"/>
        <v>12.68432032402554</v>
      </c>
      <c r="H384" s="132">
        <f t="shared" si="48"/>
        <v>0.81824211449593831</v>
      </c>
      <c r="I384" s="132" t="str">
        <f t="shared" si="51"/>
        <v/>
      </c>
      <c r="J384" s="132"/>
      <c r="K384" s="155">
        <v>-22345</v>
      </c>
      <c r="L384" s="132">
        <v>176</v>
      </c>
      <c r="M384" s="156">
        <v>1090</v>
      </c>
      <c r="N384" s="156">
        <v>322649</v>
      </c>
      <c r="O384" s="156">
        <v>113449</v>
      </c>
      <c r="P384" s="156">
        <v>58644</v>
      </c>
      <c r="Q384" s="156">
        <v>101049</v>
      </c>
      <c r="R384" s="156">
        <v>162956</v>
      </c>
      <c r="S384" s="156">
        <f t="shared" si="50"/>
        <v>264005</v>
      </c>
    </row>
    <row r="385" spans="1:19">
      <c r="A385" s="132" t="s">
        <v>101</v>
      </c>
      <c r="B385" s="132" t="s">
        <v>198</v>
      </c>
      <c r="C385" s="132" t="s">
        <v>173</v>
      </c>
      <c r="D385" s="132">
        <v>0</v>
      </c>
      <c r="E385" s="132">
        <v>3</v>
      </c>
      <c r="F385" s="132">
        <f t="shared" si="46"/>
        <v>-0.29518452228756498</v>
      </c>
      <c r="G385" s="132">
        <f t="shared" si="47"/>
        <v>12.780382797678467</v>
      </c>
      <c r="H385" s="132">
        <f t="shared" si="48"/>
        <v>0.80621148090691785</v>
      </c>
      <c r="I385" s="132" t="str">
        <f t="shared" si="51"/>
        <v/>
      </c>
      <c r="J385" s="132"/>
      <c r="K385" s="155">
        <v>-51951</v>
      </c>
      <c r="L385" s="132">
        <v>113</v>
      </c>
      <c r="M385" s="156">
        <v>356</v>
      </c>
      <c r="N385" s="156">
        <v>355181</v>
      </c>
      <c r="O385" s="156">
        <v>175995</v>
      </c>
      <c r="P385" s="156">
        <v>68831</v>
      </c>
      <c r="Q385" s="156">
        <v>125968</v>
      </c>
      <c r="R385" s="156">
        <v>160383</v>
      </c>
      <c r="S385" s="156">
        <f t="shared" si="50"/>
        <v>286351</v>
      </c>
    </row>
    <row r="386" spans="1:19">
      <c r="A386" s="132" t="s">
        <v>121</v>
      </c>
      <c r="B386" s="132" t="s">
        <v>198</v>
      </c>
      <c r="C386" s="132" t="s">
        <v>173</v>
      </c>
      <c r="D386" s="132">
        <v>1</v>
      </c>
      <c r="E386" s="132">
        <v>6</v>
      </c>
      <c r="F386" s="132">
        <f t="shared" si="46"/>
        <v>-1.0651657559198542</v>
      </c>
      <c r="G386" s="132">
        <f t="shared" si="47"/>
        <v>12.80278050905021</v>
      </c>
      <c r="H386" s="132">
        <f t="shared" si="48"/>
        <v>1.9370667298045845</v>
      </c>
      <c r="I386" s="132" t="str">
        <f t="shared" si="51"/>
        <v/>
      </c>
      <c r="J386" s="132"/>
      <c r="K386" s="155">
        <v>-219291</v>
      </c>
      <c r="L386" s="132">
        <v>455</v>
      </c>
      <c r="M386" s="156">
        <v>20531</v>
      </c>
      <c r="N386" s="156">
        <v>363226</v>
      </c>
      <c r="O386" s="156">
        <v>205875</v>
      </c>
      <c r="P386" s="156">
        <v>-340367</v>
      </c>
      <c r="Q386" s="156">
        <v>460299</v>
      </c>
      <c r="R386" s="156">
        <v>243294</v>
      </c>
      <c r="S386" s="156">
        <f t="shared" si="50"/>
        <v>703593</v>
      </c>
    </row>
    <row r="387" spans="1:19">
      <c r="A387" s="132" t="s">
        <v>122</v>
      </c>
      <c r="B387" s="132" t="s">
        <v>198</v>
      </c>
      <c r="C387" s="132" t="s">
        <v>173</v>
      </c>
      <c r="D387" s="132">
        <v>0</v>
      </c>
      <c r="E387" s="132">
        <v>17</v>
      </c>
      <c r="F387" s="132">
        <f t="shared" ref="F387:F408" si="52">K387/O387</f>
        <v>-0.29479533748983466</v>
      </c>
      <c r="G387" s="132">
        <f t="shared" ref="G387:G408" si="53">LN(N387)</f>
        <v>11.739782114196322</v>
      </c>
      <c r="H387" s="132">
        <f t="shared" ref="H387:H408" si="54">S387/N387</f>
        <v>1.2199099350416451</v>
      </c>
      <c r="I387" s="132">
        <v>-6.5321235399999997E-2</v>
      </c>
      <c r="J387" s="132"/>
      <c r="K387" s="155">
        <v>-4350</v>
      </c>
      <c r="L387" s="132">
        <v>103</v>
      </c>
      <c r="M387" s="156">
        <v>587</v>
      </c>
      <c r="N387" s="156">
        <v>125465</v>
      </c>
      <c r="O387" s="156">
        <v>14756</v>
      </c>
      <c r="P387" s="156">
        <f>N387-S387</f>
        <v>-27591</v>
      </c>
      <c r="Q387" s="156">
        <v>90680</v>
      </c>
      <c r="R387" s="156">
        <v>62376</v>
      </c>
      <c r="S387" s="156">
        <f t="shared" si="50"/>
        <v>153056</v>
      </c>
    </row>
    <row r="388" spans="1:19">
      <c r="A388" s="132" t="s">
        <v>123</v>
      </c>
      <c r="B388" s="132" t="s">
        <v>198</v>
      </c>
      <c r="C388" s="132" t="s">
        <v>173</v>
      </c>
      <c r="D388" s="132">
        <v>0</v>
      </c>
      <c r="E388" s="132">
        <v>15</v>
      </c>
      <c r="F388" s="132">
        <f t="shared" si="52"/>
        <v>-0.47243649079502209</v>
      </c>
      <c r="G388" s="132">
        <f t="shared" si="53"/>
        <v>12.487703948944798</v>
      </c>
      <c r="H388" s="132">
        <f t="shared" si="54"/>
        <v>0.9518746840314195</v>
      </c>
      <c r="I388" s="132" t="str">
        <f t="shared" ref="I388:I393" si="55">IF(A388=A389, (O388-O389)/O389, "")</f>
        <v/>
      </c>
      <c r="J388" s="132"/>
      <c r="K388" s="155">
        <v>-36748</v>
      </c>
      <c r="L388" s="132">
        <v>197</v>
      </c>
      <c r="M388" s="156">
        <v>56552</v>
      </c>
      <c r="N388" s="156">
        <v>265058</v>
      </c>
      <c r="O388" s="156">
        <v>77784</v>
      </c>
      <c r="P388" s="156">
        <v>12756</v>
      </c>
      <c r="Q388" s="156">
        <v>91614</v>
      </c>
      <c r="R388" s="156">
        <v>160688</v>
      </c>
      <c r="S388" s="156">
        <f t="shared" ref="S388:S408" si="56">Q388+R388</f>
        <v>252302</v>
      </c>
    </row>
    <row r="389" spans="1:19">
      <c r="A389" s="132" t="s">
        <v>124</v>
      </c>
      <c r="B389" s="132" t="s">
        <v>198</v>
      </c>
      <c r="C389" s="132" t="s">
        <v>173</v>
      </c>
      <c r="D389" s="132">
        <v>0</v>
      </c>
      <c r="E389" s="132">
        <v>11</v>
      </c>
      <c r="F389" s="132">
        <f t="shared" si="52"/>
        <v>9.9576941894264255E-3</v>
      </c>
      <c r="G389" s="132">
        <f t="shared" si="53"/>
        <v>12.388069149500183</v>
      </c>
      <c r="H389" s="132">
        <f t="shared" si="54"/>
        <v>0.88448745842398779</v>
      </c>
      <c r="I389" s="132" t="str">
        <f t="shared" si="55"/>
        <v/>
      </c>
      <c r="J389" s="132"/>
      <c r="K389" s="155">
        <v>1384</v>
      </c>
      <c r="L389" s="132">
        <v>228</v>
      </c>
      <c r="M389" s="156">
        <v>23893</v>
      </c>
      <c r="N389" s="156">
        <v>239922</v>
      </c>
      <c r="O389" s="156">
        <v>138988</v>
      </c>
      <c r="P389" s="156">
        <v>27714</v>
      </c>
      <c r="Q389" s="156">
        <v>81654</v>
      </c>
      <c r="R389" s="156">
        <v>130554</v>
      </c>
      <c r="S389" s="156">
        <f t="shared" si="56"/>
        <v>212208</v>
      </c>
    </row>
    <row r="390" spans="1:19">
      <c r="A390" s="132" t="s">
        <v>131</v>
      </c>
      <c r="B390" s="132" t="s">
        <v>198</v>
      </c>
      <c r="C390" s="132" t="s">
        <v>173</v>
      </c>
      <c r="D390" s="132">
        <v>0</v>
      </c>
      <c r="E390" s="132">
        <v>16</v>
      </c>
      <c r="F390" s="132">
        <f t="shared" si="52"/>
        <v>-0.39018264337174208</v>
      </c>
      <c r="G390" s="132">
        <f t="shared" si="53"/>
        <v>12.090038704315873</v>
      </c>
      <c r="H390" s="132">
        <f t="shared" si="54"/>
        <v>0.76115874646946191</v>
      </c>
      <c r="I390" s="132" t="str">
        <f t="shared" si="55"/>
        <v/>
      </c>
      <c r="J390" s="132"/>
      <c r="K390" s="155">
        <v>-17710</v>
      </c>
      <c r="L390" s="132">
        <v>134</v>
      </c>
      <c r="M390" s="156">
        <v>10344</v>
      </c>
      <c r="N390" s="156">
        <v>178089</v>
      </c>
      <c r="O390" s="156">
        <v>45389</v>
      </c>
      <c r="P390" s="156">
        <f>N390-S390</f>
        <v>42535</v>
      </c>
      <c r="Q390" s="156">
        <v>97889</v>
      </c>
      <c r="R390" s="156">
        <v>37665</v>
      </c>
      <c r="S390" s="156">
        <f t="shared" si="56"/>
        <v>135554</v>
      </c>
    </row>
    <row r="391" spans="1:19">
      <c r="A391" s="132" t="s">
        <v>139</v>
      </c>
      <c r="B391" s="132" t="s">
        <v>198</v>
      </c>
      <c r="C391" s="132" t="s">
        <v>173</v>
      </c>
      <c r="D391" s="132">
        <v>0</v>
      </c>
      <c r="E391" s="132">
        <v>10</v>
      </c>
      <c r="F391" s="132">
        <f t="shared" si="52"/>
        <v>-6.0612244897959182E-2</v>
      </c>
      <c r="G391" s="132">
        <f t="shared" si="53"/>
        <v>12.133319140287243</v>
      </c>
      <c r="H391" s="132">
        <f t="shared" si="54"/>
        <v>0.92329242979899551</v>
      </c>
      <c r="I391" s="132" t="str">
        <f t="shared" si="55"/>
        <v/>
      </c>
      <c r="J391" s="132"/>
      <c r="K391" s="155">
        <v>-6831</v>
      </c>
      <c r="L391" s="132">
        <v>172</v>
      </c>
      <c r="M391" s="156">
        <v>5000</v>
      </c>
      <c r="N391" s="156">
        <v>185966</v>
      </c>
      <c r="O391" s="156">
        <v>112700</v>
      </c>
      <c r="P391" s="156">
        <v>14265</v>
      </c>
      <c r="Q391" s="156">
        <v>95244</v>
      </c>
      <c r="R391" s="156">
        <v>76457</v>
      </c>
      <c r="S391" s="156">
        <f t="shared" si="56"/>
        <v>171701</v>
      </c>
    </row>
    <row r="392" spans="1:19">
      <c r="A392" s="132" t="s">
        <v>144</v>
      </c>
      <c r="B392" s="132" t="s">
        <v>198</v>
      </c>
      <c r="C392" s="132" t="s">
        <v>173</v>
      </c>
      <c r="D392" s="132">
        <v>0</v>
      </c>
      <c r="E392" s="132">
        <v>12</v>
      </c>
      <c r="F392" s="132">
        <f t="shared" si="52"/>
        <v>-0.88438780737704914</v>
      </c>
      <c r="G392" s="132">
        <f t="shared" si="53"/>
        <v>12.697522770767504</v>
      </c>
      <c r="H392" s="132">
        <f t="shared" si="54"/>
        <v>0.61084551457926139</v>
      </c>
      <c r="I392" s="132" t="str">
        <f t="shared" si="55"/>
        <v/>
      </c>
      <c r="J392" s="132"/>
      <c r="K392" s="155">
        <v>-69053</v>
      </c>
      <c r="L392" s="132">
        <v>179</v>
      </c>
      <c r="M392" s="156">
        <v>15942</v>
      </c>
      <c r="N392" s="156">
        <v>326937</v>
      </c>
      <c r="O392" s="156">
        <v>78080</v>
      </c>
      <c r="P392" s="156">
        <v>127228</v>
      </c>
      <c r="Q392" s="156">
        <v>100533</v>
      </c>
      <c r="R392" s="156">
        <v>99175</v>
      </c>
      <c r="S392" s="156">
        <f t="shared" si="56"/>
        <v>199708</v>
      </c>
    </row>
    <row r="393" spans="1:19" ht="22" customHeight="1">
      <c r="A393" s="132" t="s">
        <v>155</v>
      </c>
      <c r="B393" s="132" t="s">
        <v>198</v>
      </c>
      <c r="C393" s="132" t="s">
        <v>173</v>
      </c>
      <c r="D393" s="132">
        <v>0</v>
      </c>
      <c r="E393" s="132">
        <v>9</v>
      </c>
      <c r="F393" s="132">
        <f t="shared" si="52"/>
        <v>-5.9858072146658781E-2</v>
      </c>
      <c r="G393" s="132">
        <f t="shared" si="53"/>
        <v>12.455550388136121</v>
      </c>
      <c r="H393" s="132">
        <f t="shared" si="54"/>
        <v>1.6450514471833593</v>
      </c>
      <c r="I393" s="132" t="str">
        <f t="shared" si="55"/>
        <v/>
      </c>
      <c r="J393" s="132"/>
      <c r="K393" s="155">
        <v>-5061</v>
      </c>
      <c r="L393" s="132">
        <v>218</v>
      </c>
      <c r="M393" s="157">
        <v>576</v>
      </c>
      <c r="N393" s="156">
        <v>256671</v>
      </c>
      <c r="O393" s="156">
        <v>84550</v>
      </c>
      <c r="P393" s="156">
        <f t="shared" ref="P393:P408" si="57">N393-S393</f>
        <v>-165566</v>
      </c>
      <c r="Q393" s="156">
        <v>256770</v>
      </c>
      <c r="R393" s="156">
        <v>165467</v>
      </c>
      <c r="S393" s="156">
        <f t="shared" si="56"/>
        <v>422237</v>
      </c>
    </row>
    <row r="394" spans="1:19">
      <c r="A394" s="133" t="s">
        <v>5</v>
      </c>
      <c r="B394" s="133" t="s">
        <v>199</v>
      </c>
      <c r="C394" s="133" t="s">
        <v>173</v>
      </c>
      <c r="D394" s="133">
        <v>1</v>
      </c>
      <c r="E394" s="133">
        <v>9</v>
      </c>
      <c r="F394" s="133">
        <f t="shared" si="52"/>
        <v>-0.89170511767060656</v>
      </c>
      <c r="G394" s="133">
        <f t="shared" si="53"/>
        <v>11.586594054895428</v>
      </c>
      <c r="H394" s="133">
        <f t="shared" si="54"/>
        <v>1.5476241348878257</v>
      </c>
      <c r="I394" s="133">
        <v>0.13251554209999999</v>
      </c>
      <c r="J394" s="133"/>
      <c r="K394" s="158">
        <v>-42323</v>
      </c>
      <c r="L394" s="133">
        <v>134</v>
      </c>
      <c r="M394" s="159">
        <v>56223</v>
      </c>
      <c r="N394" s="159">
        <v>107645</v>
      </c>
      <c r="O394" s="159">
        <v>47463</v>
      </c>
      <c r="P394" s="159">
        <f t="shared" si="57"/>
        <v>-58949</v>
      </c>
      <c r="Q394" s="159">
        <v>128952</v>
      </c>
      <c r="R394" s="159">
        <v>37642</v>
      </c>
      <c r="S394" s="159">
        <f t="shared" si="56"/>
        <v>166594</v>
      </c>
    </row>
    <row r="395" spans="1:19">
      <c r="A395" s="133" t="s">
        <v>13</v>
      </c>
      <c r="B395" s="133" t="s">
        <v>199</v>
      </c>
      <c r="C395" s="133" t="s">
        <v>173</v>
      </c>
      <c r="D395" s="133">
        <v>0</v>
      </c>
      <c r="E395" s="133">
        <v>5</v>
      </c>
      <c r="F395" s="133">
        <f t="shared" si="52"/>
        <v>-0.89170511767060656</v>
      </c>
      <c r="G395" s="133">
        <f t="shared" si="53"/>
        <v>11.586594054895428</v>
      </c>
      <c r="H395" s="133">
        <f t="shared" si="54"/>
        <v>1.5476241348878257</v>
      </c>
      <c r="I395" s="133" t="str">
        <f>IF(A395=A396, (O395-O396)/O396, "")</f>
        <v/>
      </c>
      <c r="J395" s="133"/>
      <c r="K395" s="158">
        <v>-42323</v>
      </c>
      <c r="L395" s="133">
        <v>134</v>
      </c>
      <c r="M395" s="159">
        <v>56223</v>
      </c>
      <c r="N395" s="159">
        <v>107645</v>
      </c>
      <c r="O395" s="159">
        <v>47463</v>
      </c>
      <c r="P395" s="159">
        <f t="shared" si="57"/>
        <v>-58949</v>
      </c>
      <c r="Q395" s="159">
        <v>128952</v>
      </c>
      <c r="R395" s="159">
        <v>37642</v>
      </c>
      <c r="S395" s="159">
        <f t="shared" si="56"/>
        <v>166594</v>
      </c>
    </row>
    <row r="396" spans="1:19">
      <c r="A396" s="133" t="s">
        <v>157</v>
      </c>
      <c r="B396" s="133" t="s">
        <v>199</v>
      </c>
      <c r="C396" s="133" t="s">
        <v>173</v>
      </c>
      <c r="D396" s="133">
        <v>0</v>
      </c>
      <c r="E396" s="133">
        <v>18</v>
      </c>
      <c r="F396" s="133">
        <f t="shared" si="52"/>
        <v>-0.89170511767060656</v>
      </c>
      <c r="G396" s="133">
        <f t="shared" si="53"/>
        <v>11.586594054895428</v>
      </c>
      <c r="H396" s="133">
        <f t="shared" si="54"/>
        <v>1.5476241348878257</v>
      </c>
      <c r="I396" s="133">
        <v>-0.54262465199999999</v>
      </c>
      <c r="J396" s="133"/>
      <c r="K396" s="158">
        <v>-42323</v>
      </c>
      <c r="L396" s="133">
        <v>134</v>
      </c>
      <c r="M396" s="159">
        <v>56223</v>
      </c>
      <c r="N396" s="159">
        <v>107645</v>
      </c>
      <c r="O396" s="159">
        <v>47463</v>
      </c>
      <c r="P396" s="159">
        <f t="shared" si="57"/>
        <v>-58949</v>
      </c>
      <c r="Q396" s="159">
        <v>128952</v>
      </c>
      <c r="R396" s="159">
        <v>37642</v>
      </c>
      <c r="S396" s="159">
        <f t="shared" si="56"/>
        <v>166594</v>
      </c>
    </row>
    <row r="397" spans="1:19">
      <c r="A397" s="133" t="s">
        <v>20</v>
      </c>
      <c r="B397" s="133" t="s">
        <v>199</v>
      </c>
      <c r="C397" s="133" t="s">
        <v>173</v>
      </c>
      <c r="D397" s="133">
        <v>0</v>
      </c>
      <c r="E397" s="133">
        <v>7</v>
      </c>
      <c r="F397" s="133">
        <f t="shared" si="52"/>
        <v>-0.89170511767060656</v>
      </c>
      <c r="G397" s="133">
        <f t="shared" si="53"/>
        <v>11.586594054895428</v>
      </c>
      <c r="H397" s="133">
        <f t="shared" si="54"/>
        <v>1.5476241348878257</v>
      </c>
      <c r="I397" s="133" t="str">
        <f>IF(A397=A398, (O397-O398)/O398, "")</f>
        <v/>
      </c>
      <c r="J397" s="133"/>
      <c r="K397" s="158">
        <v>-42323</v>
      </c>
      <c r="L397" s="133">
        <v>134</v>
      </c>
      <c r="M397" s="159">
        <v>56223</v>
      </c>
      <c r="N397" s="159">
        <v>107645</v>
      </c>
      <c r="O397" s="159">
        <v>47463</v>
      </c>
      <c r="P397" s="159">
        <f t="shared" si="57"/>
        <v>-58949</v>
      </c>
      <c r="Q397" s="159">
        <v>128952</v>
      </c>
      <c r="R397" s="159">
        <v>37642</v>
      </c>
      <c r="S397" s="159">
        <f t="shared" si="56"/>
        <v>166594</v>
      </c>
    </row>
    <row r="398" spans="1:19">
      <c r="A398" s="133" t="s">
        <v>31</v>
      </c>
      <c r="B398" s="133" t="s">
        <v>199</v>
      </c>
      <c r="C398" s="133" t="s">
        <v>173</v>
      </c>
      <c r="D398" s="133">
        <v>1</v>
      </c>
      <c r="E398" s="133">
        <v>6</v>
      </c>
      <c r="F398" s="133">
        <f t="shared" si="52"/>
        <v>-0.89170511767060656</v>
      </c>
      <c r="G398" s="133">
        <f t="shared" si="53"/>
        <v>11.586594054895428</v>
      </c>
      <c r="H398" s="133">
        <f t="shared" si="54"/>
        <v>1.5476241348878257</v>
      </c>
      <c r="I398" s="133" t="str">
        <f>IF(A398=A399, (O398-O399)/O399, "")</f>
        <v/>
      </c>
      <c r="J398" s="133"/>
      <c r="K398" s="158">
        <v>-42323</v>
      </c>
      <c r="L398" s="133">
        <v>134</v>
      </c>
      <c r="M398" s="159">
        <v>56223</v>
      </c>
      <c r="N398" s="159">
        <v>107645</v>
      </c>
      <c r="O398" s="159">
        <v>47463</v>
      </c>
      <c r="P398" s="159">
        <f t="shared" si="57"/>
        <v>-58949</v>
      </c>
      <c r="Q398" s="159">
        <v>128952</v>
      </c>
      <c r="R398" s="159">
        <v>37642</v>
      </c>
      <c r="S398" s="159">
        <f t="shared" si="56"/>
        <v>166594</v>
      </c>
    </row>
    <row r="399" spans="1:19">
      <c r="A399" s="133" t="s">
        <v>158</v>
      </c>
      <c r="B399" s="133" t="s">
        <v>199</v>
      </c>
      <c r="C399" s="133" t="s">
        <v>173</v>
      </c>
      <c r="D399" s="133">
        <v>0</v>
      </c>
      <c r="E399" s="133">
        <v>8</v>
      </c>
      <c r="F399" s="133">
        <f t="shared" si="52"/>
        <v>-0.89170511767060656</v>
      </c>
      <c r="G399" s="133">
        <f t="shared" si="53"/>
        <v>11.586594054895428</v>
      </c>
      <c r="H399" s="133">
        <f t="shared" si="54"/>
        <v>1.5476241348878257</v>
      </c>
      <c r="I399" s="133" t="str">
        <f>IF(A399=A400, (O399-O400)/O400, "")</f>
        <v/>
      </c>
      <c r="J399" s="133"/>
      <c r="K399" s="158">
        <v>-42323</v>
      </c>
      <c r="L399" s="133">
        <v>134</v>
      </c>
      <c r="M399" s="159">
        <v>56223</v>
      </c>
      <c r="N399" s="159">
        <v>107645</v>
      </c>
      <c r="O399" s="159">
        <v>47463</v>
      </c>
      <c r="P399" s="159">
        <f t="shared" si="57"/>
        <v>-58949</v>
      </c>
      <c r="Q399" s="159">
        <v>128952</v>
      </c>
      <c r="R399" s="159">
        <v>37642</v>
      </c>
      <c r="S399" s="159">
        <f t="shared" si="56"/>
        <v>166594</v>
      </c>
    </row>
    <row r="400" spans="1:19">
      <c r="A400" s="133" t="s">
        <v>58</v>
      </c>
      <c r="B400" s="133" t="s">
        <v>199</v>
      </c>
      <c r="C400" s="133" t="s">
        <v>173</v>
      </c>
      <c r="D400" s="133">
        <v>0</v>
      </c>
      <c r="E400" s="133">
        <v>2</v>
      </c>
      <c r="F400" s="133">
        <f t="shared" si="52"/>
        <v>-0.89170511767060656</v>
      </c>
      <c r="G400" s="133">
        <f t="shared" si="53"/>
        <v>11.586594054895428</v>
      </c>
      <c r="H400" s="133">
        <f t="shared" si="54"/>
        <v>1.5476241348878257</v>
      </c>
      <c r="I400" s="133" t="str">
        <f>IF(A400=A401, (O400-O401)/O401, "")</f>
        <v/>
      </c>
      <c r="J400" s="133"/>
      <c r="K400" s="158">
        <v>-42323</v>
      </c>
      <c r="L400" s="133">
        <v>134</v>
      </c>
      <c r="M400" s="159">
        <v>56223</v>
      </c>
      <c r="N400" s="159">
        <v>107645</v>
      </c>
      <c r="O400" s="159">
        <v>47463</v>
      </c>
      <c r="P400" s="159">
        <f t="shared" si="57"/>
        <v>-58949</v>
      </c>
      <c r="Q400" s="159">
        <v>128952</v>
      </c>
      <c r="R400" s="159">
        <v>37642</v>
      </c>
      <c r="S400" s="159">
        <f t="shared" si="56"/>
        <v>166594</v>
      </c>
    </row>
    <row r="401" spans="1:19">
      <c r="A401" s="133" t="s">
        <v>62</v>
      </c>
      <c r="B401" s="133" t="s">
        <v>199</v>
      </c>
      <c r="C401" s="133" t="s">
        <v>173</v>
      </c>
      <c r="D401" s="133">
        <v>0</v>
      </c>
      <c r="E401" s="133">
        <v>13</v>
      </c>
      <c r="F401" s="133">
        <f t="shared" si="52"/>
        <v>-0.89170511767060656</v>
      </c>
      <c r="G401" s="133">
        <f t="shared" si="53"/>
        <v>11.586594054895428</v>
      </c>
      <c r="H401" s="133">
        <f t="shared" si="54"/>
        <v>1.5476241348878257</v>
      </c>
      <c r="I401" s="133" t="str">
        <f>IF(A401=A402, (O401-O402)/O402, "")</f>
        <v/>
      </c>
      <c r="J401" s="133"/>
      <c r="K401" s="158">
        <v>-42323</v>
      </c>
      <c r="L401" s="133">
        <v>134</v>
      </c>
      <c r="M401" s="159">
        <v>56223</v>
      </c>
      <c r="N401" s="159">
        <v>107645</v>
      </c>
      <c r="O401" s="159">
        <v>47463</v>
      </c>
      <c r="P401" s="159">
        <f t="shared" si="57"/>
        <v>-58949</v>
      </c>
      <c r="Q401" s="159">
        <v>128952</v>
      </c>
      <c r="R401" s="159">
        <v>37642</v>
      </c>
      <c r="S401" s="159">
        <f t="shared" si="56"/>
        <v>166594</v>
      </c>
    </row>
    <row r="402" spans="1:19">
      <c r="A402" s="133" t="s">
        <v>153</v>
      </c>
      <c r="B402" s="133" t="s">
        <v>199</v>
      </c>
      <c r="C402" s="133" t="s">
        <v>173</v>
      </c>
      <c r="D402" s="133">
        <v>0</v>
      </c>
      <c r="E402" s="133">
        <v>16</v>
      </c>
      <c r="F402" s="133">
        <f t="shared" si="52"/>
        <v>-0.89170511767060656</v>
      </c>
      <c r="G402" s="133">
        <f t="shared" si="53"/>
        <v>11.586594054895428</v>
      </c>
      <c r="H402" s="133">
        <f t="shared" si="54"/>
        <v>1.5476241348878257</v>
      </c>
      <c r="I402" s="133">
        <v>2.5464327629999998E-2</v>
      </c>
      <c r="J402" s="133"/>
      <c r="K402" s="158">
        <v>-42323</v>
      </c>
      <c r="L402" s="133">
        <v>134</v>
      </c>
      <c r="M402" s="159">
        <v>56223</v>
      </c>
      <c r="N402" s="159">
        <v>107645</v>
      </c>
      <c r="O402" s="159">
        <v>47463</v>
      </c>
      <c r="P402" s="159">
        <f t="shared" si="57"/>
        <v>-58949</v>
      </c>
      <c r="Q402" s="159">
        <v>128952</v>
      </c>
      <c r="R402" s="159">
        <v>37642</v>
      </c>
      <c r="S402" s="159">
        <f t="shared" si="56"/>
        <v>166594</v>
      </c>
    </row>
    <row r="403" spans="1:19" ht="27" customHeight="1">
      <c r="A403" s="133" t="s">
        <v>71</v>
      </c>
      <c r="B403" s="133" t="s">
        <v>199</v>
      </c>
      <c r="C403" s="133" t="s">
        <v>173</v>
      </c>
      <c r="D403" s="133">
        <v>0</v>
      </c>
      <c r="E403" s="133">
        <v>12</v>
      </c>
      <c r="F403" s="133">
        <f t="shared" si="52"/>
        <v>-0.89170511767060656</v>
      </c>
      <c r="G403" s="133">
        <f t="shared" si="53"/>
        <v>11.586594054895428</v>
      </c>
      <c r="H403" s="133">
        <f t="shared" si="54"/>
        <v>1.5476241348878257</v>
      </c>
      <c r="I403" s="133" t="str">
        <f t="shared" ref="I403:I408" si="58">IF(A403=A404, (O403-O404)/O404, "")</f>
        <v/>
      </c>
      <c r="J403" s="133"/>
      <c r="K403" s="158">
        <v>-42323</v>
      </c>
      <c r="L403" s="133">
        <v>134</v>
      </c>
      <c r="M403" s="159">
        <v>56223</v>
      </c>
      <c r="N403" s="159">
        <v>107645</v>
      </c>
      <c r="O403" s="159">
        <v>47463</v>
      </c>
      <c r="P403" s="159">
        <f t="shared" si="57"/>
        <v>-58949</v>
      </c>
      <c r="Q403" s="159">
        <v>128952</v>
      </c>
      <c r="R403" s="159">
        <v>37642</v>
      </c>
      <c r="S403" s="159">
        <f t="shared" si="56"/>
        <v>166594</v>
      </c>
    </row>
    <row r="404" spans="1:19" ht="34" customHeight="1">
      <c r="A404" s="133" t="s">
        <v>76</v>
      </c>
      <c r="B404" s="133" t="s">
        <v>199</v>
      </c>
      <c r="C404" s="133" t="s">
        <v>173</v>
      </c>
      <c r="D404" s="133">
        <v>1</v>
      </c>
      <c r="E404" s="133">
        <v>4</v>
      </c>
      <c r="F404" s="133">
        <f t="shared" si="52"/>
        <v>-0.89170511767060656</v>
      </c>
      <c r="G404" s="133">
        <f t="shared" si="53"/>
        <v>11.586594054895428</v>
      </c>
      <c r="H404" s="133">
        <f t="shared" si="54"/>
        <v>1.5476241348878257</v>
      </c>
      <c r="I404" s="133" t="str">
        <f t="shared" si="58"/>
        <v/>
      </c>
      <c r="J404" s="133"/>
      <c r="K404" s="158">
        <v>-42323</v>
      </c>
      <c r="L404" s="133">
        <v>134</v>
      </c>
      <c r="M404" s="159">
        <v>56223</v>
      </c>
      <c r="N404" s="159">
        <v>107645</v>
      </c>
      <c r="O404" s="159">
        <v>47463</v>
      </c>
      <c r="P404" s="159">
        <f t="shared" si="57"/>
        <v>-58949</v>
      </c>
      <c r="Q404" s="159">
        <v>128952</v>
      </c>
      <c r="R404" s="159">
        <v>37642</v>
      </c>
      <c r="S404" s="159">
        <f t="shared" si="56"/>
        <v>166594</v>
      </c>
    </row>
    <row r="405" spans="1:19">
      <c r="A405" s="133" t="s">
        <v>79</v>
      </c>
      <c r="B405" s="133" t="s">
        <v>199</v>
      </c>
      <c r="C405" s="133" t="s">
        <v>173</v>
      </c>
      <c r="D405" s="133">
        <v>0</v>
      </c>
      <c r="E405" s="133">
        <v>11</v>
      </c>
      <c r="F405" s="133">
        <f t="shared" si="52"/>
        <v>-0.89170511767060656</v>
      </c>
      <c r="G405" s="133">
        <f t="shared" si="53"/>
        <v>11.586594054895428</v>
      </c>
      <c r="H405" s="133">
        <f t="shared" si="54"/>
        <v>1.5476241348878257</v>
      </c>
      <c r="I405" s="133" t="str">
        <f t="shared" si="58"/>
        <v/>
      </c>
      <c r="J405" s="133"/>
      <c r="K405" s="158">
        <v>-42323</v>
      </c>
      <c r="L405" s="133">
        <v>134</v>
      </c>
      <c r="M405" s="159">
        <v>56223</v>
      </c>
      <c r="N405" s="159">
        <v>107645</v>
      </c>
      <c r="O405" s="159">
        <v>47463</v>
      </c>
      <c r="P405" s="159">
        <f t="shared" si="57"/>
        <v>-58949</v>
      </c>
      <c r="Q405" s="159">
        <v>128952</v>
      </c>
      <c r="R405" s="159">
        <v>37642</v>
      </c>
      <c r="S405" s="159">
        <f t="shared" si="56"/>
        <v>166594</v>
      </c>
    </row>
    <row r="406" spans="1:19">
      <c r="A406" s="133" t="s">
        <v>80</v>
      </c>
      <c r="B406" s="133" t="s">
        <v>199</v>
      </c>
      <c r="C406" s="133" t="s">
        <v>173</v>
      </c>
      <c r="D406" s="133">
        <v>0</v>
      </c>
      <c r="E406" s="133">
        <v>14</v>
      </c>
      <c r="F406" s="133">
        <f t="shared" si="52"/>
        <v>-0.89170511767060656</v>
      </c>
      <c r="G406" s="133">
        <f t="shared" si="53"/>
        <v>11.586594054895428</v>
      </c>
      <c r="H406" s="133">
        <f t="shared" si="54"/>
        <v>1.5476241348878257</v>
      </c>
      <c r="I406" s="133" t="str">
        <f t="shared" si="58"/>
        <v/>
      </c>
      <c r="J406" s="133"/>
      <c r="K406" s="158">
        <v>-42323</v>
      </c>
      <c r="L406" s="133">
        <v>134</v>
      </c>
      <c r="M406" s="159">
        <v>56223</v>
      </c>
      <c r="N406" s="159">
        <v>107645</v>
      </c>
      <c r="O406" s="159">
        <v>47463</v>
      </c>
      <c r="P406" s="159">
        <f t="shared" si="57"/>
        <v>-58949</v>
      </c>
      <c r="Q406" s="159">
        <v>128952</v>
      </c>
      <c r="R406" s="159">
        <v>37642</v>
      </c>
      <c r="S406" s="159">
        <f t="shared" si="56"/>
        <v>166594</v>
      </c>
    </row>
    <row r="407" spans="1:19">
      <c r="A407" s="133" t="s">
        <v>81</v>
      </c>
      <c r="B407" s="133" t="s">
        <v>199</v>
      </c>
      <c r="C407" s="133" t="s">
        <v>173</v>
      </c>
      <c r="D407" s="133">
        <v>0</v>
      </c>
      <c r="E407" s="133">
        <v>3</v>
      </c>
      <c r="F407" s="133">
        <f t="shared" si="52"/>
        <v>-0.89170511767060656</v>
      </c>
      <c r="G407" s="133">
        <f t="shared" si="53"/>
        <v>11.586594054895428</v>
      </c>
      <c r="H407" s="133">
        <f t="shared" si="54"/>
        <v>1.5476241348878257</v>
      </c>
      <c r="I407" s="133" t="str">
        <f t="shared" si="58"/>
        <v/>
      </c>
      <c r="J407" s="133"/>
      <c r="K407" s="158">
        <v>-42323</v>
      </c>
      <c r="L407" s="133">
        <v>134</v>
      </c>
      <c r="M407" s="159">
        <v>56223</v>
      </c>
      <c r="N407" s="159">
        <v>107645</v>
      </c>
      <c r="O407" s="159">
        <v>47463</v>
      </c>
      <c r="P407" s="159">
        <f t="shared" si="57"/>
        <v>-58949</v>
      </c>
      <c r="Q407" s="159">
        <v>128952</v>
      </c>
      <c r="R407" s="159">
        <v>37642</v>
      </c>
      <c r="S407" s="159">
        <f t="shared" si="56"/>
        <v>166594</v>
      </c>
    </row>
    <row r="408" spans="1:19">
      <c r="A408" s="133" t="s">
        <v>142</v>
      </c>
      <c r="B408" s="133" t="s">
        <v>199</v>
      </c>
      <c r="C408" s="133" t="s">
        <v>173</v>
      </c>
      <c r="D408" s="133">
        <v>1</v>
      </c>
      <c r="E408" s="133">
        <v>1</v>
      </c>
      <c r="F408" s="133">
        <f t="shared" si="52"/>
        <v>-0.89170511767060656</v>
      </c>
      <c r="G408" s="133">
        <f t="shared" si="53"/>
        <v>11.586594054895428</v>
      </c>
      <c r="H408" s="133">
        <f t="shared" si="54"/>
        <v>1.5476241348878257</v>
      </c>
      <c r="I408" s="133" t="str">
        <f t="shared" si="58"/>
        <v/>
      </c>
      <c r="J408" s="133"/>
      <c r="K408" s="158">
        <v>-42323</v>
      </c>
      <c r="L408" s="133">
        <v>134</v>
      </c>
      <c r="M408" s="159">
        <v>56223</v>
      </c>
      <c r="N408" s="159">
        <v>107645</v>
      </c>
      <c r="O408" s="159">
        <v>47463</v>
      </c>
      <c r="P408" s="159">
        <f t="shared" si="57"/>
        <v>-58949</v>
      </c>
      <c r="Q408" s="159">
        <v>128952</v>
      </c>
      <c r="R408" s="159">
        <v>37642</v>
      </c>
      <c r="S408" s="159">
        <f t="shared" si="56"/>
        <v>166594</v>
      </c>
    </row>
    <row r="470" spans="27:27">
      <c r="AA470" s="147"/>
    </row>
  </sheetData>
  <autoFilter ref="A2:S2" xr:uid="{B1F60B53-6BD1-7745-AA07-B1B92BB98BA6}">
    <sortState xmlns:xlrd2="http://schemas.microsoft.com/office/spreadsheetml/2017/richdata2" ref="A3:S408">
      <sortCondition ref="C2:C408"/>
    </sortState>
  </autoFilter>
  <sortState xmlns:xlrd2="http://schemas.microsoft.com/office/spreadsheetml/2017/richdata2" ref="K443:S451">
    <sortCondition ref="K443:K451"/>
  </sortState>
  <dataConsolidate/>
  <phoneticPr fontId="2" type="noConversion"/>
  <dataValidations count="2">
    <dataValidation allowBlank="1" showInputMessage="1" showErrorMessage="1" promptTitle="NOO" sqref="A2:E7 K2:S7 F2:J408" xr:uid="{A7BE83E8-D8A1-7B48-AF30-08D2D18F4906}"/>
    <dataValidation allowBlank="1" showInputMessage="1" showErrorMessage="1" errorTitle="jjmb" error="mn" promptTitle="bbj" sqref="K30:Q41 A28:E41 K28:Q28" xr:uid="{39CA62D8-7869-2A4F-8301-CEF2F0C90C51}"/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ABFB-B962-544F-8D51-7668525D2DCD}">
  <dimension ref="A1:N155"/>
  <sheetViews>
    <sheetView workbookViewId="0">
      <selection activeCell="N9" sqref="N9"/>
    </sheetView>
  </sheetViews>
  <sheetFormatPr baseColWidth="10" defaultColWidth="11" defaultRowHeight="16"/>
  <cols>
    <col min="1" max="1" width="23.5" bestFit="1" customWidth="1"/>
    <col min="2" max="3" width="14.5" bestFit="1" customWidth="1"/>
    <col min="4" max="4" width="6.1640625" bestFit="1" customWidth="1"/>
    <col min="5" max="7" width="5.83203125" bestFit="1" customWidth="1"/>
    <col min="8" max="8" width="10.5" bestFit="1" customWidth="1"/>
    <col min="9" max="10" width="20.33203125" bestFit="1" customWidth="1"/>
    <col min="11" max="11" width="23.1640625" bestFit="1" customWidth="1"/>
    <col min="12" max="12" width="12.83203125" bestFit="1" customWidth="1"/>
    <col min="13" max="13" width="15.5" bestFit="1" customWidth="1"/>
    <col min="14" max="19" width="12" bestFit="1" customWidth="1"/>
    <col min="20" max="20" width="14.6640625" bestFit="1" customWidth="1"/>
    <col min="21" max="21" width="8.33203125" bestFit="1" customWidth="1"/>
    <col min="22" max="22" width="11" bestFit="1" customWidth="1"/>
    <col min="23" max="25" width="8.33203125" bestFit="1" customWidth="1"/>
    <col min="26" max="26" width="11.1640625" bestFit="1" customWidth="1"/>
    <col min="27" max="27" width="9.1640625" bestFit="1" customWidth="1"/>
    <col min="28" max="30" width="11.83203125" bestFit="1" customWidth="1"/>
    <col min="31" max="31" width="14.5" bestFit="1" customWidth="1"/>
    <col min="32" max="36" width="12.6640625" bestFit="1" customWidth="1"/>
    <col min="37" max="37" width="15.33203125" bestFit="1" customWidth="1"/>
    <col min="38" max="38" width="12.6640625" bestFit="1" customWidth="1"/>
    <col min="39" max="39" width="15.5" bestFit="1" customWidth="1"/>
    <col min="40" max="45" width="12.6640625" bestFit="1" customWidth="1"/>
    <col min="46" max="46" width="15.33203125" bestFit="1" customWidth="1"/>
    <col min="47" max="52" width="9.1640625" bestFit="1" customWidth="1"/>
    <col min="53" max="58" width="11.83203125" bestFit="1" customWidth="1"/>
    <col min="59" max="59" width="14.5" bestFit="1" customWidth="1"/>
    <col min="60" max="62" width="10.1640625" bestFit="1" customWidth="1"/>
    <col min="63" max="63" width="12.83203125" bestFit="1" customWidth="1"/>
    <col min="64" max="68" width="16.5" bestFit="1" customWidth="1"/>
    <col min="69" max="69" width="19.5" bestFit="1" customWidth="1"/>
    <col min="70" max="71" width="11.6640625" bestFit="1" customWidth="1"/>
    <col min="72" max="72" width="14.33203125" bestFit="1" customWidth="1"/>
    <col min="73" max="73" width="11.33203125" bestFit="1" customWidth="1"/>
    <col min="74" max="74" width="14" bestFit="1" customWidth="1"/>
    <col min="75" max="80" width="9.83203125" bestFit="1" customWidth="1"/>
    <col min="81" max="81" width="12.5" bestFit="1" customWidth="1"/>
    <col min="82" max="87" width="14.83203125" bestFit="1" customWidth="1"/>
    <col min="88" max="88" width="17.6640625" bestFit="1" customWidth="1"/>
    <col min="89" max="90" width="15.33203125" bestFit="1" customWidth="1"/>
    <col min="91" max="91" width="18.1640625" bestFit="1" customWidth="1"/>
    <col min="92" max="95" width="15.5" bestFit="1" customWidth="1"/>
    <col min="96" max="96" width="18.33203125" bestFit="1" customWidth="1"/>
    <col min="97" max="101" width="11.1640625" bestFit="1" customWidth="1"/>
    <col min="102" max="102" width="13.83203125" bestFit="1" customWidth="1"/>
    <col min="103" max="103" width="16" bestFit="1" customWidth="1"/>
    <col min="104" max="104" width="18.83203125" bestFit="1" customWidth="1"/>
    <col min="105" max="106" width="11.5" bestFit="1" customWidth="1"/>
    <col min="107" max="107" width="14.1640625" bestFit="1" customWidth="1"/>
    <col min="108" max="108" width="10.1640625" bestFit="1" customWidth="1"/>
    <col min="109" max="109" width="12.83203125" bestFit="1" customWidth="1"/>
    <col min="110" max="114" width="9.83203125" bestFit="1" customWidth="1"/>
    <col min="115" max="115" width="12.6640625" bestFit="1" customWidth="1"/>
    <col min="116" max="121" width="9.5" bestFit="1" customWidth="1"/>
    <col min="122" max="122" width="12.1640625" bestFit="1" customWidth="1"/>
    <col min="123" max="123" width="10.5" bestFit="1" customWidth="1"/>
    <col min="124" max="124" width="13.1640625" bestFit="1" customWidth="1"/>
    <col min="125" max="128" width="14" bestFit="1" customWidth="1"/>
    <col min="129" max="129" width="16.83203125" bestFit="1" customWidth="1"/>
    <col min="130" max="130" width="13.33203125" bestFit="1" customWidth="1"/>
    <col min="131" max="131" width="16" bestFit="1" customWidth="1"/>
    <col min="132" max="132" width="9.1640625" bestFit="1" customWidth="1"/>
    <col min="133" max="133" width="11.83203125" bestFit="1" customWidth="1"/>
    <col min="134" max="134" width="7.33203125" bestFit="1" customWidth="1"/>
    <col min="135" max="135" width="10" bestFit="1" customWidth="1"/>
    <col min="136" max="140" width="21.5" bestFit="1" customWidth="1"/>
    <col min="141" max="141" width="24.33203125" bestFit="1" customWidth="1"/>
    <col min="142" max="147" width="9" bestFit="1" customWidth="1"/>
    <col min="148" max="148" width="11.6640625" bestFit="1" customWidth="1"/>
    <col min="149" max="151" width="11.33203125" bestFit="1" customWidth="1"/>
    <col min="152" max="152" width="14" bestFit="1" customWidth="1"/>
    <col min="153" max="154" width="7.5" bestFit="1" customWidth="1"/>
    <col min="155" max="155" width="10.33203125" bestFit="1" customWidth="1"/>
    <col min="156" max="156" width="7.1640625" bestFit="1" customWidth="1"/>
    <col min="157" max="157" width="9.83203125" bestFit="1" customWidth="1"/>
    <col min="158" max="163" width="9.33203125" bestFit="1" customWidth="1"/>
    <col min="164" max="164" width="12" bestFit="1" customWidth="1"/>
    <col min="165" max="165" width="12.33203125" bestFit="1" customWidth="1"/>
    <col min="166" max="166" width="15" bestFit="1" customWidth="1"/>
    <col min="167" max="167" width="16.1640625" bestFit="1" customWidth="1"/>
    <col min="168" max="168" width="19" bestFit="1" customWidth="1"/>
    <col min="169" max="171" width="16.1640625" bestFit="1" customWidth="1"/>
    <col min="172" max="172" width="19.1640625" bestFit="1" customWidth="1"/>
    <col min="173" max="178" width="11.33203125" bestFit="1" customWidth="1"/>
    <col min="179" max="179" width="14" bestFit="1" customWidth="1"/>
    <col min="180" max="184" width="9.6640625" bestFit="1" customWidth="1"/>
    <col min="185" max="186" width="12.33203125" bestFit="1" customWidth="1"/>
    <col min="187" max="187" width="15" bestFit="1" customWidth="1"/>
    <col min="188" max="190" width="14.6640625" bestFit="1" customWidth="1"/>
    <col min="191" max="191" width="17.5" bestFit="1" customWidth="1"/>
    <col min="192" max="192" width="14.6640625" bestFit="1" customWidth="1"/>
    <col min="193" max="193" width="17.5" bestFit="1" customWidth="1"/>
    <col min="194" max="196" width="9.5" bestFit="1" customWidth="1"/>
    <col min="197" max="197" width="12.1640625" bestFit="1" customWidth="1"/>
    <col min="198" max="203" width="14.83203125" bestFit="1" customWidth="1"/>
    <col min="204" max="204" width="17.6640625" bestFit="1" customWidth="1"/>
    <col min="205" max="206" width="12.1640625" bestFit="1" customWidth="1"/>
    <col min="207" max="207" width="14.83203125" bestFit="1" customWidth="1"/>
    <col min="208" max="209" width="16.83203125" bestFit="1" customWidth="1"/>
    <col min="210" max="211" width="19.6640625" bestFit="1" customWidth="1"/>
    <col min="212" max="212" width="22.5" bestFit="1" customWidth="1"/>
    <col min="213" max="213" width="19.83203125" bestFit="1" customWidth="1"/>
    <col min="214" max="214" width="22.83203125" bestFit="1" customWidth="1"/>
    <col min="215" max="215" width="7.1640625" bestFit="1" customWidth="1"/>
    <col min="216" max="216" width="9.83203125" bestFit="1" customWidth="1"/>
    <col min="217" max="220" width="11.1640625" bestFit="1" customWidth="1"/>
    <col min="221" max="222" width="13.83203125" bestFit="1" customWidth="1"/>
    <col min="223" max="223" width="16.6640625" bestFit="1" customWidth="1"/>
    <col min="224" max="228" width="7" bestFit="1" customWidth="1"/>
    <col min="229" max="229" width="9.6640625" bestFit="1" customWidth="1"/>
    <col min="230" max="231" width="7.33203125" bestFit="1" customWidth="1"/>
    <col min="232" max="232" width="10" bestFit="1" customWidth="1"/>
    <col min="233" max="235" width="8.5" bestFit="1" customWidth="1"/>
    <col min="236" max="236" width="11.1640625" bestFit="1" customWidth="1"/>
    <col min="237" max="237" width="12.33203125" bestFit="1" customWidth="1"/>
    <col min="238" max="238" width="15" bestFit="1" customWidth="1"/>
    <col min="239" max="243" width="10.1640625" bestFit="1" customWidth="1"/>
    <col min="244" max="244" width="12.83203125" bestFit="1" customWidth="1"/>
    <col min="245" max="249" width="9" bestFit="1" customWidth="1"/>
    <col min="250" max="251" width="11.6640625" bestFit="1" customWidth="1"/>
    <col min="252" max="252" width="14.33203125" bestFit="1" customWidth="1"/>
    <col min="253" max="253" width="17.33203125" bestFit="1" customWidth="1"/>
    <col min="254" max="254" width="20.33203125" bestFit="1" customWidth="1"/>
    <col min="255" max="255" width="13.83203125" bestFit="1" customWidth="1"/>
    <col min="256" max="256" width="16.6640625" bestFit="1" customWidth="1"/>
    <col min="257" max="257" width="11.33203125" bestFit="1" customWidth="1"/>
    <col min="258" max="258" width="14" bestFit="1" customWidth="1"/>
    <col min="259" max="261" width="9.5" bestFit="1" customWidth="1"/>
    <col min="262" max="262" width="12.1640625" bestFit="1" customWidth="1"/>
    <col min="263" max="265" width="11.5" bestFit="1" customWidth="1"/>
    <col min="266" max="266" width="14.1640625" bestFit="1" customWidth="1"/>
    <col min="267" max="267" width="12.5" bestFit="1" customWidth="1"/>
    <col min="268" max="268" width="15.1640625" bestFit="1" customWidth="1"/>
    <col min="269" max="273" width="12.6640625" bestFit="1" customWidth="1"/>
    <col min="274" max="274" width="15.5" bestFit="1" customWidth="1"/>
    <col min="275" max="280" width="11.1640625" bestFit="1" customWidth="1"/>
    <col min="281" max="281" width="13.83203125" bestFit="1" customWidth="1"/>
    <col min="282" max="282" width="11" bestFit="1" customWidth="1"/>
    <col min="283" max="283" width="13.6640625" bestFit="1" customWidth="1"/>
    <col min="284" max="285" width="9" bestFit="1" customWidth="1"/>
    <col min="286" max="286" width="11.6640625" bestFit="1" customWidth="1"/>
    <col min="287" max="290" width="12.83203125" bestFit="1" customWidth="1"/>
    <col min="291" max="291" width="15.5" bestFit="1" customWidth="1"/>
    <col min="292" max="292" width="11.1640625" bestFit="1" customWidth="1"/>
    <col min="293" max="293" width="13.83203125" bestFit="1" customWidth="1"/>
    <col min="294" max="295" width="13.6640625" bestFit="1" customWidth="1"/>
    <col min="296" max="296" width="16.5" bestFit="1" customWidth="1"/>
    <col min="297" max="297" width="14.83203125" bestFit="1" customWidth="1"/>
    <col min="298" max="298" width="17.6640625" bestFit="1" customWidth="1"/>
    <col min="299" max="299" width="14" bestFit="1" customWidth="1"/>
    <col min="300" max="300" width="16.83203125" bestFit="1" customWidth="1"/>
    <col min="301" max="303" width="14.1640625" bestFit="1" customWidth="1"/>
    <col min="304" max="304" width="17" bestFit="1" customWidth="1"/>
    <col min="305" max="310" width="8.1640625" bestFit="1" customWidth="1"/>
    <col min="312" max="315" width="8.5" bestFit="1" customWidth="1"/>
    <col min="316" max="317" width="11.1640625" bestFit="1" customWidth="1"/>
    <col min="318" max="318" width="13.83203125" bestFit="1" customWidth="1"/>
    <col min="319" max="319" width="8.33203125" bestFit="1" customWidth="1"/>
    <col min="320" max="321" width="11" bestFit="1" customWidth="1"/>
    <col min="322" max="322" width="13.6640625" bestFit="1" customWidth="1"/>
    <col min="323" max="327" width="21.33203125" bestFit="1" customWidth="1"/>
    <col min="328" max="328" width="24.1640625" bestFit="1" customWidth="1"/>
    <col min="329" max="329" width="11.83203125" bestFit="1" customWidth="1"/>
    <col min="330" max="330" width="14.5" bestFit="1" customWidth="1"/>
    <col min="331" max="335" width="9.6640625" bestFit="1" customWidth="1"/>
    <col min="336" max="336" width="12.5" bestFit="1" customWidth="1"/>
    <col min="337" max="340" width="9.83203125" bestFit="1" customWidth="1"/>
    <col min="341" max="341" width="12.5" bestFit="1" customWidth="1"/>
    <col min="342" max="343" width="11.33203125" bestFit="1" customWidth="1"/>
    <col min="344" max="344" width="14" bestFit="1" customWidth="1"/>
    <col min="345" max="348" width="14.33203125" bestFit="1" customWidth="1"/>
    <col min="349" max="349" width="17.1640625" bestFit="1" customWidth="1"/>
    <col min="350" max="351" width="18.1640625" bestFit="1" customWidth="1"/>
    <col min="352" max="352" width="20.83203125" bestFit="1" customWidth="1"/>
    <col min="353" max="353" width="9.1640625" bestFit="1" customWidth="1"/>
    <col min="354" max="354" width="11.83203125" bestFit="1" customWidth="1"/>
    <col min="355" max="355" width="9.83203125" bestFit="1" customWidth="1"/>
    <col min="356" max="356" width="12.5" bestFit="1" customWidth="1"/>
    <col min="357" max="360" width="11.5" bestFit="1" customWidth="1"/>
    <col min="361" max="361" width="14.1640625" bestFit="1" customWidth="1"/>
    <col min="362" max="362" width="14.5" bestFit="1" customWidth="1"/>
    <col min="363" max="363" width="17.33203125" bestFit="1" customWidth="1"/>
    <col min="364" max="364" width="25.1640625" bestFit="1" customWidth="1"/>
    <col min="365" max="365" width="28" bestFit="1" customWidth="1"/>
    <col min="366" max="367" width="19.33203125" bestFit="1" customWidth="1"/>
    <col min="368" max="368" width="22.1640625" bestFit="1" customWidth="1"/>
    <col min="369" max="370" width="19.33203125" bestFit="1" customWidth="1"/>
    <col min="371" max="371" width="22.33203125" bestFit="1" customWidth="1"/>
    <col min="372" max="372" width="19.33203125" bestFit="1" customWidth="1"/>
    <col min="373" max="373" width="22.33203125" bestFit="1" customWidth="1"/>
    <col min="374" max="379" width="10" bestFit="1" customWidth="1"/>
    <col min="380" max="380" width="12.6640625" bestFit="1" customWidth="1"/>
    <col min="381" max="381" width="13.33203125" bestFit="1" customWidth="1"/>
    <col min="382" max="382" width="16.33203125" bestFit="1" customWidth="1"/>
    <col min="383" max="383" width="34.1640625" bestFit="1" customWidth="1"/>
    <col min="384" max="384" width="37.1640625" bestFit="1" customWidth="1"/>
    <col min="385" max="385" width="12.83203125" bestFit="1" customWidth="1"/>
    <col min="386" max="386" width="15.6640625" bestFit="1" customWidth="1"/>
    <col min="387" max="387" width="12.1640625" bestFit="1" customWidth="1"/>
    <col min="388" max="388" width="14.83203125" bestFit="1" customWidth="1"/>
    <col min="389" max="393" width="12" bestFit="1" customWidth="1"/>
    <col min="394" max="394" width="14.83203125" bestFit="1" customWidth="1"/>
    <col min="395" max="400" width="12.6640625" bestFit="1" customWidth="1"/>
    <col min="401" max="401" width="15.33203125" bestFit="1" customWidth="1"/>
    <col min="402" max="407" width="11.5" bestFit="1" customWidth="1"/>
    <col min="408" max="408" width="14.1640625" bestFit="1" customWidth="1"/>
    <col min="409" max="410" width="12.5" bestFit="1" customWidth="1"/>
    <col min="411" max="411" width="15.1640625" bestFit="1" customWidth="1"/>
    <col min="412" max="417" width="7.1640625" bestFit="1" customWidth="1"/>
    <col min="418" max="418" width="9.83203125" bestFit="1" customWidth="1"/>
    <col min="419" max="419" width="7.83203125" bestFit="1" customWidth="1"/>
    <col min="420" max="420" width="10.5" bestFit="1" customWidth="1"/>
    <col min="421" max="422" width="13.5" bestFit="1" customWidth="1"/>
    <col min="423" max="423" width="16.33203125" bestFit="1" customWidth="1"/>
    <col min="424" max="424" width="9.83203125" bestFit="1" customWidth="1"/>
    <col min="425" max="425" width="12.5" bestFit="1" customWidth="1"/>
    <col min="426" max="428" width="9.6640625" bestFit="1" customWidth="1"/>
    <col min="429" max="429" width="12.5" bestFit="1" customWidth="1"/>
    <col min="430" max="435" width="14.33203125" bestFit="1" customWidth="1"/>
    <col min="436" max="436" width="17.1640625" bestFit="1" customWidth="1"/>
    <col min="437" max="440" width="9.33203125" bestFit="1" customWidth="1"/>
    <col min="441" max="441" width="12" bestFit="1" customWidth="1"/>
    <col min="442" max="442" width="12.1640625" bestFit="1" customWidth="1"/>
    <col min="443" max="443" width="14.83203125" bestFit="1" customWidth="1"/>
    <col min="444" max="444" width="6.33203125" bestFit="1" customWidth="1"/>
    <col min="445" max="445" width="9" bestFit="1" customWidth="1"/>
    <col min="446" max="449" width="10.33203125" bestFit="1" customWidth="1"/>
    <col min="450" max="450" width="13" bestFit="1" customWidth="1"/>
    <col min="451" max="455" width="10.33203125" bestFit="1" customWidth="1"/>
    <col min="456" max="457" width="13" bestFit="1" customWidth="1"/>
    <col min="458" max="458" width="15.6640625" bestFit="1" customWidth="1"/>
    <col min="459" max="461" width="8.6640625" bestFit="1" customWidth="1"/>
    <col min="462" max="463" width="11.33203125" bestFit="1" customWidth="1"/>
    <col min="464" max="464" width="14" bestFit="1" customWidth="1"/>
    <col min="465" max="465" width="6.6640625" bestFit="1" customWidth="1"/>
    <col min="466" max="466" width="9.33203125" bestFit="1" customWidth="1"/>
    <col min="467" max="467" width="8.83203125" bestFit="1" customWidth="1"/>
    <col min="468" max="468" width="11.5" bestFit="1" customWidth="1"/>
    <col min="469" max="469" width="8.83203125" bestFit="1" customWidth="1"/>
    <col min="470" max="470" width="11.5" bestFit="1" customWidth="1"/>
    <col min="471" max="472" width="13" bestFit="1" customWidth="1"/>
    <col min="473" max="473" width="15.6640625" bestFit="1" customWidth="1"/>
    <col min="474" max="475" width="10" bestFit="1" customWidth="1"/>
    <col min="476" max="476" width="12.6640625" bestFit="1" customWidth="1"/>
    <col min="477" max="482" width="16.33203125" bestFit="1" customWidth="1"/>
    <col min="483" max="483" width="19.1640625" bestFit="1" customWidth="1"/>
    <col min="484" max="489" width="18.5" bestFit="1" customWidth="1"/>
    <col min="490" max="490" width="21.1640625" bestFit="1" customWidth="1"/>
    <col min="491" max="491" width="10.5" bestFit="1" customWidth="1"/>
    <col min="492" max="492" width="13.1640625" bestFit="1" customWidth="1"/>
    <col min="493" max="494" width="6.83203125" bestFit="1" customWidth="1"/>
    <col min="495" max="495" width="9.5" bestFit="1" customWidth="1"/>
    <col min="496" max="496" width="15" bestFit="1" customWidth="1"/>
    <col min="497" max="497" width="17.83203125" bestFit="1" customWidth="1"/>
    <col min="498" max="498" width="7.33203125" bestFit="1" customWidth="1"/>
    <col min="499" max="499" width="10" bestFit="1" customWidth="1"/>
    <col min="500" max="501" width="16.33203125" bestFit="1" customWidth="1"/>
    <col min="502" max="502" width="19.1640625" bestFit="1" customWidth="1"/>
    <col min="503" max="503" width="16.6640625" bestFit="1" customWidth="1"/>
    <col min="504" max="504" width="19.6640625" bestFit="1" customWidth="1"/>
    <col min="505" max="505" width="9.33203125" bestFit="1" customWidth="1"/>
    <col min="506" max="506" width="12" bestFit="1" customWidth="1"/>
    <col min="507" max="507" width="12.1640625" bestFit="1" customWidth="1"/>
    <col min="508" max="508" width="14.83203125" bestFit="1" customWidth="1"/>
    <col min="509" max="509" width="21.83203125" bestFit="1" customWidth="1"/>
    <col min="510" max="510" width="24.83203125" bestFit="1" customWidth="1"/>
    <col min="511" max="514" width="16.1640625" bestFit="1" customWidth="1"/>
    <col min="515" max="515" width="19" bestFit="1" customWidth="1"/>
    <col min="516" max="516" width="15.1640625" bestFit="1" customWidth="1"/>
    <col min="517" max="517" width="18" bestFit="1" customWidth="1"/>
    <col min="518" max="519" width="8.83203125" bestFit="1" customWidth="1"/>
    <col min="520" max="520" width="11.5" bestFit="1" customWidth="1"/>
    <col min="521" max="525" width="8.1640625" bestFit="1" customWidth="1"/>
    <col min="527" max="531" width="17.33203125" bestFit="1" customWidth="1"/>
    <col min="532" max="532" width="20.1640625" bestFit="1" customWidth="1"/>
    <col min="533" max="533" width="6.6640625" bestFit="1" customWidth="1"/>
    <col min="534" max="534" width="9.33203125" bestFit="1" customWidth="1"/>
    <col min="535" max="536" width="17.5" bestFit="1" customWidth="1"/>
    <col min="537" max="537" width="20.5" bestFit="1" customWidth="1"/>
    <col min="538" max="538" width="13.33203125" bestFit="1" customWidth="1"/>
    <col min="539" max="540" width="16" bestFit="1" customWidth="1"/>
    <col min="541" max="541" width="18.83203125" bestFit="1" customWidth="1"/>
    <col min="542" max="546" width="11" bestFit="1" customWidth="1"/>
    <col min="547" max="547" width="13.6640625" bestFit="1" customWidth="1"/>
    <col min="548" max="552" width="22.1640625" bestFit="1" customWidth="1"/>
    <col min="553" max="553" width="25" bestFit="1" customWidth="1"/>
    <col min="554" max="554" width="19.5" bestFit="1" customWidth="1"/>
    <col min="555" max="555" width="22.33203125" bestFit="1" customWidth="1"/>
    <col min="556" max="559" width="25.1640625" bestFit="1" customWidth="1"/>
    <col min="560" max="560" width="28" bestFit="1" customWidth="1"/>
    <col min="561" max="564" width="10.1640625" bestFit="1" customWidth="1"/>
    <col min="565" max="565" width="12.83203125" bestFit="1" customWidth="1"/>
    <col min="566" max="567" width="13.5" bestFit="1" customWidth="1"/>
    <col min="568" max="568" width="16.5" bestFit="1" customWidth="1"/>
    <col min="569" max="569" width="9.83203125" bestFit="1" customWidth="1"/>
    <col min="570" max="570" width="12.5" bestFit="1" customWidth="1"/>
    <col min="571" max="576" width="25" bestFit="1" customWidth="1"/>
    <col min="577" max="577" width="27.83203125" bestFit="1" customWidth="1"/>
    <col min="578" max="580" width="8.33203125" bestFit="1" customWidth="1"/>
    <col min="581" max="581" width="11" bestFit="1" customWidth="1"/>
    <col min="582" max="582" width="9.6640625" bestFit="1" customWidth="1"/>
    <col min="583" max="583" width="12.33203125" bestFit="1" customWidth="1"/>
    <col min="584" max="585" width="15.33203125" bestFit="1" customWidth="1"/>
    <col min="586" max="586" width="18.1640625" bestFit="1" customWidth="1"/>
    <col min="587" max="588" width="9.6640625" bestFit="1" customWidth="1"/>
    <col min="589" max="589" width="12.33203125" bestFit="1" customWidth="1"/>
    <col min="590" max="592" width="20.83203125" bestFit="1" customWidth="1"/>
    <col min="593" max="593" width="23.6640625" bestFit="1" customWidth="1"/>
    <col min="594" max="599" width="11.1640625" bestFit="1" customWidth="1"/>
    <col min="600" max="600" width="13.83203125" bestFit="1" customWidth="1"/>
    <col min="601" max="606" width="12.5" bestFit="1" customWidth="1"/>
    <col min="607" max="607" width="15.1640625" bestFit="1" customWidth="1"/>
    <col min="608" max="613" width="14.33203125" bestFit="1" customWidth="1"/>
    <col min="614" max="614" width="17.1640625" bestFit="1" customWidth="1"/>
    <col min="615" max="615" width="8.1640625" bestFit="1" customWidth="1"/>
    <col min="617" max="617" width="9" bestFit="1" customWidth="1"/>
    <col min="618" max="618" width="11.6640625" bestFit="1" customWidth="1"/>
    <col min="619" max="620" width="10" bestFit="1" customWidth="1"/>
    <col min="621" max="621" width="12.6640625" bestFit="1" customWidth="1"/>
    <col min="622" max="623" width="7.6640625" bestFit="1" customWidth="1"/>
    <col min="624" max="624" width="10.33203125" bestFit="1" customWidth="1"/>
    <col min="625" max="625" width="16.6640625" bestFit="1" customWidth="1"/>
    <col min="626" max="626" width="19.5" bestFit="1" customWidth="1"/>
    <col min="627" max="627" width="14" bestFit="1" customWidth="1"/>
    <col min="628" max="628" width="17" bestFit="1" customWidth="1"/>
    <col min="629" max="629" width="12.1640625" bestFit="1" customWidth="1"/>
    <col min="630" max="630" width="14.83203125" bestFit="1" customWidth="1"/>
    <col min="631" max="636" width="11.6640625" bestFit="1" customWidth="1"/>
    <col min="637" max="637" width="14.33203125" bestFit="1" customWidth="1"/>
    <col min="638" max="643" width="10.33203125" bestFit="1" customWidth="1"/>
    <col min="644" max="644" width="13" bestFit="1" customWidth="1"/>
    <col min="646" max="646" width="13.5" bestFit="1" customWidth="1"/>
    <col min="647" max="647" width="11.83203125" bestFit="1" customWidth="1"/>
    <col min="648" max="648" width="14.5" bestFit="1" customWidth="1"/>
    <col min="649" max="653" width="8.1640625" bestFit="1" customWidth="1"/>
    <col min="656" max="656" width="13.5" bestFit="1" customWidth="1"/>
    <col min="657" max="658" width="15.83203125" bestFit="1" customWidth="1"/>
    <col min="659" max="659" width="18.6640625" bestFit="1" customWidth="1"/>
    <col min="665" max="665" width="13.5" bestFit="1" customWidth="1"/>
    <col min="666" max="667" width="10" bestFit="1" customWidth="1"/>
    <col min="668" max="668" width="12.6640625" bestFit="1" customWidth="1"/>
    <col min="669" max="673" width="13.83203125" bestFit="1" customWidth="1"/>
    <col min="674" max="674" width="16.6640625" bestFit="1" customWidth="1"/>
    <col min="675" max="675" width="16.5" bestFit="1" customWidth="1"/>
    <col min="676" max="676" width="19.33203125" bestFit="1" customWidth="1"/>
    <col min="677" max="679" width="7.1640625" bestFit="1" customWidth="1"/>
    <col min="680" max="680" width="9.83203125" bestFit="1" customWidth="1"/>
    <col min="681" max="682" width="8.1640625" bestFit="1" customWidth="1"/>
    <col min="684" max="684" width="14.5" bestFit="1" customWidth="1"/>
    <col min="685" max="685" width="17.5" bestFit="1" customWidth="1"/>
    <col min="686" max="686" width="11.83203125" bestFit="1" customWidth="1"/>
    <col min="687" max="687" width="14.5" bestFit="1" customWidth="1"/>
    <col min="688" max="688" width="14.83203125" bestFit="1" customWidth="1"/>
    <col min="689" max="689" width="17.6640625" bestFit="1" customWidth="1"/>
    <col min="690" max="690" width="17.1640625" bestFit="1" customWidth="1"/>
    <col min="691" max="691" width="20" bestFit="1" customWidth="1"/>
    <col min="692" max="694" width="15.5" bestFit="1" customWidth="1"/>
    <col min="695" max="695" width="18.33203125" bestFit="1" customWidth="1"/>
    <col min="696" max="697" width="14.5" bestFit="1" customWidth="1"/>
    <col min="698" max="698" width="17.33203125" bestFit="1" customWidth="1"/>
    <col min="699" max="701" width="17.1640625" bestFit="1" customWidth="1"/>
    <col min="702" max="702" width="20" bestFit="1" customWidth="1"/>
    <col min="703" max="704" width="11.1640625" bestFit="1" customWidth="1"/>
    <col min="705" max="705" width="13.83203125" bestFit="1" customWidth="1"/>
    <col min="706" max="707" width="11.83203125" bestFit="1" customWidth="1"/>
    <col min="708" max="708" width="14.5" bestFit="1" customWidth="1"/>
    <col min="709" max="709" width="12" bestFit="1" customWidth="1"/>
    <col min="710" max="710" width="14.6640625" bestFit="1" customWidth="1"/>
    <col min="711" max="712" width="13.83203125" bestFit="1" customWidth="1"/>
    <col min="713" max="713" width="16.6640625" bestFit="1" customWidth="1"/>
    <col min="714" max="719" width="7.83203125" bestFit="1" customWidth="1"/>
    <col min="720" max="720" width="10.5" bestFit="1" customWidth="1"/>
    <col min="721" max="726" width="18.83203125" bestFit="1" customWidth="1"/>
    <col min="727" max="727" width="21.6640625" bestFit="1" customWidth="1"/>
    <col min="728" max="728" width="10.1640625" bestFit="1" customWidth="1"/>
    <col min="729" max="732" width="12.83203125" bestFit="1" customWidth="1"/>
    <col min="733" max="733" width="15.5" bestFit="1" customWidth="1"/>
    <col min="734" max="739" width="12.83203125" bestFit="1" customWidth="1"/>
    <col min="740" max="740" width="15.5" bestFit="1" customWidth="1"/>
    <col min="741" max="742" width="11" bestFit="1" customWidth="1"/>
    <col min="743" max="743" width="13.6640625" bestFit="1" customWidth="1"/>
    <col min="744" max="748" width="9.5" bestFit="1" customWidth="1"/>
    <col min="749" max="749" width="12.1640625" bestFit="1" customWidth="1"/>
    <col min="750" max="754" width="10" bestFit="1" customWidth="1"/>
    <col min="755" max="756" width="12.6640625" bestFit="1" customWidth="1"/>
    <col min="757" max="757" width="15.33203125" bestFit="1" customWidth="1"/>
    <col min="758" max="760" width="11" bestFit="1" customWidth="1"/>
    <col min="761" max="761" width="13.6640625" bestFit="1" customWidth="1"/>
    <col min="762" max="766" width="10.33203125" bestFit="1" customWidth="1"/>
    <col min="767" max="768" width="13" bestFit="1" customWidth="1"/>
    <col min="769" max="769" width="15.6640625" bestFit="1" customWidth="1"/>
    <col min="770" max="774" width="9.5" bestFit="1" customWidth="1"/>
    <col min="775" max="775" width="12.1640625" bestFit="1" customWidth="1"/>
    <col min="776" max="778" width="21.5" bestFit="1" customWidth="1"/>
    <col min="779" max="779" width="24.33203125" bestFit="1" customWidth="1"/>
    <col min="780" max="785" width="17.1640625" bestFit="1" customWidth="1"/>
    <col min="786" max="786" width="20" bestFit="1" customWidth="1"/>
    <col min="787" max="790" width="25.5" bestFit="1" customWidth="1"/>
    <col min="791" max="791" width="28.33203125" bestFit="1" customWidth="1"/>
    <col min="792" max="796" width="16.83203125" bestFit="1" customWidth="1"/>
    <col min="797" max="797" width="19.6640625" bestFit="1" customWidth="1"/>
    <col min="798" max="798" width="10.5" bestFit="1" customWidth="1"/>
  </cols>
  <sheetData>
    <row r="1" spans="1:14">
      <c r="A1" s="3" t="s">
        <v>0</v>
      </c>
      <c r="B1" t="s">
        <v>226</v>
      </c>
    </row>
    <row r="3" spans="1:14">
      <c r="A3" s="3" t="s">
        <v>1</v>
      </c>
      <c r="B3" t="s">
        <v>2</v>
      </c>
    </row>
    <row r="4" spans="1:14">
      <c r="A4" s="4" t="s">
        <v>3</v>
      </c>
      <c r="B4">
        <v>6</v>
      </c>
      <c r="I4" t="str" cm="1">
        <f t="array" ref="I4:I155">_xlfn.UNIQUE(A4:A155)</f>
        <v>AC Milan</v>
      </c>
      <c r="J4">
        <f>COUNTA(I4:I154)</f>
        <v>151</v>
      </c>
      <c r="M4" t="s">
        <v>4</v>
      </c>
      <c r="N4">
        <v>55</v>
      </c>
    </row>
    <row r="5" spans="1:14">
      <c r="A5" s="4" t="s">
        <v>5</v>
      </c>
      <c r="B5">
        <v>1</v>
      </c>
      <c r="E5">
        <f>COUNTIF(B4:B216,5)</f>
        <v>14</v>
      </c>
      <c r="I5" t="str">
        <v>Adana Demirspor</v>
      </c>
      <c r="M5" t="s">
        <v>6</v>
      </c>
      <c r="N5" s="2">
        <v>7840</v>
      </c>
    </row>
    <row r="6" spans="1:14">
      <c r="A6" s="4" t="s">
        <v>7</v>
      </c>
      <c r="B6">
        <v>1</v>
      </c>
      <c r="E6">
        <f>COUNTIF(B5:B217,4)</f>
        <v>11</v>
      </c>
      <c r="I6" t="str">
        <v>Adanaspor</v>
      </c>
      <c r="M6" t="s">
        <v>8</v>
      </c>
      <c r="N6">
        <v>420</v>
      </c>
    </row>
    <row r="7" spans="1:14">
      <c r="A7" s="4" t="s">
        <v>9</v>
      </c>
      <c r="B7">
        <v>2</v>
      </c>
      <c r="E7">
        <f>COUNTIF(B4:B156,3)</f>
        <v>16</v>
      </c>
      <c r="I7" t="str">
        <v>Akhisar Belediyespor</v>
      </c>
      <c r="M7" t="s">
        <v>10</v>
      </c>
      <c r="N7">
        <v>5</v>
      </c>
    </row>
    <row r="8" spans="1:14">
      <c r="A8" s="4" t="s">
        <v>11</v>
      </c>
      <c r="B8">
        <v>1</v>
      </c>
      <c r="E8">
        <f>COUNTIF(B5:B157,2)</f>
        <v>28</v>
      </c>
      <c r="I8" t="str">
        <v>Akhisarspor</v>
      </c>
      <c r="M8" t="s">
        <v>12</v>
      </c>
      <c r="N8">
        <v>151</v>
      </c>
    </row>
    <row r="9" spans="1:14">
      <c r="A9" s="4" t="s">
        <v>13</v>
      </c>
      <c r="B9">
        <v>6</v>
      </c>
      <c r="E9">
        <f>COUNTIF(B4:B216,1)</f>
        <v>21</v>
      </c>
      <c r="I9" t="str">
        <v>Alanyaspor</v>
      </c>
      <c r="M9" t="s">
        <v>14</v>
      </c>
      <c r="N9">
        <v>92</v>
      </c>
    </row>
    <row r="10" spans="1:14">
      <c r="A10" s="4" t="s">
        <v>15</v>
      </c>
      <c r="B10">
        <v>4</v>
      </c>
      <c r="I10" t="str">
        <v>Alavés</v>
      </c>
      <c r="M10" t="s">
        <v>16</v>
      </c>
      <c r="N10">
        <f>N8-N9</f>
        <v>59</v>
      </c>
    </row>
    <row r="11" spans="1:14">
      <c r="A11" s="4" t="s">
        <v>17</v>
      </c>
      <c r="B11">
        <v>3</v>
      </c>
      <c r="I11" t="str">
        <v>Amiens SC</v>
      </c>
    </row>
    <row r="12" spans="1:14">
      <c r="A12" s="4" t="s">
        <v>18</v>
      </c>
      <c r="B12">
        <v>6</v>
      </c>
      <c r="I12" t="str">
        <v>Angers SCO</v>
      </c>
    </row>
    <row r="13" spans="1:14">
      <c r="A13" s="4" t="s">
        <v>19</v>
      </c>
      <c r="B13">
        <v>3</v>
      </c>
      <c r="I13" t="str">
        <v>Ankaragücü</v>
      </c>
    </row>
    <row r="14" spans="1:14">
      <c r="A14" s="4" t="s">
        <v>20</v>
      </c>
      <c r="B14">
        <v>6</v>
      </c>
      <c r="I14" t="str">
        <v>Antalyaspor</v>
      </c>
    </row>
    <row r="15" spans="1:14">
      <c r="A15" s="4" t="s">
        <v>21</v>
      </c>
      <c r="B15">
        <v>6</v>
      </c>
      <c r="I15" t="str">
        <v>Arsenal</v>
      </c>
    </row>
    <row r="16" spans="1:14">
      <c r="A16" s="4" t="s">
        <v>22</v>
      </c>
      <c r="B16">
        <v>6</v>
      </c>
      <c r="I16" t="str">
        <v>AS Monaco</v>
      </c>
    </row>
    <row r="17" spans="1:9">
      <c r="A17" s="4" t="s">
        <v>23</v>
      </c>
      <c r="B17">
        <v>6</v>
      </c>
      <c r="I17" t="str">
        <v>AS Saint-Étienne</v>
      </c>
    </row>
    <row r="18" spans="1:9">
      <c r="A18" s="4" t="s">
        <v>24</v>
      </c>
      <c r="B18">
        <v>3</v>
      </c>
      <c r="I18" t="str">
        <v>Aston Villa</v>
      </c>
    </row>
    <row r="19" spans="1:9">
      <c r="A19" s="4" t="s">
        <v>25</v>
      </c>
      <c r="B19">
        <v>6</v>
      </c>
      <c r="I19" t="str">
        <v>Atalanta</v>
      </c>
    </row>
    <row r="20" spans="1:9">
      <c r="A20" s="4" t="s">
        <v>26</v>
      </c>
      <c r="B20">
        <v>6</v>
      </c>
      <c r="I20" t="str">
        <v>Athletic Bilbao</v>
      </c>
    </row>
    <row r="21" spans="1:9">
      <c r="A21" s="4" t="s">
        <v>27</v>
      </c>
      <c r="B21">
        <v>6</v>
      </c>
      <c r="I21" t="str">
        <v>Atlético Madrid</v>
      </c>
    </row>
    <row r="22" spans="1:9">
      <c r="A22" s="4" t="s">
        <v>28</v>
      </c>
      <c r="B22">
        <v>6</v>
      </c>
      <c r="I22" t="str">
        <v>Barcelona</v>
      </c>
    </row>
    <row r="23" spans="1:9">
      <c r="A23" s="4" t="s">
        <v>29</v>
      </c>
      <c r="B23">
        <v>2</v>
      </c>
      <c r="I23" t="str">
        <v>BB Erzurumspor</v>
      </c>
    </row>
    <row r="24" spans="1:9">
      <c r="A24" s="4" t="s">
        <v>30</v>
      </c>
      <c r="B24">
        <v>2</v>
      </c>
      <c r="I24" t="str">
        <v>Benevento</v>
      </c>
    </row>
    <row r="25" spans="1:9">
      <c r="A25" s="4" t="s">
        <v>31</v>
      </c>
      <c r="B25">
        <v>6</v>
      </c>
      <c r="I25" t="str">
        <v>Beşiktaş</v>
      </c>
    </row>
    <row r="26" spans="1:9">
      <c r="A26" s="4" t="s">
        <v>32</v>
      </c>
      <c r="B26">
        <v>6</v>
      </c>
      <c r="I26" t="str">
        <v>Bologna</v>
      </c>
    </row>
    <row r="27" spans="1:9">
      <c r="A27" s="4" t="s">
        <v>33</v>
      </c>
      <c r="B27">
        <v>4</v>
      </c>
      <c r="I27" t="str">
        <v>Bournemouth</v>
      </c>
    </row>
    <row r="28" spans="1:9">
      <c r="A28" s="4" t="s">
        <v>34</v>
      </c>
      <c r="B28">
        <v>1</v>
      </c>
      <c r="I28" t="str">
        <v>Brentford FC</v>
      </c>
    </row>
    <row r="29" spans="1:9">
      <c r="A29" s="4" t="s">
        <v>35</v>
      </c>
      <c r="B29">
        <v>1</v>
      </c>
      <c r="I29" t="str">
        <v>Brescia</v>
      </c>
    </row>
    <row r="30" spans="1:9">
      <c r="A30" s="4" t="s">
        <v>36</v>
      </c>
      <c r="B30">
        <v>5</v>
      </c>
      <c r="I30" t="str">
        <v>Brighton &amp; Hove Albion</v>
      </c>
    </row>
    <row r="31" spans="1:9">
      <c r="A31" s="4" t="s">
        <v>37</v>
      </c>
      <c r="B31">
        <v>6</v>
      </c>
      <c r="I31" t="str">
        <v>Burnley</v>
      </c>
    </row>
    <row r="32" spans="1:9">
      <c r="A32" s="4" t="s">
        <v>38</v>
      </c>
      <c r="B32">
        <v>3</v>
      </c>
      <c r="I32" t="str">
        <v>Bursaspor</v>
      </c>
    </row>
    <row r="33" spans="1:9">
      <c r="A33" s="4" t="s">
        <v>39</v>
      </c>
      <c r="B33">
        <v>2</v>
      </c>
      <c r="I33" t="str">
        <v>Cádiz</v>
      </c>
    </row>
    <row r="34" spans="1:9">
      <c r="A34" s="4" t="s">
        <v>40</v>
      </c>
      <c r="B34">
        <v>3</v>
      </c>
      <c r="I34" t="str">
        <v>Caen</v>
      </c>
    </row>
    <row r="35" spans="1:9">
      <c r="A35" s="4" t="s">
        <v>41</v>
      </c>
      <c r="B35">
        <v>6</v>
      </c>
      <c r="I35" t="str">
        <v>Cagliari</v>
      </c>
    </row>
    <row r="36" spans="1:9">
      <c r="A36" s="4" t="s">
        <v>42</v>
      </c>
      <c r="B36">
        <v>1</v>
      </c>
      <c r="I36" t="str">
        <v>Cardiff City</v>
      </c>
    </row>
    <row r="37" spans="1:9">
      <c r="A37" s="4" t="s">
        <v>43</v>
      </c>
      <c r="B37">
        <v>6</v>
      </c>
      <c r="I37" t="str">
        <v>Celta Vigo</v>
      </c>
    </row>
    <row r="38" spans="1:9">
      <c r="A38" s="4" t="s">
        <v>44</v>
      </c>
      <c r="B38">
        <v>6</v>
      </c>
      <c r="I38" t="str">
        <v>Chelsea</v>
      </c>
    </row>
    <row r="39" spans="1:9">
      <c r="A39" s="4" t="s">
        <v>45</v>
      </c>
      <c r="B39">
        <v>1</v>
      </c>
      <c r="I39" t="str">
        <v>Clermont Foot</v>
      </c>
    </row>
    <row r="40" spans="1:9">
      <c r="A40" s="4" t="s">
        <v>46</v>
      </c>
      <c r="B40">
        <v>3</v>
      </c>
      <c r="I40" t="str">
        <v>Crotone</v>
      </c>
    </row>
    <row r="41" spans="1:9">
      <c r="A41" s="4" t="s">
        <v>47</v>
      </c>
      <c r="B41">
        <v>6</v>
      </c>
      <c r="I41" t="str">
        <v>Crystal Palace</v>
      </c>
    </row>
    <row r="42" spans="1:9">
      <c r="A42" s="4" t="s">
        <v>48</v>
      </c>
      <c r="B42">
        <v>2</v>
      </c>
      <c r="I42" t="str">
        <v>Denizlispor</v>
      </c>
    </row>
    <row r="43" spans="1:9">
      <c r="A43" s="4" t="s">
        <v>49</v>
      </c>
      <c r="B43">
        <v>2</v>
      </c>
      <c r="I43" t="str">
        <v>Deportivo Alavés</v>
      </c>
    </row>
    <row r="44" spans="1:9">
      <c r="A44" s="4" t="s">
        <v>50</v>
      </c>
      <c r="B44">
        <v>2</v>
      </c>
      <c r="I44" t="str">
        <v>Deportivo La Coruña</v>
      </c>
    </row>
    <row r="45" spans="1:9">
      <c r="A45" s="4" t="s">
        <v>51</v>
      </c>
      <c r="B45">
        <v>5</v>
      </c>
      <c r="I45" t="str">
        <v>Dijon FCO</v>
      </c>
    </row>
    <row r="46" spans="1:9">
      <c r="A46" s="4" t="s">
        <v>52</v>
      </c>
      <c r="B46">
        <v>3</v>
      </c>
      <c r="I46" t="str">
        <v>EA Guingamp</v>
      </c>
    </row>
    <row r="47" spans="1:9">
      <c r="A47" s="4" t="s">
        <v>53</v>
      </c>
      <c r="B47">
        <v>5</v>
      </c>
      <c r="I47" t="str">
        <v>Eibar</v>
      </c>
    </row>
    <row r="48" spans="1:9">
      <c r="A48" s="4" t="s">
        <v>54</v>
      </c>
      <c r="B48">
        <v>2</v>
      </c>
      <c r="I48" t="str">
        <v>Elche</v>
      </c>
    </row>
    <row r="49" spans="1:9">
      <c r="A49" s="4" t="s">
        <v>55</v>
      </c>
      <c r="B49">
        <v>3</v>
      </c>
      <c r="I49" t="str">
        <v>Empoli</v>
      </c>
    </row>
    <row r="50" spans="1:9">
      <c r="A50" s="4" t="s">
        <v>56</v>
      </c>
      <c r="B50">
        <v>5</v>
      </c>
      <c r="I50" t="str">
        <v>Espanyol</v>
      </c>
    </row>
    <row r="51" spans="1:9">
      <c r="A51" s="4" t="s">
        <v>57</v>
      </c>
      <c r="B51">
        <v>6</v>
      </c>
      <c r="I51" t="str">
        <v>Everton</v>
      </c>
    </row>
    <row r="52" spans="1:9">
      <c r="A52" s="4" t="s">
        <v>58</v>
      </c>
      <c r="B52">
        <v>6</v>
      </c>
      <c r="I52" t="str">
        <v>Fenerbahçe</v>
      </c>
    </row>
    <row r="53" spans="1:9">
      <c r="A53" s="4" t="s">
        <v>59</v>
      </c>
      <c r="B53">
        <v>6</v>
      </c>
      <c r="I53" t="str">
        <v>Fiorentina</v>
      </c>
    </row>
    <row r="54" spans="1:9">
      <c r="A54" s="4" t="s">
        <v>60</v>
      </c>
      <c r="B54">
        <v>1</v>
      </c>
      <c r="I54" t="str">
        <v>Frosinone</v>
      </c>
    </row>
    <row r="55" spans="1:9">
      <c r="A55" s="4" t="s">
        <v>61</v>
      </c>
      <c r="B55">
        <v>2</v>
      </c>
      <c r="I55" t="str">
        <v>Fulham</v>
      </c>
    </row>
    <row r="56" spans="1:9">
      <c r="A56" s="4" t="s">
        <v>62</v>
      </c>
      <c r="B56">
        <v>6</v>
      </c>
      <c r="I56" t="str">
        <v>Galatasaray</v>
      </c>
    </row>
    <row r="57" spans="1:9">
      <c r="A57" s="4" t="s">
        <v>63</v>
      </c>
      <c r="B57">
        <v>4</v>
      </c>
      <c r="I57" t="str">
        <v>Gaziantep FK</v>
      </c>
    </row>
    <row r="58" spans="1:9">
      <c r="A58" s="4" t="s">
        <v>64</v>
      </c>
      <c r="B58">
        <v>4</v>
      </c>
      <c r="I58" t="str">
        <v>Gençlerbirliği</v>
      </c>
    </row>
    <row r="59" spans="1:9">
      <c r="A59" s="4" t="s">
        <v>65</v>
      </c>
      <c r="B59">
        <v>6</v>
      </c>
      <c r="I59" t="str">
        <v>Genoa</v>
      </c>
    </row>
    <row r="60" spans="1:9">
      <c r="A60" s="4" t="s">
        <v>66</v>
      </c>
      <c r="B60">
        <v>5</v>
      </c>
      <c r="I60" t="str">
        <v>Getafe</v>
      </c>
    </row>
    <row r="61" spans="1:9">
      <c r="A61" s="4" t="s">
        <v>67</v>
      </c>
      <c r="B61">
        <v>2</v>
      </c>
      <c r="I61" t="str">
        <v>Girona</v>
      </c>
    </row>
    <row r="62" spans="1:9">
      <c r="A62" s="4" t="s">
        <v>68</v>
      </c>
      <c r="B62">
        <v>6</v>
      </c>
      <c r="I62" t="str">
        <v>Girondins de Bordeaux</v>
      </c>
    </row>
    <row r="63" spans="1:9">
      <c r="A63" s="4" t="s">
        <v>69</v>
      </c>
      <c r="B63">
        <v>5</v>
      </c>
      <c r="I63" t="str">
        <v>Göztepe</v>
      </c>
    </row>
    <row r="64" spans="1:9">
      <c r="A64" s="4" t="s">
        <v>70</v>
      </c>
      <c r="B64">
        <v>4</v>
      </c>
      <c r="I64" t="str">
        <v>Granada</v>
      </c>
    </row>
    <row r="65" spans="1:9">
      <c r="A65" s="4" t="s">
        <v>71</v>
      </c>
      <c r="B65">
        <v>2</v>
      </c>
      <c r="I65" t="str">
        <v>Hatayspor</v>
      </c>
    </row>
    <row r="66" spans="1:9">
      <c r="A66" s="4" t="s">
        <v>72</v>
      </c>
      <c r="B66">
        <v>2</v>
      </c>
      <c r="I66" t="str">
        <v>Huddersfield Town</v>
      </c>
    </row>
    <row r="67" spans="1:9">
      <c r="A67" s="4" t="s">
        <v>73</v>
      </c>
      <c r="B67">
        <v>2</v>
      </c>
      <c r="I67" t="str">
        <v>Huesca</v>
      </c>
    </row>
    <row r="68" spans="1:9">
      <c r="A68" s="4" t="s">
        <v>74</v>
      </c>
      <c r="B68">
        <v>1</v>
      </c>
      <c r="I68" t="str">
        <v>Hull City</v>
      </c>
    </row>
    <row r="69" spans="1:9">
      <c r="A69" s="4" t="s">
        <v>75</v>
      </c>
      <c r="B69">
        <v>6</v>
      </c>
      <c r="I69" t="str">
        <v>Inter Milan</v>
      </c>
    </row>
    <row r="70" spans="1:9">
      <c r="A70" s="4" t="s">
        <v>76</v>
      </c>
      <c r="B70">
        <v>6</v>
      </c>
      <c r="I70" t="str">
        <v>Istanbul Başakşehir</v>
      </c>
    </row>
    <row r="71" spans="1:9">
      <c r="A71" s="4" t="s">
        <v>77</v>
      </c>
      <c r="B71">
        <v>6</v>
      </c>
      <c r="I71" t="str">
        <v>Juventus</v>
      </c>
    </row>
    <row r="72" spans="1:9">
      <c r="A72" s="4" t="s">
        <v>78</v>
      </c>
      <c r="B72">
        <v>2</v>
      </c>
      <c r="I72" t="str">
        <v>Karabükspor</v>
      </c>
    </row>
    <row r="73" spans="1:9">
      <c r="A73" s="4" t="s">
        <v>79</v>
      </c>
      <c r="B73">
        <v>6</v>
      </c>
      <c r="I73" t="str">
        <v>Kasımpaşa</v>
      </c>
    </row>
    <row r="74" spans="1:9">
      <c r="A74" s="4" t="s">
        <v>80</v>
      </c>
      <c r="B74">
        <v>6</v>
      </c>
      <c r="I74" t="str">
        <v>Kayserispor</v>
      </c>
    </row>
    <row r="75" spans="1:9">
      <c r="A75" s="4" t="s">
        <v>81</v>
      </c>
      <c r="B75">
        <v>6</v>
      </c>
      <c r="I75" t="str">
        <v>Konyaspor</v>
      </c>
    </row>
    <row r="76" spans="1:9">
      <c r="A76" s="4" t="s">
        <v>82</v>
      </c>
      <c r="B76">
        <v>2</v>
      </c>
      <c r="I76" t="str">
        <v>Las Palmas</v>
      </c>
    </row>
    <row r="77" spans="1:9">
      <c r="A77" s="4" t="s">
        <v>83</v>
      </c>
      <c r="B77">
        <v>6</v>
      </c>
      <c r="I77" t="str">
        <v>Lazio</v>
      </c>
    </row>
    <row r="78" spans="1:9">
      <c r="A78" s="4" t="s">
        <v>84</v>
      </c>
      <c r="B78">
        <v>1</v>
      </c>
      <c r="I78" t="str">
        <v>Lecce</v>
      </c>
    </row>
    <row r="79" spans="1:9">
      <c r="A79" s="4" t="s">
        <v>85</v>
      </c>
      <c r="B79">
        <v>2</v>
      </c>
      <c r="I79" t="str">
        <v>Leeds United</v>
      </c>
    </row>
    <row r="80" spans="1:9">
      <c r="A80" s="4" t="s">
        <v>86</v>
      </c>
      <c r="B80">
        <v>4</v>
      </c>
      <c r="I80" t="str">
        <v>Leganés</v>
      </c>
    </row>
    <row r="81" spans="1:9">
      <c r="A81" s="4" t="s">
        <v>87</v>
      </c>
      <c r="B81">
        <v>6</v>
      </c>
      <c r="I81" t="str">
        <v>Leicester City</v>
      </c>
    </row>
    <row r="82" spans="1:9">
      <c r="A82" s="4" t="s">
        <v>88</v>
      </c>
      <c r="B82">
        <v>5</v>
      </c>
      <c r="I82" t="str">
        <v>Levante</v>
      </c>
    </row>
    <row r="83" spans="1:9">
      <c r="A83" s="4" t="s">
        <v>89</v>
      </c>
      <c r="B83">
        <v>6</v>
      </c>
      <c r="I83" t="str">
        <v>Lille OSC</v>
      </c>
    </row>
    <row r="84" spans="1:9">
      <c r="A84" s="4" t="s">
        <v>90</v>
      </c>
      <c r="B84">
        <v>6</v>
      </c>
      <c r="I84" t="str">
        <v>Liverpool</v>
      </c>
    </row>
    <row r="85" spans="1:9">
      <c r="A85" s="4" t="s">
        <v>91</v>
      </c>
      <c r="B85">
        <v>3</v>
      </c>
      <c r="I85" t="str">
        <v>Lorient</v>
      </c>
    </row>
    <row r="86" spans="1:9">
      <c r="A86" s="4" t="s">
        <v>92</v>
      </c>
      <c r="B86">
        <v>2</v>
      </c>
      <c r="I86" t="str">
        <v>Málaga</v>
      </c>
    </row>
    <row r="87" spans="1:9">
      <c r="A87" s="4" t="s">
        <v>93</v>
      </c>
      <c r="B87">
        <v>2</v>
      </c>
      <c r="I87" t="str">
        <v>Mallorca</v>
      </c>
    </row>
    <row r="88" spans="1:9">
      <c r="A88" s="4" t="s">
        <v>94</v>
      </c>
      <c r="B88">
        <v>6</v>
      </c>
      <c r="I88" t="str">
        <v>Manchester City</v>
      </c>
    </row>
    <row r="89" spans="1:9">
      <c r="A89" s="4" t="s">
        <v>95</v>
      </c>
      <c r="B89">
        <v>6</v>
      </c>
      <c r="I89" t="str">
        <v>Manchester United</v>
      </c>
    </row>
    <row r="90" spans="1:9">
      <c r="A90" s="4" t="s">
        <v>96</v>
      </c>
      <c r="B90">
        <v>5</v>
      </c>
      <c r="I90" t="str">
        <v>Metz</v>
      </c>
    </row>
    <row r="91" spans="1:9">
      <c r="A91" s="4" t="s">
        <v>97</v>
      </c>
      <c r="B91">
        <v>1</v>
      </c>
      <c r="I91" t="str">
        <v>Middlesbrough</v>
      </c>
    </row>
    <row r="92" spans="1:9">
      <c r="A92" s="4" t="s">
        <v>98</v>
      </c>
      <c r="B92">
        <v>6</v>
      </c>
      <c r="I92" t="str">
        <v>Montpellier HSC</v>
      </c>
    </row>
    <row r="93" spans="1:9">
      <c r="A93" s="4" t="s">
        <v>99</v>
      </c>
      <c r="B93">
        <v>1</v>
      </c>
      <c r="I93" t="str">
        <v>Nancy Lorraine</v>
      </c>
    </row>
    <row r="94" spans="1:9">
      <c r="A94" s="4" t="s">
        <v>100</v>
      </c>
      <c r="B94">
        <v>6</v>
      </c>
      <c r="I94" t="str">
        <v>Nantes</v>
      </c>
    </row>
    <row r="95" spans="1:9">
      <c r="A95" s="4" t="s">
        <v>101</v>
      </c>
      <c r="B95">
        <v>6</v>
      </c>
      <c r="I95" t="str">
        <v>Napoli</v>
      </c>
    </row>
    <row r="96" spans="1:9">
      <c r="A96" s="4" t="s">
        <v>102</v>
      </c>
      <c r="B96">
        <v>5</v>
      </c>
      <c r="I96" t="str">
        <v>Newcastle United</v>
      </c>
    </row>
    <row r="97" spans="1:9">
      <c r="A97" s="4" t="s">
        <v>103</v>
      </c>
      <c r="B97">
        <v>3</v>
      </c>
      <c r="I97" t="str">
        <v>Nîmes Olympique</v>
      </c>
    </row>
    <row r="98" spans="1:9">
      <c r="A98" s="4" t="s">
        <v>104</v>
      </c>
      <c r="B98">
        <v>2</v>
      </c>
      <c r="I98" t="str">
        <v>Norwich City</v>
      </c>
    </row>
    <row r="99" spans="1:9">
      <c r="A99" s="4" t="s">
        <v>105</v>
      </c>
      <c r="B99">
        <v>6</v>
      </c>
      <c r="I99" t="str">
        <v>OGC Nice</v>
      </c>
    </row>
    <row r="100" spans="1:9">
      <c r="A100" s="4" t="s">
        <v>106</v>
      </c>
      <c r="B100">
        <v>6</v>
      </c>
      <c r="I100" t="str">
        <v>Olympique de Marseille</v>
      </c>
    </row>
    <row r="101" spans="1:9">
      <c r="A101" s="4" t="s">
        <v>107</v>
      </c>
      <c r="B101">
        <v>6</v>
      </c>
      <c r="I101" t="str">
        <v>Olympique Lyonnais (Lyon)</v>
      </c>
    </row>
    <row r="102" spans="1:9">
      <c r="A102" s="4" t="s">
        <v>108</v>
      </c>
      <c r="B102">
        <v>4</v>
      </c>
      <c r="I102" t="str">
        <v>Osasuna</v>
      </c>
    </row>
    <row r="103" spans="1:9">
      <c r="A103" s="4" t="s">
        <v>109</v>
      </c>
      <c r="B103">
        <v>2</v>
      </c>
      <c r="I103" t="str">
        <v>Osmanlispor</v>
      </c>
    </row>
    <row r="104" spans="1:9">
      <c r="A104" s="4" t="s">
        <v>110</v>
      </c>
      <c r="B104">
        <v>1</v>
      </c>
      <c r="I104" t="str">
        <v>Palermo</v>
      </c>
    </row>
    <row r="105" spans="1:9">
      <c r="A105" s="4" t="s">
        <v>111</v>
      </c>
      <c r="B105">
        <v>6</v>
      </c>
      <c r="I105" t="str">
        <v>Paris Saint-Germain (PSG)</v>
      </c>
    </row>
    <row r="106" spans="1:9">
      <c r="A106" s="4" t="s">
        <v>112</v>
      </c>
      <c r="B106">
        <v>3</v>
      </c>
      <c r="I106" t="str">
        <v>Parma</v>
      </c>
    </row>
    <row r="107" spans="1:9">
      <c r="A107" s="4" t="s">
        <v>113</v>
      </c>
      <c r="B107">
        <v>1</v>
      </c>
      <c r="I107" t="str">
        <v>Pescara</v>
      </c>
    </row>
    <row r="108" spans="1:9">
      <c r="A108" s="4" t="s">
        <v>114</v>
      </c>
      <c r="B108">
        <v>2</v>
      </c>
      <c r="I108" t="str">
        <v>Rayo Vallecano</v>
      </c>
    </row>
    <row r="109" spans="1:9">
      <c r="A109" s="4" t="s">
        <v>115</v>
      </c>
      <c r="B109">
        <v>2</v>
      </c>
      <c r="I109" t="str">
        <v>RC Lens</v>
      </c>
    </row>
    <row r="110" spans="1:9">
      <c r="A110" s="4" t="s">
        <v>116</v>
      </c>
      <c r="B110">
        <v>5</v>
      </c>
      <c r="I110" t="str">
        <v>RC Strasbourg Alsace</v>
      </c>
    </row>
    <row r="111" spans="1:9">
      <c r="A111" s="4" t="s">
        <v>117</v>
      </c>
      <c r="B111">
        <v>6</v>
      </c>
      <c r="I111" t="str">
        <v>Real Betis</v>
      </c>
    </row>
    <row r="112" spans="1:9">
      <c r="A112" s="4" t="s">
        <v>118</v>
      </c>
      <c r="B112">
        <v>6</v>
      </c>
      <c r="I112" t="str">
        <v>Real Madrid</v>
      </c>
    </row>
    <row r="113" spans="1:9">
      <c r="A113" s="4" t="s">
        <v>119</v>
      </c>
      <c r="B113">
        <v>6</v>
      </c>
      <c r="I113" t="str">
        <v>Real Sociedad</v>
      </c>
    </row>
    <row r="114" spans="1:9">
      <c r="A114" s="4" t="s">
        <v>120</v>
      </c>
      <c r="B114">
        <v>5</v>
      </c>
      <c r="I114" t="str">
        <v>Rizespor</v>
      </c>
    </row>
    <row r="115" spans="1:9">
      <c r="A115" s="4" t="s">
        <v>121</v>
      </c>
      <c r="B115">
        <v>6</v>
      </c>
      <c r="I115" t="str">
        <v>Roma</v>
      </c>
    </row>
    <row r="116" spans="1:9">
      <c r="A116" s="4" t="s">
        <v>122</v>
      </c>
      <c r="B116">
        <v>1</v>
      </c>
      <c r="I116" t="str">
        <v>Salernitana</v>
      </c>
    </row>
    <row r="117" spans="1:9">
      <c r="A117" s="4" t="s">
        <v>123</v>
      </c>
      <c r="B117">
        <v>6</v>
      </c>
      <c r="I117" t="str">
        <v>Sampdoria</v>
      </c>
    </row>
    <row r="118" spans="1:9">
      <c r="A118" s="4" t="s">
        <v>124</v>
      </c>
      <c r="B118">
        <v>6</v>
      </c>
      <c r="I118" t="str">
        <v>Sassuolo</v>
      </c>
    </row>
    <row r="119" spans="1:9">
      <c r="A119" s="4" t="s">
        <v>125</v>
      </c>
      <c r="B119">
        <v>1</v>
      </c>
      <c r="I119" t="str">
        <v>SC Bastia</v>
      </c>
    </row>
    <row r="120" spans="1:9">
      <c r="A120" s="4" t="s">
        <v>126</v>
      </c>
      <c r="B120">
        <v>6</v>
      </c>
      <c r="I120" t="str">
        <v>Sevilla</v>
      </c>
    </row>
    <row r="121" spans="1:9">
      <c r="A121" s="4" t="s">
        <v>127</v>
      </c>
      <c r="B121">
        <v>2</v>
      </c>
      <c r="I121" t="str">
        <v>Sheffield United</v>
      </c>
    </row>
    <row r="122" spans="1:9">
      <c r="A122" s="4" t="s">
        <v>128</v>
      </c>
      <c r="B122">
        <v>5</v>
      </c>
      <c r="I122" t="str">
        <v>Sivasspor</v>
      </c>
    </row>
    <row r="123" spans="1:9">
      <c r="A123" s="4" t="s">
        <v>129</v>
      </c>
      <c r="B123">
        <v>6</v>
      </c>
      <c r="I123" t="str">
        <v>Southampton</v>
      </c>
    </row>
    <row r="124" spans="1:9">
      <c r="A124" s="4" t="s">
        <v>130</v>
      </c>
      <c r="B124">
        <v>3</v>
      </c>
      <c r="I124" t="str">
        <v>SPAL</v>
      </c>
    </row>
    <row r="125" spans="1:9">
      <c r="A125" s="4" t="s">
        <v>131</v>
      </c>
      <c r="B125">
        <v>2</v>
      </c>
      <c r="I125" t="str">
        <v>Spezia</v>
      </c>
    </row>
    <row r="126" spans="1:9">
      <c r="A126" s="4" t="s">
        <v>132</v>
      </c>
      <c r="B126">
        <v>1</v>
      </c>
      <c r="I126" t="str">
        <v>Sporting Gijón</v>
      </c>
    </row>
    <row r="127" spans="1:9">
      <c r="A127" s="4" t="s">
        <v>133</v>
      </c>
      <c r="B127">
        <v>3</v>
      </c>
      <c r="I127" t="str">
        <v>Stade Brestois</v>
      </c>
    </row>
    <row r="128" spans="1:9">
      <c r="A128" s="4" t="s">
        <v>134</v>
      </c>
      <c r="B128">
        <v>4</v>
      </c>
      <c r="I128" t="str">
        <v>Stade de Reims</v>
      </c>
    </row>
    <row r="129" spans="1:9">
      <c r="A129" s="4" t="s">
        <v>135</v>
      </c>
      <c r="B129">
        <v>6</v>
      </c>
      <c r="I129" t="str">
        <v>Stade Rennais</v>
      </c>
    </row>
    <row r="130" spans="1:9">
      <c r="A130" s="4" t="s">
        <v>136</v>
      </c>
      <c r="B130">
        <v>2</v>
      </c>
      <c r="I130" t="str">
        <v>Stoke City</v>
      </c>
    </row>
    <row r="131" spans="1:9">
      <c r="A131" s="4" t="s">
        <v>137</v>
      </c>
      <c r="B131">
        <v>1</v>
      </c>
      <c r="I131" t="str">
        <v>Sunderland</v>
      </c>
    </row>
    <row r="132" spans="1:9">
      <c r="A132" s="4" t="s">
        <v>138</v>
      </c>
      <c r="B132">
        <v>2</v>
      </c>
      <c r="I132" t="str">
        <v>Swansea City</v>
      </c>
    </row>
    <row r="133" spans="1:9">
      <c r="A133" s="4" t="s">
        <v>139</v>
      </c>
      <c r="B133">
        <v>6</v>
      </c>
      <c r="I133" t="str">
        <v>Torino</v>
      </c>
    </row>
    <row r="134" spans="1:9">
      <c r="A134" s="4" t="s">
        <v>140</v>
      </c>
      <c r="B134">
        <v>6</v>
      </c>
      <c r="I134" t="str">
        <v>Tottenham Hotspur</v>
      </c>
    </row>
    <row r="135" spans="1:9">
      <c r="A135" s="4" t="s">
        <v>141</v>
      </c>
      <c r="B135">
        <v>4</v>
      </c>
      <c r="I135" t="str">
        <v>Toulouse</v>
      </c>
    </row>
    <row r="136" spans="1:9">
      <c r="A136" s="4" t="s">
        <v>142</v>
      </c>
      <c r="B136">
        <v>6</v>
      </c>
      <c r="I136" t="str">
        <v>Trabzonspor</v>
      </c>
    </row>
    <row r="137" spans="1:9">
      <c r="A137" s="4" t="s">
        <v>143</v>
      </c>
      <c r="B137">
        <v>2</v>
      </c>
      <c r="I137" t="str">
        <v>Troyes AC</v>
      </c>
    </row>
    <row r="138" spans="1:9">
      <c r="A138" s="4" t="s">
        <v>144</v>
      </c>
      <c r="B138">
        <v>6</v>
      </c>
      <c r="I138" t="str">
        <v>Udinese</v>
      </c>
    </row>
    <row r="139" spans="1:9">
      <c r="A139" s="4" t="s">
        <v>145</v>
      </c>
      <c r="B139">
        <v>6</v>
      </c>
      <c r="I139" t="str">
        <v>Valencia</v>
      </c>
    </row>
    <row r="140" spans="1:9">
      <c r="A140" s="4" t="s">
        <v>146</v>
      </c>
      <c r="B140">
        <v>3</v>
      </c>
      <c r="I140" t="str">
        <v>Valladolid</v>
      </c>
    </row>
    <row r="141" spans="1:9">
      <c r="A141" s="4" t="s">
        <v>147</v>
      </c>
      <c r="B141">
        <v>6</v>
      </c>
      <c r="I141" t="str">
        <v>Villarreal</v>
      </c>
    </row>
    <row r="142" spans="1:9">
      <c r="A142" s="4" t="s">
        <v>148</v>
      </c>
      <c r="B142">
        <v>5</v>
      </c>
      <c r="I142" t="str">
        <v>Watford</v>
      </c>
    </row>
    <row r="143" spans="1:9">
      <c r="A143" s="4" t="s">
        <v>149</v>
      </c>
      <c r="B143">
        <v>3</v>
      </c>
      <c r="I143" t="str">
        <v>West Bromwich Albion</v>
      </c>
    </row>
    <row r="144" spans="1:9">
      <c r="A144" s="4" t="s">
        <v>150</v>
      </c>
      <c r="B144">
        <v>6</v>
      </c>
      <c r="I144" t="str">
        <v>West Ham United</v>
      </c>
    </row>
    <row r="145" spans="1:9">
      <c r="A145" s="4" t="s">
        <v>151</v>
      </c>
      <c r="B145">
        <v>4</v>
      </c>
      <c r="I145" t="str">
        <v>Wolverhampton Wanderers</v>
      </c>
    </row>
    <row r="146" spans="1:9">
      <c r="A146" s="4" t="s">
        <v>152</v>
      </c>
      <c r="B146">
        <v>5</v>
      </c>
      <c r="I146" t="str">
        <v>Yeni Malatyaspor</v>
      </c>
    </row>
    <row r="147" spans="1:9">
      <c r="A147" s="4" t="s">
        <v>153</v>
      </c>
      <c r="B147">
        <v>1</v>
      </c>
      <c r="I147" t="str">
        <v>Giresunspor</v>
      </c>
    </row>
    <row r="148" spans="1:9">
      <c r="A148" s="4" t="s">
        <v>154</v>
      </c>
      <c r="B148">
        <v>1</v>
      </c>
      <c r="I148" t="str">
        <v>Valeria</v>
      </c>
    </row>
    <row r="149" spans="1:9">
      <c r="A149" s="4" t="s">
        <v>155</v>
      </c>
      <c r="B149">
        <v>4</v>
      </c>
      <c r="I149" t="str">
        <v>Verona</v>
      </c>
    </row>
    <row r="150" spans="1:9">
      <c r="A150" s="4" t="s">
        <v>156</v>
      </c>
      <c r="B150">
        <v>3</v>
      </c>
      <c r="I150" t="str">
        <v>Chievo</v>
      </c>
    </row>
    <row r="151" spans="1:9">
      <c r="A151" s="4" t="s">
        <v>157</v>
      </c>
      <c r="B151">
        <v>1</v>
      </c>
      <c r="I151" t="str">
        <v>Altay</v>
      </c>
    </row>
    <row r="152" spans="1:9">
      <c r="A152" s="4" t="s">
        <v>158</v>
      </c>
      <c r="B152">
        <v>2</v>
      </c>
      <c r="I152" t="str">
        <v>Fatih Karagumruk</v>
      </c>
    </row>
    <row r="153" spans="1:9">
      <c r="A153" s="4" t="s">
        <v>225</v>
      </c>
      <c r="I153" t="str">
        <v>(blank)</v>
      </c>
    </row>
    <row r="154" spans="1:9">
      <c r="A154" s="4" t="s">
        <v>159</v>
      </c>
      <c r="B154">
        <v>593</v>
      </c>
      <c r="I154" t="str">
        <v>Grand Total</v>
      </c>
    </row>
    <row r="155" spans="1:9">
      <c r="I15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918B8-61A6-594C-AED6-1E315CEB3E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Team spreadsheet</vt:lpstr>
      <vt:lpstr>MEthodology 1(total sample)</vt:lpstr>
      <vt:lpstr>Finding 2(charged teams)</vt:lpstr>
      <vt:lpstr>Finding 3(Descriptive Stats)</vt:lpstr>
      <vt:lpstr>Finding 4(Correlation Matrix)</vt:lpstr>
      <vt:lpstr>Team sheet backup 3</vt:lpstr>
      <vt:lpstr>Omitted data</vt:lpstr>
      <vt:lpstr>Teamsheet backup 2</vt:lpstr>
      <vt:lpstr>Sheet 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Gichuhi</dc:creator>
  <cp:keywords/>
  <dc:description/>
  <cp:lastModifiedBy>Brian Gichuhi</cp:lastModifiedBy>
  <cp:revision/>
  <dcterms:created xsi:type="dcterms:W3CDTF">2024-01-29T11:49:52Z</dcterms:created>
  <dcterms:modified xsi:type="dcterms:W3CDTF">2024-03-26T17:01:50Z</dcterms:modified>
  <cp:category/>
  <cp:contentStatus/>
</cp:coreProperties>
</file>